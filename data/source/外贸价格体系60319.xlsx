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060" activeTab="3"/>
  </bookViews>
  <sheets>
    <sheet name="彩含价60319" sheetId="1" r:id="rId1"/>
    <sheet name="彩未价60319" sheetId="6" r:id="rId2"/>
    <sheet name="中含价60319" sheetId="7" r:id="rId3"/>
    <sheet name="中未价60319" sheetId="8" r:id="rId4"/>
  </sheets>
  <externalReferences>
    <externalReference r:id="rId5"/>
  </externalReferences>
  <definedNames>
    <definedName name="_xlnm._FilterDatabase" localSheetId="0" hidden="1">彩含价60319!$A$1:$G$577</definedName>
    <definedName name="_xlnm._FilterDatabase" localSheetId="1" hidden="1">彩未价60319!$A$1:$A$577</definedName>
    <definedName name="_xlnm._FilterDatabase" localSheetId="2" hidden="1">中含价60319!$A$1:$A$577</definedName>
    <definedName name="_xlnm._FilterDatabase" localSheetId="3" hidden="1">中未价60319!$A$1:$A$577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zy</author>
  </authors>
  <commentList>
    <comment ref="A219" authorId="0">
      <text>
        <r>
          <rPr>
            <b/>
            <sz val="9"/>
            <rFont val="宋体"/>
            <charset val="134"/>
          </rPr>
          <t>zy:</t>
        </r>
        <r>
          <rPr>
            <sz val="9"/>
            <rFont val="宋体"/>
            <charset val="134"/>
          </rPr>
          <t xml:space="preserve">
2025年10月20日大电流20A</t>
        </r>
      </text>
    </comment>
  </commentList>
</comments>
</file>

<file path=xl/comments2.xml><?xml version="1.0" encoding="utf-8"?>
<comments xmlns="http://schemas.openxmlformats.org/spreadsheetml/2006/main">
  <authors>
    <author>zy</author>
  </authors>
  <commentList>
    <comment ref="A219" authorId="0">
      <text>
        <r>
          <rPr>
            <b/>
            <sz val="9"/>
            <rFont val="宋体"/>
            <charset val="134"/>
          </rPr>
          <t>zy:</t>
        </r>
        <r>
          <rPr>
            <sz val="9"/>
            <rFont val="宋体"/>
            <charset val="134"/>
          </rPr>
          <t xml:space="preserve">
2025年10月20日大电流20A</t>
        </r>
      </text>
    </comment>
  </commentList>
</comments>
</file>

<file path=xl/comments3.xml><?xml version="1.0" encoding="utf-8"?>
<comments xmlns="http://schemas.openxmlformats.org/spreadsheetml/2006/main">
  <authors>
    <author>zy</author>
  </authors>
  <commentList>
    <comment ref="A219" authorId="0">
      <text>
        <r>
          <rPr>
            <b/>
            <sz val="9"/>
            <rFont val="宋体"/>
            <charset val="134"/>
          </rPr>
          <t>zy:</t>
        </r>
        <r>
          <rPr>
            <sz val="9"/>
            <rFont val="宋体"/>
            <charset val="134"/>
          </rPr>
          <t xml:space="preserve">
2025年10月20日大电流20A</t>
        </r>
      </text>
    </comment>
  </commentList>
</comments>
</file>

<file path=xl/comments4.xml><?xml version="1.0" encoding="utf-8"?>
<comments xmlns="http://schemas.openxmlformats.org/spreadsheetml/2006/main">
  <authors>
    <author>zy</author>
  </authors>
  <commentList>
    <comment ref="A219" authorId="0">
      <text>
        <r>
          <rPr>
            <b/>
            <sz val="9"/>
            <rFont val="宋体"/>
            <charset val="134"/>
          </rPr>
          <t>zy:</t>
        </r>
        <r>
          <rPr>
            <sz val="9"/>
            <rFont val="宋体"/>
            <charset val="134"/>
          </rPr>
          <t xml:space="preserve">
2025年10月20日大电流20A</t>
        </r>
      </text>
    </comment>
  </commentList>
</comments>
</file>

<file path=xl/sharedStrings.xml><?xml version="1.0" encoding="utf-8"?>
<sst xmlns="http://schemas.openxmlformats.org/spreadsheetml/2006/main" count="6940" uniqueCount="1150">
  <si>
    <t>对外型号</t>
  </si>
  <si>
    <t>NP彩含60319</t>
  </si>
  <si>
    <t>LP彩含60319</t>
  </si>
  <si>
    <t>SLP彩含60319</t>
  </si>
  <si>
    <t>2S彩含60319</t>
  </si>
  <si>
    <t>3S彩含60319</t>
  </si>
  <si>
    <t>4S彩含60319</t>
  </si>
  <si>
    <t>属性</t>
  </si>
  <si>
    <t>通用名</t>
  </si>
  <si>
    <t>DQ910852</t>
  </si>
  <si>
    <t>自制</t>
  </si>
  <si>
    <t>丰田卡罗拉</t>
  </si>
  <si>
    <t>DQ9101B1</t>
  </si>
  <si>
    <t>伽玛发动机</t>
  </si>
  <si>
    <t>DQ9106L</t>
  </si>
  <si>
    <t>波罗</t>
  </si>
  <si>
    <t>DQ9103A</t>
  </si>
  <si>
    <t>奥迪C6</t>
  </si>
  <si>
    <t>DQ9101A</t>
  </si>
  <si>
    <t>伊兰特 VVT 圆头</t>
  </si>
  <si>
    <t>DQ9115A</t>
  </si>
  <si>
    <t>4A9</t>
  </si>
  <si>
    <t>DQ9012</t>
  </si>
  <si>
    <t>骐达</t>
  </si>
  <si>
    <t>DQ9219A</t>
  </si>
  <si>
    <t>哈弗H6 1.5T</t>
  </si>
  <si>
    <t>DQ9103D</t>
  </si>
  <si>
    <t>帕萨特B5 不铣胶面</t>
  </si>
  <si>
    <t>DQ910848</t>
  </si>
  <si>
    <t>丰田02248</t>
  </si>
  <si>
    <t>DQ9003H2</t>
  </si>
  <si>
    <t>尼桑</t>
  </si>
  <si>
    <t>DQ9401</t>
  </si>
  <si>
    <t>德尔福三代</t>
  </si>
  <si>
    <t>DQ9023</t>
  </si>
  <si>
    <t>新桑塔纳</t>
  </si>
  <si>
    <t>DQ9107B</t>
  </si>
  <si>
    <t>东风小康</t>
  </si>
  <si>
    <t>DQ9406M</t>
  </si>
  <si>
    <t>调货</t>
  </si>
  <si>
    <t>科鲁兹1790</t>
  </si>
  <si>
    <t>DQ9109S</t>
  </si>
  <si>
    <t>思域1.8</t>
  </si>
  <si>
    <t>DQ9110C</t>
  </si>
  <si>
    <t>宝马德尔福款</t>
  </si>
  <si>
    <t>DQ9117</t>
  </si>
  <si>
    <t>北斗星K14（联电系统）</t>
  </si>
  <si>
    <t>DQ9119</t>
  </si>
  <si>
    <t>五菱宏光B15</t>
  </si>
  <si>
    <t>DQ9003H3</t>
  </si>
  <si>
    <t>DQ492</t>
  </si>
  <si>
    <t>捷达王</t>
  </si>
  <si>
    <t>DQ1212X</t>
  </si>
  <si>
    <t>奇瑞风云</t>
  </si>
  <si>
    <t>DQ9110A</t>
  </si>
  <si>
    <t>宝马博世款</t>
  </si>
  <si>
    <t>DQ9107A</t>
  </si>
  <si>
    <t>北汽威旺</t>
  </si>
  <si>
    <t>DQ9209A</t>
  </si>
  <si>
    <t>哈飞赛马 赛豹 菱帅</t>
  </si>
  <si>
    <t>DQ9007A1</t>
  </si>
  <si>
    <t>索纳塔九代</t>
  </si>
  <si>
    <t>DQ9005D</t>
  </si>
  <si>
    <t>福克斯</t>
  </si>
  <si>
    <t>DQ9216B</t>
  </si>
  <si>
    <t>荣威350</t>
  </si>
  <si>
    <t>DQ9402</t>
  </si>
  <si>
    <t>标致307</t>
  </si>
  <si>
    <t>DQ9010B</t>
  </si>
  <si>
    <t>飞度1.5（短）</t>
  </si>
  <si>
    <t>DQ9016</t>
  </si>
  <si>
    <t>别克君越</t>
  </si>
  <si>
    <t>DQ9021B</t>
  </si>
  <si>
    <t>长城胜翼</t>
  </si>
  <si>
    <t>DQ9201A</t>
  </si>
  <si>
    <t>474两插</t>
  </si>
  <si>
    <t>DQ9003B</t>
  </si>
  <si>
    <t>天籁侧插</t>
  </si>
  <si>
    <t>DQ910850</t>
  </si>
  <si>
    <t>丰田02250</t>
  </si>
  <si>
    <t>DQ9101D</t>
  </si>
  <si>
    <t>12款智跑 12款IX35 K5</t>
  </si>
  <si>
    <t>DQ9116E</t>
  </si>
  <si>
    <t>473QE发动机</t>
  </si>
  <si>
    <t>DQ9021D</t>
  </si>
  <si>
    <t>吉利帝豪</t>
  </si>
  <si>
    <t>DQ9115</t>
  </si>
  <si>
    <t>海马479Q</t>
  </si>
  <si>
    <t>DQ9103AR</t>
  </si>
  <si>
    <t>奥迪A6红头</t>
  </si>
  <si>
    <t>DQ9213</t>
  </si>
  <si>
    <t>长安之星二代CB10</t>
  </si>
  <si>
    <t>DQ9109</t>
  </si>
  <si>
    <t>本田7代雅阁</t>
  </si>
  <si>
    <t>DQ9207</t>
  </si>
  <si>
    <t>江淮瑞风两插</t>
  </si>
  <si>
    <t>DQ1212S</t>
  </si>
  <si>
    <t>奇瑞477F发动机</t>
  </si>
  <si>
    <t>DQ9202</t>
  </si>
  <si>
    <t>474三插</t>
  </si>
  <si>
    <t>DQ9406</t>
  </si>
  <si>
    <t>科鲁兹160</t>
  </si>
  <si>
    <t>DQ1212W</t>
  </si>
  <si>
    <t>五菱之光B12</t>
  </si>
  <si>
    <t>DQ9134B1</t>
  </si>
  <si>
    <t>昂科拉</t>
  </si>
  <si>
    <t>DQ9034A1</t>
  </si>
  <si>
    <t>纳智捷2.0T（直杆）</t>
  </si>
  <si>
    <t>DQ910844</t>
  </si>
  <si>
    <t>丰田02244</t>
  </si>
  <si>
    <t>DQ9216</t>
  </si>
  <si>
    <t>荣威550 1.8T黑杆</t>
  </si>
  <si>
    <t>DQ9101E</t>
  </si>
  <si>
    <t>圣达菲2.7L</t>
  </si>
  <si>
    <t>DQ9101F</t>
  </si>
  <si>
    <t>索兰托 K5</t>
  </si>
  <si>
    <t>DQ910839</t>
  </si>
  <si>
    <t>丰田02239</t>
  </si>
  <si>
    <t>DQ9103G1</t>
  </si>
  <si>
    <t>奥迪 A4L 2.0T</t>
  </si>
  <si>
    <t>DQ9116B</t>
  </si>
  <si>
    <t>473QB发动机</t>
  </si>
  <si>
    <t>DQ9230A1</t>
  </si>
  <si>
    <t>五菱之光 1.2L</t>
  </si>
  <si>
    <t>DQ9109B1</t>
  </si>
  <si>
    <t>本田9代雅阁</t>
  </si>
  <si>
    <t>DQ901808</t>
  </si>
  <si>
    <t>卡罗拉1.2T</t>
  </si>
  <si>
    <t>DQ9002</t>
  </si>
  <si>
    <t>马六三插</t>
  </si>
  <si>
    <t>DQ9025A1</t>
  </si>
  <si>
    <t>奔驰GLK350</t>
  </si>
  <si>
    <t>DQ9217</t>
  </si>
  <si>
    <t>海马福美来1.6</t>
  </si>
  <si>
    <t>DQ9010F</t>
  </si>
  <si>
    <t>新飞度</t>
  </si>
  <si>
    <t>DQ9107</t>
  </si>
  <si>
    <t>一汽威志 威乐</t>
  </si>
  <si>
    <t>DQ9215A</t>
  </si>
  <si>
    <t>比亚迪F3</t>
  </si>
  <si>
    <t>DQ9109A</t>
  </si>
  <si>
    <t>本田8代雅阁</t>
  </si>
  <si>
    <t>DQ9128A1</t>
  </si>
  <si>
    <t>昂科雷</t>
  </si>
  <si>
    <t>DQ9210A2</t>
  </si>
  <si>
    <t>长安欧尚</t>
  </si>
  <si>
    <t>DQ6204</t>
  </si>
  <si>
    <t>别克君威 GL8商务车</t>
  </si>
  <si>
    <t>DQ9219A4</t>
  </si>
  <si>
    <t>广汽传祺GS4</t>
  </si>
  <si>
    <t>DQ910820</t>
  </si>
  <si>
    <t>一汽森雅</t>
  </si>
  <si>
    <t>DQ9040B1</t>
  </si>
  <si>
    <t>长安逸动 1.5T</t>
  </si>
  <si>
    <t>DQ9038A1</t>
  </si>
  <si>
    <t>宏光B15</t>
  </si>
  <si>
    <t>DQ6493</t>
  </si>
  <si>
    <t>德尔福二代</t>
  </si>
  <si>
    <t>DQ9010A</t>
  </si>
  <si>
    <t>飞度1.3后排</t>
  </si>
  <si>
    <t>DQ9101K1</t>
  </si>
  <si>
    <t>现代瑞纳</t>
  </si>
  <si>
    <t>DQ9210</t>
  </si>
  <si>
    <t>瑞虎</t>
  </si>
  <si>
    <t>DQ9402E1</t>
  </si>
  <si>
    <t>新款爱丽舍</t>
  </si>
  <si>
    <t>DQ9216A</t>
  </si>
  <si>
    <t>荣威550 1.8红杆</t>
  </si>
  <si>
    <t>DQ9110</t>
  </si>
  <si>
    <t>宝马分体</t>
  </si>
  <si>
    <t>DQ9012A2</t>
  </si>
  <si>
    <t>奔腾 B50 1.6L</t>
  </si>
  <si>
    <t>DQ9118</t>
  </si>
  <si>
    <t>夏利N5</t>
  </si>
  <si>
    <t>DQ9040C2</t>
  </si>
  <si>
    <t>众泰T300 1.5T</t>
  </si>
  <si>
    <t>DQ9117C1</t>
  </si>
  <si>
    <t>铃木启悦1.6L</t>
  </si>
  <si>
    <t>DQ9215B</t>
  </si>
  <si>
    <t>长城哈弗 H6/H5 2.0L</t>
  </si>
  <si>
    <t>DQ9021</t>
  </si>
  <si>
    <t>比亚迪F0</t>
  </si>
  <si>
    <t>DQ9023B</t>
  </si>
  <si>
    <t>奥迪Q5</t>
  </si>
  <si>
    <t>DQ9217A</t>
  </si>
  <si>
    <t>海马 福美来1.8</t>
  </si>
  <si>
    <t>DQ9003G2</t>
  </si>
  <si>
    <t>日产奇骏2.0</t>
  </si>
  <si>
    <t>DQ9039A1</t>
  </si>
  <si>
    <t>五菱宏光 1.2L</t>
  </si>
  <si>
    <t>DQ9030A1</t>
  </si>
  <si>
    <t>福特致胜2.0T</t>
  </si>
  <si>
    <t>DQ9117A</t>
  </si>
  <si>
    <t>北斗星K14B（日立系统）</t>
  </si>
  <si>
    <t>DQ9038A2</t>
  </si>
  <si>
    <t>别克 英朗 GT 1.5L</t>
  </si>
  <si>
    <t>DQ9212A</t>
  </si>
  <si>
    <t>中华尊驰/骏捷4G93</t>
  </si>
  <si>
    <t>DQ9113D2</t>
  </si>
  <si>
    <t>4G63/69</t>
  </si>
  <si>
    <t>DQ9010K1</t>
  </si>
  <si>
    <t>本田 哥瑞（1.5直喷）</t>
  </si>
  <si>
    <t>DQ9025C1</t>
  </si>
  <si>
    <t>奔驰209发动机</t>
  </si>
  <si>
    <t>DQ9021C</t>
  </si>
  <si>
    <t>广汽传祺</t>
  </si>
  <si>
    <t>DQ9002C1</t>
  </si>
  <si>
    <t>马自达3</t>
  </si>
  <si>
    <t>DQ9046A1</t>
  </si>
  <si>
    <t>江淮瑞风M3 1.6L</t>
  </si>
  <si>
    <t>DQ9010</t>
  </si>
  <si>
    <t>飞度1.3前排</t>
  </si>
  <si>
    <t>DQ9039B1</t>
  </si>
  <si>
    <t>宝骏 730</t>
  </si>
  <si>
    <t>DQ9219A3</t>
  </si>
  <si>
    <t>吉利帝豪1.3T</t>
  </si>
  <si>
    <t>DQ9209S</t>
  </si>
  <si>
    <t>比亚迪S6</t>
  </si>
  <si>
    <t>DQ9040A1</t>
  </si>
  <si>
    <t>长安CS75 15年款</t>
  </si>
  <si>
    <t>DQ9002F1</t>
  </si>
  <si>
    <t>马自达CX-5 三针</t>
  </si>
  <si>
    <t>DQ9101B</t>
  </si>
  <si>
    <t>伽马圆头</t>
  </si>
  <si>
    <t>DQ9035A1</t>
  </si>
  <si>
    <t>一汽奔腾B70</t>
  </si>
  <si>
    <t>DQ9402A3</t>
  </si>
  <si>
    <t>标致2.0L 新款</t>
  </si>
  <si>
    <t>DQ9101C</t>
  </si>
  <si>
    <t>现代 全新胜达(进口) 3.0L</t>
  </si>
  <si>
    <t>DQ9209</t>
  </si>
  <si>
    <t>五菱杨光</t>
  </si>
  <si>
    <t>DQ6406</t>
  </si>
  <si>
    <t>五菱之光 西门子系统</t>
  </si>
  <si>
    <t>DQ910855</t>
  </si>
  <si>
    <t>丰田02255</t>
  </si>
  <si>
    <t>DQ9109D1</t>
  </si>
  <si>
    <t>2016款 本田CRV 2.4L</t>
  </si>
  <si>
    <t>DQ9114L</t>
  </si>
  <si>
    <t>途锐联体短管</t>
  </si>
  <si>
    <t>DQ9219A6</t>
  </si>
  <si>
    <t>长城哈弗 H6 1.5T 14款</t>
  </si>
  <si>
    <t>DQ9039C1</t>
  </si>
  <si>
    <t>宝骏1.5T</t>
  </si>
  <si>
    <t>DQ9010J2</t>
  </si>
  <si>
    <t>本田</t>
  </si>
  <si>
    <t>DQ9215</t>
  </si>
  <si>
    <t>中华骏捷</t>
  </si>
  <si>
    <t>DQ9036A1</t>
  </si>
  <si>
    <t>菲亚特 飞翔 致悦 1.4T</t>
  </si>
  <si>
    <t>DQ9042A1</t>
  </si>
  <si>
    <t>江铃 驭胜 S330 1.5T</t>
  </si>
  <si>
    <t>DQ9209Q</t>
  </si>
  <si>
    <t>奇瑞开瑞</t>
  </si>
  <si>
    <t>DQ9209J</t>
  </si>
  <si>
    <t>吉利远景</t>
  </si>
  <si>
    <t>DQ9209D</t>
  </si>
  <si>
    <t>哈飞赛马 比亚迪 菱帅</t>
  </si>
  <si>
    <t>DQ9219A7</t>
  </si>
  <si>
    <t>博瑞1.8T</t>
  </si>
  <si>
    <t>DQ910830</t>
  </si>
  <si>
    <t>丰田02230</t>
  </si>
  <si>
    <t>DQ9219B3</t>
  </si>
  <si>
    <t>DQ9048A1</t>
  </si>
  <si>
    <t>观致 观致3 1.6T、斯威 X3 1.5T</t>
  </si>
  <si>
    <t>DQ493</t>
  </si>
  <si>
    <t>德尔福一代</t>
  </si>
  <si>
    <t>DQ9113A</t>
  </si>
  <si>
    <t>长城嘉誉无模块</t>
  </si>
  <si>
    <t>DQ9105L</t>
  </si>
  <si>
    <t>奇瑞QQ 0.8L</t>
  </si>
  <si>
    <t>DQ910851</t>
  </si>
  <si>
    <t>丰田02251</t>
  </si>
  <si>
    <t>DQ9213A2</t>
  </si>
  <si>
    <t>长安悦翔V3</t>
  </si>
  <si>
    <t>DQ9002A</t>
  </si>
  <si>
    <t>马六两插</t>
  </si>
  <si>
    <t>DQ9034A2</t>
  </si>
  <si>
    <t>东风纳智捷</t>
  </si>
  <si>
    <t>DQ9209L</t>
  </si>
  <si>
    <t>菱悦V3</t>
  </si>
  <si>
    <t>DQ9209K2</t>
  </si>
  <si>
    <t>长安CS75</t>
  </si>
  <si>
    <t>DQ910807</t>
  </si>
  <si>
    <t>威驰</t>
  </si>
  <si>
    <t>DQ9031B1</t>
  </si>
  <si>
    <t>名爵 ZS 1.5L</t>
  </si>
  <si>
    <t>DQ9212</t>
  </si>
  <si>
    <t>中华4G94</t>
  </si>
  <si>
    <t>DQ9126A2</t>
  </si>
  <si>
    <t>路虎风神者</t>
  </si>
  <si>
    <t>DQ9019Q1</t>
  </si>
  <si>
    <t>长城哈弗H9</t>
  </si>
  <si>
    <t>DQ9005J1</t>
  </si>
  <si>
    <t>新蒙迪欧1.5T/新翼虎1.5T</t>
  </si>
  <si>
    <t>DQ9133A1</t>
  </si>
  <si>
    <t>保时捷卡宴</t>
  </si>
  <si>
    <t>DQ9002D1</t>
  </si>
  <si>
    <t>马自达3 昂克赛拉</t>
  </si>
  <si>
    <t>DQ9044A1</t>
  </si>
  <si>
    <t>福田</t>
  </si>
  <si>
    <t>DQ9209H</t>
  </si>
  <si>
    <t>新普力马1.8</t>
  </si>
  <si>
    <t>DQ9206</t>
  </si>
  <si>
    <t>东方之子</t>
  </si>
  <si>
    <t>DQ9101Q</t>
  </si>
  <si>
    <t>现代飞思</t>
  </si>
  <si>
    <t>DQ9210A3</t>
  </si>
  <si>
    <t>长安睿行1.5L</t>
  </si>
  <si>
    <t>DQ9017C1</t>
  </si>
  <si>
    <t>沃尔沃</t>
  </si>
  <si>
    <t>DQ9124A1</t>
  </si>
  <si>
    <t>道奇酷博 锋哲 300C 酷威 铂锐2.0 2.4 2.7</t>
  </si>
  <si>
    <t>DQ9153A1</t>
  </si>
  <si>
    <t>东风风神A60</t>
  </si>
  <si>
    <t>DQ9102</t>
  </si>
  <si>
    <t>帕萨特1.8</t>
  </si>
  <si>
    <t>DQ9113D1</t>
  </si>
  <si>
    <t>4G69</t>
  </si>
  <si>
    <t>DQ9021A</t>
  </si>
  <si>
    <t>天津夏利</t>
  </si>
  <si>
    <t>DQ9007E1</t>
  </si>
  <si>
    <t>现代领动1.4T</t>
  </si>
  <si>
    <t>DQ9005G1</t>
  </si>
  <si>
    <t>福特 翼博 1.6T</t>
  </si>
  <si>
    <t>DQ9205</t>
  </si>
  <si>
    <t>哈飞赛马1.3</t>
  </si>
  <si>
    <t>DQ6202</t>
  </si>
  <si>
    <t>索纳塔1.8</t>
  </si>
  <si>
    <t>DQ9208</t>
  </si>
  <si>
    <t>江淮瑞风 三插</t>
  </si>
  <si>
    <t>DQ9153A3</t>
  </si>
  <si>
    <t>长丰猎豹</t>
  </si>
  <si>
    <t>DQ9121A1</t>
  </si>
  <si>
    <t>凯迪拉克</t>
  </si>
  <si>
    <t>DQ9103F</t>
  </si>
  <si>
    <t>途观 1.8T</t>
  </si>
  <si>
    <t>DQ910806</t>
  </si>
  <si>
    <t>凯美瑞</t>
  </si>
  <si>
    <t>DQ9219A8</t>
  </si>
  <si>
    <t>GS8 2.0T</t>
  </si>
  <si>
    <t>DQ9003A</t>
  </si>
  <si>
    <t>奇骏2.5</t>
  </si>
  <si>
    <t>DQ901869</t>
  </si>
  <si>
    <t>丰田汉兰达2.0T</t>
  </si>
  <si>
    <t>DQ9113B2</t>
  </si>
  <si>
    <t>三菱劲炫</t>
  </si>
  <si>
    <t>DQ9007D1</t>
  </si>
  <si>
    <t>现代名图1.6T</t>
  </si>
  <si>
    <t>DQ6407B</t>
  </si>
  <si>
    <t>嘉年华1.5</t>
  </si>
  <si>
    <t>DQ9103R</t>
  </si>
  <si>
    <t>奥迪3.0 红头</t>
  </si>
  <si>
    <t>DQ9025G1</t>
  </si>
  <si>
    <t>奔驰GLA2001.6T</t>
  </si>
  <si>
    <t>DQ9003A3</t>
  </si>
  <si>
    <t>天籁 2.0L</t>
  </si>
  <si>
    <t>DQ9101A1</t>
  </si>
  <si>
    <t>27301-26640</t>
  </si>
  <si>
    <t>DQ9201A2</t>
  </si>
  <si>
    <t>新款东风小康465</t>
  </si>
  <si>
    <t>DQ910840</t>
  </si>
  <si>
    <t>丰田02240</t>
  </si>
  <si>
    <t>DQ910837</t>
  </si>
  <si>
    <t>丰田02237</t>
  </si>
  <si>
    <t>DQ9201C1</t>
  </si>
  <si>
    <t>欧诺474</t>
  </si>
  <si>
    <t>DQ9101Z</t>
  </si>
  <si>
    <t>新胜达 2.7L（三插）</t>
  </si>
  <si>
    <t>DQ9016C1</t>
  </si>
  <si>
    <t>别克英朗1.0T</t>
  </si>
  <si>
    <t>DQ9029B1</t>
  </si>
  <si>
    <t>宝马1.5T</t>
  </si>
  <si>
    <t>DQ9047A1</t>
  </si>
  <si>
    <t>荣威大通 2.0T</t>
  </si>
  <si>
    <t>DQ9037C1</t>
  </si>
  <si>
    <t>哈弗H6蓝标1.5T</t>
  </si>
  <si>
    <t>DQ9017A1</t>
  </si>
  <si>
    <t>DQ9101AR</t>
  </si>
  <si>
    <t>DQ9219B1</t>
  </si>
  <si>
    <t>瑞风M3/M4</t>
  </si>
  <si>
    <t>DQ9219A2</t>
  </si>
  <si>
    <t>广汽传祺GS5</t>
  </si>
  <si>
    <t>DQ9003G1</t>
  </si>
  <si>
    <t>日产逍客</t>
  </si>
  <si>
    <t>DQ9219B2</t>
  </si>
  <si>
    <t>江淮RIII2.0T</t>
  </si>
  <si>
    <t>DQ9120A</t>
  </si>
  <si>
    <t>荣威 750 2.5L（黑色铁管）</t>
  </si>
  <si>
    <t>DQ9202A</t>
  </si>
  <si>
    <t>三菱铃木</t>
  </si>
  <si>
    <t>DQ9030A2</t>
  </si>
  <si>
    <t>比亚迪S7(灰色杆）</t>
  </si>
  <si>
    <t>DQ9124A2</t>
  </si>
  <si>
    <t>Jeep指南者 自由客 道奇 酷威 锋哲 铂锐2.0 2.4</t>
  </si>
  <si>
    <t>DQ9040C1</t>
  </si>
  <si>
    <t>长安CS35</t>
  </si>
  <si>
    <t>DQ9026A2</t>
  </si>
  <si>
    <t>捷豹 XJL(进口) 5.0L/5.0T</t>
  </si>
  <si>
    <t>DQ9007B1</t>
  </si>
  <si>
    <t>现代索纳塔9 2.0L</t>
  </si>
  <si>
    <t>DQ9407</t>
  </si>
  <si>
    <t>雪佛兰索尼克</t>
  </si>
  <si>
    <t>DQ9015B1</t>
  </si>
  <si>
    <t>长城腾翼C30/1.5L 西门子系统</t>
  </si>
  <si>
    <t>DQ9039D1</t>
  </si>
  <si>
    <t>宝骏730 第二代1.5T</t>
  </si>
  <si>
    <t>DQ9007B2</t>
  </si>
  <si>
    <t>名图1.8L</t>
  </si>
  <si>
    <t>DQ9035A2</t>
  </si>
  <si>
    <t>奔腾 1.8T</t>
  </si>
  <si>
    <t>DQ9031C1</t>
  </si>
  <si>
    <t>荣威I6 PLUS 1.6L,RX3 1.6l</t>
  </si>
  <si>
    <t>DQ9107E1</t>
  </si>
  <si>
    <t>东南汽车1.5T 东风景逸1.5T</t>
  </si>
  <si>
    <t>DQ9107C1</t>
  </si>
  <si>
    <t>一汽森雅S80</t>
  </si>
  <si>
    <t>DQ6208</t>
  </si>
  <si>
    <t>千里马1.6L</t>
  </si>
  <si>
    <t>DQ9005L1</t>
  </si>
  <si>
    <t>福特翼博1.0T</t>
  </si>
  <si>
    <t>DQ9109C</t>
  </si>
  <si>
    <t>本田讴歌 3.5L</t>
  </si>
  <si>
    <t>DQ9135A1</t>
  </si>
  <si>
    <t>标致 1.2T</t>
  </si>
  <si>
    <t>DQ9023C1</t>
  </si>
  <si>
    <t>新款大众</t>
  </si>
  <si>
    <t>DQ9045A1</t>
  </si>
  <si>
    <t>斯巴鲁森林人</t>
  </si>
  <si>
    <t>DQ9035A3</t>
  </si>
  <si>
    <t>长城魏 VV7 VV8</t>
  </si>
  <si>
    <t>DQ9201B</t>
  </si>
  <si>
    <t>中华尊驰</t>
  </si>
  <si>
    <t>DQ9110E1</t>
  </si>
  <si>
    <t>标致1.6T</t>
  </si>
  <si>
    <t>DQ9005E</t>
  </si>
  <si>
    <t>福特翼虎</t>
  </si>
  <si>
    <t>DQ9003B3</t>
  </si>
  <si>
    <t>日产</t>
  </si>
  <si>
    <t>DQ9004B</t>
  </si>
  <si>
    <t>A33短杆</t>
  </si>
  <si>
    <t>DQ9025E1</t>
  </si>
  <si>
    <t>奔驰A2769067900</t>
  </si>
  <si>
    <t>DQ910834</t>
  </si>
  <si>
    <t>丰田02234</t>
  </si>
  <si>
    <t>DQ9023A</t>
  </si>
  <si>
    <t>DQ9036F1</t>
  </si>
  <si>
    <t>指南者1.4T</t>
  </si>
  <si>
    <t>DQ9209K</t>
  </si>
  <si>
    <t>新羚羊</t>
  </si>
  <si>
    <t>DQ910804</t>
  </si>
  <si>
    <t>锐志</t>
  </si>
  <si>
    <t>DQ9210A4</t>
  </si>
  <si>
    <t>比亚迪G3</t>
  </si>
  <si>
    <t>DQ9219C1</t>
  </si>
  <si>
    <t>瑞虎5 2.0/瑞虎3 1.6</t>
  </si>
  <si>
    <t>DQ6407A</t>
  </si>
  <si>
    <t>马六2.0L</t>
  </si>
  <si>
    <t>DQ9133A2</t>
  </si>
  <si>
    <t>保时捷 卡宴 4.5L/4.5T</t>
  </si>
  <si>
    <t>DQ6492</t>
  </si>
  <si>
    <t>奇瑞多点</t>
  </si>
  <si>
    <t>DQ9004A</t>
  </si>
  <si>
    <t>风度A33</t>
  </si>
  <si>
    <t>DQ9005A</t>
  </si>
  <si>
    <t>江南奥拓</t>
  </si>
  <si>
    <t>DQ9029A1</t>
  </si>
  <si>
    <t>宝马BMW</t>
  </si>
  <si>
    <t>DQ9219A5</t>
  </si>
  <si>
    <t>哈飞骏意</t>
  </si>
  <si>
    <t>DQ6410A1</t>
  </si>
  <si>
    <t>德尔福四代</t>
  </si>
  <si>
    <t>DQ9103HR</t>
  </si>
  <si>
    <t>奥迪A8</t>
  </si>
  <si>
    <t>DQ9153A2</t>
  </si>
  <si>
    <t>长城 自动挡 H6 2.4L</t>
  </si>
  <si>
    <t>DQ6206</t>
  </si>
  <si>
    <t>三菱帕杰罗二代</t>
  </si>
  <si>
    <t>DQ9035A4</t>
  </si>
  <si>
    <t>长城H7</t>
  </si>
  <si>
    <t>DQ9109G1</t>
  </si>
  <si>
    <t>本田 雅阁 3.5L</t>
  </si>
  <si>
    <t>DQ6409</t>
  </si>
  <si>
    <t>通用别克陆尊</t>
  </si>
  <si>
    <t>DQ9037B1</t>
  </si>
  <si>
    <t>长城腾翼C30</t>
  </si>
  <si>
    <t>DQ9043A1</t>
  </si>
  <si>
    <t>北汽BJ40 2.3T</t>
  </si>
  <si>
    <t>DQ9035B1</t>
  </si>
  <si>
    <t>日产逍客1.2T</t>
  </si>
  <si>
    <t>DQ9041A1</t>
  </si>
  <si>
    <t>众泰大迈X5 1.5T</t>
  </si>
  <si>
    <t>DQ9219A9</t>
  </si>
  <si>
    <t>东风风神A60 1.4T</t>
  </si>
  <si>
    <t>DQ9402A5</t>
  </si>
  <si>
    <t>雪铁龙 C3（白插）</t>
  </si>
  <si>
    <t>DQ9150D1</t>
  </si>
  <si>
    <t>捷豹</t>
  </si>
  <si>
    <t>DQ9010D</t>
  </si>
  <si>
    <t>DQ9003B2</t>
  </si>
  <si>
    <t>DQ9021F1</t>
  </si>
  <si>
    <t>新款奇瑞 1.0L</t>
  </si>
  <si>
    <t>DQ6109</t>
  </si>
  <si>
    <t>奇瑞QQ0.8（老）</t>
  </si>
  <si>
    <t>DQ9036C1</t>
  </si>
  <si>
    <t>克莱斯勒 道奇 Jeep Ram 大众</t>
  </si>
  <si>
    <t>DQ9109F1</t>
  </si>
  <si>
    <t>本田 雅阁</t>
  </si>
  <si>
    <t>DQ9046B1</t>
  </si>
  <si>
    <t>吉利美日 2.0L</t>
  </si>
  <si>
    <t>DQ9046A2</t>
  </si>
  <si>
    <t>力帆330 1.3L</t>
  </si>
  <si>
    <t>DQ9113B</t>
  </si>
  <si>
    <t>三菱欧蓝德</t>
  </si>
  <si>
    <t>DQ9402A2</t>
  </si>
  <si>
    <t>标致2.0L 老款</t>
  </si>
  <si>
    <t>DQ9038A3</t>
  </si>
  <si>
    <t>力帆</t>
  </si>
  <si>
    <t>DQ6201</t>
  </si>
  <si>
    <t>金杯单点</t>
  </si>
  <si>
    <t>DQ9126A1</t>
  </si>
  <si>
    <t>路虎揽胜/极光</t>
  </si>
  <si>
    <t>DQ9010J1</t>
  </si>
  <si>
    <t>14款飞度</t>
  </si>
  <si>
    <t>DQ9025F1</t>
  </si>
  <si>
    <t>奔驰S400L(新奔驰276系列)</t>
  </si>
  <si>
    <t>DQ134</t>
  </si>
  <si>
    <t>蒙迪欧新款（小头）2.0</t>
  </si>
  <si>
    <t>DQ9106LR</t>
  </si>
  <si>
    <t>波罗 红头</t>
  </si>
  <si>
    <t>DQ9402A4</t>
  </si>
  <si>
    <t>标致 206 1.4L（黑插）</t>
  </si>
  <si>
    <t>DQ9206A</t>
  </si>
  <si>
    <t>三菱兰瑟</t>
  </si>
  <si>
    <t>DQ9023G1</t>
  </si>
  <si>
    <t>玛莎拉蒂总裁3.0T</t>
  </si>
  <si>
    <t>DQ6407</t>
  </si>
  <si>
    <t>蒙迪欧</t>
  </si>
  <si>
    <t>DQ9113G1</t>
  </si>
  <si>
    <t>三菱蓝瑟</t>
  </si>
  <si>
    <t>DQ6207</t>
  </si>
  <si>
    <t>圣达菲2.7</t>
  </si>
  <si>
    <t>DQ9210B1</t>
  </si>
  <si>
    <t>铃木 雨燕1.3L</t>
  </si>
  <si>
    <t>DQ9026A1</t>
  </si>
  <si>
    <t>路虎5.0T</t>
  </si>
  <si>
    <t>DQ910846</t>
  </si>
  <si>
    <t>丰田02246</t>
  </si>
  <si>
    <t>DQ9109T</t>
  </si>
  <si>
    <t>本田6代雅阁</t>
  </si>
  <si>
    <t>DQ6205</t>
  </si>
  <si>
    <t>帕萨特2.8</t>
  </si>
  <si>
    <t>DQ9003</t>
  </si>
  <si>
    <t>红旗A4E</t>
  </si>
  <si>
    <t>DQ9103H</t>
  </si>
  <si>
    <t>辉腾</t>
  </si>
  <si>
    <t>DQ132</t>
  </si>
  <si>
    <t>99新秀</t>
  </si>
  <si>
    <t>DQ9050A1</t>
  </si>
  <si>
    <t>帕杰罗劲畅</t>
  </si>
  <si>
    <t>DQ6106</t>
  </si>
  <si>
    <t>三菱猎豹V31</t>
  </si>
  <si>
    <t>DQ6109A</t>
  </si>
  <si>
    <t>乐驰0.8</t>
  </si>
  <si>
    <t>DQ6206A</t>
  </si>
  <si>
    <t>三菱 速跑 猎豹</t>
  </si>
  <si>
    <t>DQ9209C</t>
  </si>
  <si>
    <t>比亚迪483</t>
  </si>
  <si>
    <t>DQ132A</t>
  </si>
  <si>
    <t>奇瑞QQ1.1</t>
  </si>
  <si>
    <t>DQ9037C3</t>
  </si>
  <si>
    <t>DQ9113B3</t>
  </si>
  <si>
    <t>帕杰罗3.8L</t>
  </si>
  <si>
    <t>DQ6210</t>
  </si>
  <si>
    <t>千里马1.3L</t>
  </si>
  <si>
    <t>DQ9007C2</t>
  </si>
  <si>
    <t>索兰托2.0T</t>
  </si>
  <si>
    <t>DQ9036B1</t>
  </si>
  <si>
    <t>菲亚特</t>
  </si>
  <si>
    <t>DQ9406B1</t>
  </si>
  <si>
    <t>欧宝10458316</t>
  </si>
  <si>
    <t>DQ4201A1</t>
  </si>
  <si>
    <t>奔驰210</t>
  </si>
  <si>
    <t>DQ9029A2</t>
  </si>
  <si>
    <t>宝马E36/E46</t>
  </si>
  <si>
    <t>DQ9225A1</t>
  </si>
  <si>
    <t>奔驰W140发动机</t>
  </si>
  <si>
    <t>DQ9135B1</t>
  </si>
  <si>
    <t>标致 3.0L</t>
  </si>
  <si>
    <t>DQ9204</t>
  </si>
  <si>
    <t>嘉华3.5</t>
  </si>
  <si>
    <t>DQ9204A</t>
  </si>
  <si>
    <t>特拉卡</t>
  </si>
  <si>
    <t>DQ9130E1</t>
  </si>
  <si>
    <t>福特锐界</t>
  </si>
  <si>
    <t>DQ9112</t>
  </si>
  <si>
    <t>金杯格瑞斯</t>
  </si>
  <si>
    <t>DQ9007C1</t>
  </si>
  <si>
    <t>途胜1.6T</t>
  </si>
  <si>
    <t>DQ910845</t>
  </si>
  <si>
    <t>丰田02245</t>
  </si>
  <si>
    <t>DQ9113C</t>
  </si>
  <si>
    <t>帕杰罗欧蓝德富利卡</t>
  </si>
  <si>
    <t>DQ9209A2</t>
  </si>
  <si>
    <t>哈飞民意6370/6391/M100</t>
  </si>
  <si>
    <t>DQ9128B2</t>
  </si>
  <si>
    <t>凯迪拉克 SLS赛威 4.6L</t>
  </si>
  <si>
    <t>DQ910829</t>
  </si>
  <si>
    <t>丰田02229</t>
  </si>
  <si>
    <t>DQ1213</t>
  </si>
  <si>
    <t>旗云 宝马发动机</t>
  </si>
  <si>
    <t>DQ9127A1</t>
  </si>
  <si>
    <t>尼桑阳光N16</t>
  </si>
  <si>
    <t>DQ9005H</t>
  </si>
  <si>
    <t>福特林肯05-08</t>
  </si>
  <si>
    <t>DQ6402C1</t>
  </si>
  <si>
    <t>斯巴鲁</t>
  </si>
  <si>
    <t>DQ9017B1</t>
  </si>
  <si>
    <t>沃尔沃 S80 (长杆)</t>
  </si>
  <si>
    <t>DQ9215C</t>
  </si>
  <si>
    <t>DQ9003H1</t>
  </si>
  <si>
    <t>DQ9003G4</t>
  </si>
  <si>
    <t>奇骏2.0L</t>
  </si>
  <si>
    <t>DQ9003G3</t>
  </si>
  <si>
    <t>国外版日产楼兰15-19款/英菲尼迪</t>
  </si>
  <si>
    <t>DQ9025B1</t>
  </si>
  <si>
    <t>奔驰S320/ML350</t>
  </si>
  <si>
    <t>DQ9007C3</t>
  </si>
  <si>
    <t>起亚K3极睿</t>
  </si>
  <si>
    <t>DQ4101A1</t>
  </si>
  <si>
    <t>奔驰MB100</t>
  </si>
  <si>
    <t>DQ9051A1</t>
  </si>
  <si>
    <t>双龙柯兰多</t>
  </si>
  <si>
    <t>DQ9005</t>
  </si>
  <si>
    <t>小福特</t>
  </si>
  <si>
    <t>DQ9130F1</t>
  </si>
  <si>
    <t>福特金牛</t>
  </si>
  <si>
    <t>DQ9117D1</t>
  </si>
  <si>
    <t>铃木奥拓5 2009-2016款</t>
  </si>
  <si>
    <t>DQ9109H1</t>
  </si>
  <si>
    <t>本田 pil0t 13-09</t>
  </si>
  <si>
    <t>DQ9021G1</t>
  </si>
  <si>
    <t>SM3  1.6</t>
  </si>
  <si>
    <t>DQ9113B4</t>
  </si>
  <si>
    <t>三菱 Pajero (帕杰罗) 3.0L  2011款</t>
  </si>
  <si>
    <t>DQ9119A</t>
  </si>
  <si>
    <t>SPARK 1.2L/1.4L</t>
  </si>
  <si>
    <t>DQ9017E1</t>
  </si>
  <si>
    <t>DQ910838</t>
  </si>
  <si>
    <t>丰田02238</t>
  </si>
  <si>
    <t>DQ9114A</t>
  </si>
  <si>
    <t>途锐长杆</t>
  </si>
  <si>
    <t>DQ901811</t>
  </si>
  <si>
    <t>丰田凯美瑞汉兰达2017-2018 3.5L</t>
  </si>
  <si>
    <t>DQ134A</t>
  </si>
  <si>
    <t>05款大插口蒙迪欧</t>
  </si>
  <si>
    <t>DQ9130D1</t>
  </si>
  <si>
    <t>福特林肯</t>
  </si>
  <si>
    <t>DQ9017D1</t>
  </si>
  <si>
    <t>DQ9117D2</t>
  </si>
  <si>
    <t>铃木SX4 2012 2.0L；铃木 快捷（进口）1.3</t>
  </si>
  <si>
    <t>DQ9206A4</t>
  </si>
  <si>
    <t>三菱帕杰罗3.8V6</t>
  </si>
  <si>
    <t>DQ9003H7</t>
  </si>
  <si>
    <t>日产途乐</t>
  </si>
  <si>
    <t>DQ6607</t>
  </si>
  <si>
    <t>蒙迪欧六缸</t>
  </si>
  <si>
    <t>DQ9002E1</t>
  </si>
  <si>
    <t>马自达</t>
  </si>
  <si>
    <t>DQ9005B</t>
  </si>
  <si>
    <t>福特水星03-05</t>
  </si>
  <si>
    <t>DQ6209</t>
  </si>
  <si>
    <t>丰田霸道2700</t>
  </si>
  <si>
    <t>DQ9003B4</t>
  </si>
  <si>
    <t>SM7</t>
  </si>
  <si>
    <t>DQ910140</t>
  </si>
  <si>
    <t>27301-04000</t>
  </si>
  <si>
    <t>DQ9004C</t>
  </si>
  <si>
    <t>风雅A32短杆</t>
  </si>
  <si>
    <t>DQ921812</t>
  </si>
  <si>
    <t>吉普3400</t>
  </si>
  <si>
    <t>DQ9101S1</t>
  </si>
  <si>
    <t>现代雅尊</t>
  </si>
  <si>
    <t>DQ9204B</t>
  </si>
  <si>
    <t>起亚欧菲莱斯3.5</t>
  </si>
  <si>
    <t>DQ9004</t>
  </si>
  <si>
    <t>风度 A32长杆</t>
  </si>
  <si>
    <t>DQ6106A</t>
  </si>
  <si>
    <t>猎豹（化油器）</t>
  </si>
  <si>
    <t>DQ9005Q</t>
  </si>
  <si>
    <t>福特神探</t>
  </si>
  <si>
    <t>DQ9101</t>
  </si>
  <si>
    <t>老索纳塔</t>
  </si>
  <si>
    <t>DQ126</t>
  </si>
  <si>
    <t>北京切诺基</t>
  </si>
  <si>
    <t>DQ9005C</t>
  </si>
  <si>
    <t>DQ9005F</t>
  </si>
  <si>
    <t>福特 捷豹</t>
  </si>
  <si>
    <t>DQ9003A4</t>
  </si>
  <si>
    <t>日立/马自达3</t>
  </si>
  <si>
    <t>DQ9132A1</t>
  </si>
  <si>
    <t>进口森雅</t>
  </si>
  <si>
    <t>DQ910835</t>
  </si>
  <si>
    <t>丰田02235</t>
  </si>
  <si>
    <t>DQ9104F</t>
  </si>
  <si>
    <t>法系雷诺</t>
  </si>
  <si>
    <t>DQ6402</t>
  </si>
  <si>
    <t>DQ9130A1</t>
  </si>
  <si>
    <t>福特</t>
  </si>
  <si>
    <t>DQ9013</t>
  </si>
  <si>
    <t>铃木（笔式）</t>
  </si>
  <si>
    <t>DQ6408</t>
  </si>
  <si>
    <t>桑塔纳3000</t>
  </si>
  <si>
    <t>DQ9101T</t>
  </si>
  <si>
    <t>27301-37410</t>
  </si>
  <si>
    <t>DQ9407A</t>
  </si>
  <si>
    <t>雪佛兰拉赛蒂1.8</t>
  </si>
  <si>
    <t>DQ9132B1</t>
  </si>
  <si>
    <t>丰田大发</t>
  </si>
  <si>
    <t>DQ9206A3</t>
  </si>
  <si>
    <t>中华大空</t>
  </si>
  <si>
    <t>DQ921813</t>
  </si>
  <si>
    <t>汉兰达 普拉多</t>
  </si>
  <si>
    <t>DQ9014</t>
  </si>
  <si>
    <t>奥迪200</t>
  </si>
  <si>
    <t>DQ129</t>
  </si>
  <si>
    <t>小红旗</t>
  </si>
  <si>
    <t>DQ6203</t>
  </si>
  <si>
    <t>特拉卡途胜2.7</t>
  </si>
  <si>
    <t>DQ9130D2</t>
  </si>
  <si>
    <t>福特野马</t>
  </si>
  <si>
    <t>DQ9101J1</t>
  </si>
  <si>
    <t>雅绅特</t>
  </si>
  <si>
    <t>DQ9104</t>
  </si>
  <si>
    <t>日系雷诺</t>
  </si>
  <si>
    <t>DQ9122A1</t>
  </si>
  <si>
    <t>悍马</t>
  </si>
  <si>
    <t>DQ9033A1</t>
  </si>
  <si>
    <t>青年莲花</t>
  </si>
  <si>
    <t>DQ133</t>
  </si>
  <si>
    <t>五菱之光摩托罗拉</t>
  </si>
  <si>
    <t>DQ9003H4</t>
  </si>
  <si>
    <t>尼桑GTR3.8 V6</t>
  </si>
  <si>
    <t>DQ4201B1</t>
  </si>
  <si>
    <t>奔驰S320</t>
  </si>
  <si>
    <t>DQ9149B1</t>
  </si>
  <si>
    <t>沃尔沃S80</t>
  </si>
  <si>
    <t>DQ9032A1</t>
  </si>
  <si>
    <t>铃木</t>
  </si>
  <si>
    <t>DQ9214A</t>
  </si>
  <si>
    <t>现代</t>
  </si>
  <si>
    <t>DQ9007G1</t>
  </si>
  <si>
    <t>现代04110</t>
  </si>
  <si>
    <t>DQ9217C</t>
  </si>
  <si>
    <t>马自达Protege 1.6L</t>
  </si>
  <si>
    <t>DQ9005D2</t>
  </si>
  <si>
    <t>福特蒙迪欧</t>
  </si>
  <si>
    <t>DQ9214</t>
  </si>
  <si>
    <t>现代蓝杆</t>
  </si>
  <si>
    <t>DQ9130E2</t>
  </si>
  <si>
    <t>福特F150</t>
  </si>
  <si>
    <t>DQ6108</t>
  </si>
  <si>
    <t>丰田8A</t>
  </si>
  <si>
    <t>DQ133A</t>
  </si>
  <si>
    <t>福特(四头)</t>
  </si>
  <si>
    <t>DQ4608A1</t>
  </si>
  <si>
    <t>DQ9037C2</t>
  </si>
  <si>
    <t>比亚迪476</t>
  </si>
  <si>
    <t>DQ9113E1</t>
  </si>
  <si>
    <t>6Y02 奔驰</t>
  </si>
  <si>
    <t>DQ9132F1</t>
  </si>
  <si>
    <t>大发</t>
  </si>
  <si>
    <t>DQ9217B</t>
  </si>
  <si>
    <t>福美来短杆（国外）</t>
  </si>
  <si>
    <t>DQ9132C1</t>
  </si>
  <si>
    <t>一汽森雅M80  1.5L</t>
  </si>
  <si>
    <t>DQ6403</t>
  </si>
  <si>
    <t>DQ9405</t>
  </si>
  <si>
    <t>欧宝</t>
  </si>
  <si>
    <t>DQ9103</t>
  </si>
  <si>
    <t>帕萨特B5 铣胶面</t>
  </si>
  <si>
    <t>DQ9058A1</t>
  </si>
  <si>
    <t>捷途 1.5T,瑞虎3、瑞虎7</t>
  </si>
  <si>
    <t>DQ9057A1</t>
  </si>
  <si>
    <t>比速T5</t>
  </si>
  <si>
    <t>DQ9045C1</t>
  </si>
  <si>
    <t>斯巴鲁傲虎 2.0T</t>
  </si>
  <si>
    <t>DQ9003F1</t>
  </si>
  <si>
    <t>日产 370Z  V6 3.7L/英菲尼迪</t>
  </si>
  <si>
    <t>DQ6211</t>
  </si>
  <si>
    <t>DQ6108A</t>
  </si>
  <si>
    <t>丰田</t>
  </si>
  <si>
    <t>DQ6107</t>
  </si>
  <si>
    <t>本田雅阁</t>
  </si>
  <si>
    <t>DQ6108B</t>
  </si>
  <si>
    <t>DQ6110</t>
  </si>
  <si>
    <t>红旗世纪星</t>
  </si>
  <si>
    <t>DQ9059A1</t>
  </si>
  <si>
    <t>北京汽车</t>
  </si>
  <si>
    <t>DQ9034A4</t>
  </si>
  <si>
    <t>纳智捷优6 1.8T</t>
  </si>
  <si>
    <t>DQ9037C4</t>
  </si>
  <si>
    <t>广汽传祺GM61.5T</t>
  </si>
  <si>
    <t>DQ9025H1</t>
  </si>
  <si>
    <t>奔驰A2709060500</t>
  </si>
  <si>
    <t>DQ9017F1</t>
  </si>
  <si>
    <t>沃尔沃S60</t>
  </si>
  <si>
    <t>DQ9056A1</t>
  </si>
  <si>
    <t>东方小康</t>
  </si>
  <si>
    <t>DQ9067A1</t>
  </si>
  <si>
    <t>鑫源 X30L 1.5L/小海狮X30 1.5L</t>
  </si>
  <si>
    <t>DQ9061A1</t>
  </si>
  <si>
    <t>吉利缤瑞1.0T</t>
  </si>
  <si>
    <t>DQ9007F1</t>
  </si>
  <si>
    <t>起亚K3 1.5L</t>
  </si>
  <si>
    <t>DQ9068A1</t>
  </si>
  <si>
    <t>宝沃BX5 1.4T /福田伽途GT 1.4T</t>
  </si>
  <si>
    <t>DQ9066A1</t>
  </si>
  <si>
    <t>吉利缤越1.5T</t>
  </si>
  <si>
    <t>DQ9062A1</t>
  </si>
  <si>
    <t>东风风行 风行M7</t>
  </si>
  <si>
    <t>DQ9026A3</t>
  </si>
  <si>
    <t>捷豹/路虎 2.0T</t>
  </si>
  <si>
    <t>DQ9060A1</t>
  </si>
  <si>
    <t>东风风光Ixi5</t>
  </si>
  <si>
    <t>DQ9133B1</t>
  </si>
  <si>
    <t>保时捷cayman 2.9L</t>
  </si>
  <si>
    <t>DQ9034A6</t>
  </si>
  <si>
    <t>北汽绅宝</t>
  </si>
  <si>
    <t>DQ9064A1</t>
  </si>
  <si>
    <t>上汽MAXUS G10</t>
  </si>
  <si>
    <t>DQ9045D1</t>
  </si>
  <si>
    <t>斯巴鲁森林人2.0L</t>
  </si>
  <si>
    <t>DQ9154A1</t>
  </si>
  <si>
    <t>DQ9034A7</t>
  </si>
  <si>
    <t>DQ9023E1</t>
  </si>
  <si>
    <t>大众 途昂 4MOTION 奥迪 4.0T</t>
  </si>
  <si>
    <t>DQ9062A2</t>
  </si>
  <si>
    <t>新款东风柳汽</t>
  </si>
  <si>
    <t>DQ9034A5</t>
  </si>
  <si>
    <t>DQ9156A1</t>
  </si>
  <si>
    <t>福特、福克斯</t>
  </si>
  <si>
    <t>DQ9065A1</t>
  </si>
  <si>
    <t>JEEP 牧马人 Sahara 2.0T</t>
  </si>
  <si>
    <t>DQ9155A1</t>
  </si>
  <si>
    <t>奇瑞瑞麟G6 2.0T</t>
  </si>
  <si>
    <t>DQ9063A1</t>
  </si>
  <si>
    <t>凯迪拉克 CT6 3.0T</t>
  </si>
  <si>
    <t>DQ9069A1</t>
  </si>
  <si>
    <t>长安CS55 PLUS 1.5T</t>
  </si>
  <si>
    <t>DQ9130B1</t>
  </si>
  <si>
    <t>福特猛禽F-150(右排)</t>
  </si>
  <si>
    <t>DQ9016D1</t>
  </si>
  <si>
    <t>全新凯越1.3L 2018-</t>
  </si>
  <si>
    <t>DQ9045E1</t>
  </si>
  <si>
    <t>斯巴鲁XV 2.0L</t>
  </si>
  <si>
    <t>DQ9011A1</t>
  </si>
  <si>
    <t>丰田特锐</t>
  </si>
  <si>
    <t>DQ9039F1</t>
  </si>
  <si>
    <t>福瑞达M50S 1.4L</t>
  </si>
  <si>
    <t>DQ9050A2</t>
  </si>
  <si>
    <t>三菱欧蓝德2.4L</t>
  </si>
  <si>
    <t>DQ9076A1</t>
  </si>
  <si>
    <t>本田 LIFE 2009</t>
  </si>
  <si>
    <t>DQ9078A1</t>
  </si>
  <si>
    <t>海马8S 1.6T</t>
  </si>
  <si>
    <t>DQ9068A2</t>
  </si>
  <si>
    <t>宝沃BX5</t>
  </si>
  <si>
    <t>DQ901876</t>
  </si>
  <si>
    <t>丰田凯美瑞2.0L</t>
  </si>
  <si>
    <t>DQ9070A1</t>
  </si>
  <si>
    <t>北汽BJ40 PLUS</t>
  </si>
  <si>
    <t>DQ9074A1</t>
  </si>
  <si>
    <t>广汽传祺GM8 2.0T</t>
  </si>
  <si>
    <t>DQ9037C5</t>
  </si>
  <si>
    <t>吉利博越</t>
  </si>
  <si>
    <t>DQ9016E1</t>
  </si>
  <si>
    <t>凯迪拉克2.0T（进口）</t>
  </si>
  <si>
    <t>DQ9158A1</t>
  </si>
  <si>
    <t>道奇杜兰戈指挥官</t>
  </si>
  <si>
    <t>DQ9132E1</t>
  </si>
  <si>
    <t>大发 米拉</t>
  </si>
  <si>
    <t>DQ9031A199</t>
  </si>
  <si>
    <t>14款科鲁兹（专用）</t>
  </si>
  <si>
    <t>DQ9003G5</t>
  </si>
  <si>
    <t>日产尼桑</t>
  </si>
  <si>
    <t>DQ4102A1</t>
  </si>
  <si>
    <t>本田思域</t>
  </si>
  <si>
    <t>DQ4102B1</t>
  </si>
  <si>
    <t>日产帕拉丁</t>
  </si>
  <si>
    <t>DQ9101C2</t>
  </si>
  <si>
    <t>现代ix35</t>
  </si>
  <si>
    <t>DQ9130C1</t>
  </si>
  <si>
    <t>福特翼虎(美规)3.0L</t>
  </si>
  <si>
    <t>DQ9157A1</t>
  </si>
  <si>
    <t>时风风云 1.8L</t>
  </si>
  <si>
    <t>DQ9080A1</t>
  </si>
  <si>
    <t>标致308</t>
  </si>
  <si>
    <t>DQ9050A3</t>
  </si>
  <si>
    <t>铃木 Celerio</t>
  </si>
  <si>
    <t>DQ9050A4</t>
  </si>
  <si>
    <t>铃木雨燕SX4 1.4T</t>
  </si>
  <si>
    <t>DQ9132L1</t>
  </si>
  <si>
    <t>大发97204</t>
  </si>
  <si>
    <t>DQ9033B1</t>
  </si>
  <si>
    <t>宝腾 艾索拉</t>
  </si>
  <si>
    <t>DQ9081A1</t>
  </si>
  <si>
    <t>风骏 5</t>
  </si>
  <si>
    <t>DQ9077A1</t>
  </si>
  <si>
    <t>上汽通用雪佛兰 科沃兹</t>
  </si>
  <si>
    <t>DQ9074A2</t>
  </si>
  <si>
    <t>东风小康D71</t>
  </si>
  <si>
    <t>DQ9036D1</t>
  </si>
  <si>
    <t>指南者</t>
  </si>
  <si>
    <t>DQ9082A1</t>
  </si>
  <si>
    <t>凯马</t>
  </si>
  <si>
    <t>DQ9025K1</t>
  </si>
  <si>
    <t>奔驰1.3T</t>
  </si>
  <si>
    <t>DQ9039A2</t>
  </si>
  <si>
    <t>力帆迈威 1.8L</t>
  </si>
  <si>
    <t>DQ9007L1</t>
  </si>
  <si>
    <t>现代IX35</t>
  </si>
  <si>
    <t>DQ6108C</t>
  </si>
  <si>
    <t>DQ9002B2</t>
  </si>
  <si>
    <t>Mazda 5 / MX5</t>
  </si>
  <si>
    <t>DQ9003A5</t>
  </si>
  <si>
    <t>SM3</t>
  </si>
  <si>
    <t>DQ9003H8</t>
  </si>
  <si>
    <t>SM3 2.0</t>
  </si>
  <si>
    <t>DQ9003J1</t>
  </si>
  <si>
    <t>途乐5.6L</t>
  </si>
  <si>
    <t>DQ9003J2</t>
  </si>
  <si>
    <t>途乐4.0L</t>
  </si>
  <si>
    <t>DQ9003K1</t>
  </si>
  <si>
    <t>DQ9004D2</t>
  </si>
  <si>
    <t>DQ9005M1</t>
  </si>
  <si>
    <t>福特96-99</t>
  </si>
  <si>
    <t>DQ9007J1</t>
  </si>
  <si>
    <t>现代3L030</t>
  </si>
  <si>
    <t>DQ9007H1</t>
  </si>
  <si>
    <t>2019 Kia Cadenza 3.3l</t>
  </si>
  <si>
    <t>DQ9008A1</t>
  </si>
  <si>
    <t>三菱蓝瑟4G93</t>
  </si>
  <si>
    <t>DQ9008B1</t>
  </si>
  <si>
    <t>三菱蓝瑟08-12  2.0L</t>
  </si>
  <si>
    <t>DQ9010G1</t>
  </si>
  <si>
    <t>本田锋范</t>
  </si>
  <si>
    <t>DQ9010L1</t>
  </si>
  <si>
    <t>本田飞度混动2013款</t>
  </si>
  <si>
    <t>DQ901810</t>
  </si>
  <si>
    <t>丰田2017-201818致炫</t>
  </si>
  <si>
    <t>DQ9024</t>
  </si>
  <si>
    <t>竞技  骑兵</t>
  </si>
  <si>
    <t>DQ9030C1</t>
  </si>
  <si>
    <t>长安福特  金牛座2.7T</t>
  </si>
  <si>
    <t>DQ9034A3</t>
  </si>
  <si>
    <t>纳智捷TT26S</t>
  </si>
  <si>
    <t>DQ9036C2</t>
  </si>
  <si>
    <t>jeep 自由光2.0L</t>
  </si>
  <si>
    <t>DQ9041A2</t>
  </si>
  <si>
    <t>东风风行T5L1.5T</t>
  </si>
  <si>
    <t>DQ9062A3</t>
  </si>
  <si>
    <t>长城风骏5 2.4L</t>
  </si>
  <si>
    <t>DQ9062A4</t>
  </si>
  <si>
    <t>瑞迈2.0T</t>
  </si>
  <si>
    <t>DQ9071A1</t>
  </si>
  <si>
    <t>东风小康C31</t>
  </si>
  <si>
    <t>DQ9072A1</t>
  </si>
  <si>
    <t>北汽幻速S51.3T</t>
  </si>
  <si>
    <t>DQ9101B3</t>
  </si>
  <si>
    <t>27301-2B000</t>
  </si>
  <si>
    <t>DQ9101L1</t>
  </si>
  <si>
    <t>起亚LPI</t>
  </si>
  <si>
    <t>DQ910836</t>
  </si>
  <si>
    <t>丰田凌志</t>
  </si>
  <si>
    <t>DQ9111</t>
  </si>
  <si>
    <t>拉达笔式</t>
  </si>
  <si>
    <t>DQ9113F1</t>
  </si>
  <si>
    <t>三菱SMART</t>
  </si>
  <si>
    <t>DQ9128A2</t>
  </si>
  <si>
    <t>林荫大道</t>
  </si>
  <si>
    <t>DQ9128B1</t>
  </si>
  <si>
    <t>别克卢赛恩</t>
  </si>
  <si>
    <t>DQ9132G1</t>
  </si>
  <si>
    <t>丰田Agya 2012-2016</t>
  </si>
  <si>
    <t>DQ9132H1</t>
  </si>
  <si>
    <t>丰田Agya (9004A-19005)</t>
  </si>
  <si>
    <t>DQ9136A1</t>
  </si>
  <si>
    <t>新SM5 LPG</t>
  </si>
  <si>
    <t>DQ9201D</t>
  </si>
  <si>
    <t>长安奔奔</t>
  </si>
  <si>
    <t>DQ9205A2</t>
  </si>
  <si>
    <t>菱智1.5L</t>
  </si>
  <si>
    <t>DQ9211A1</t>
  </si>
  <si>
    <t>DQ9211B1</t>
  </si>
  <si>
    <t>DQ9402B1</t>
  </si>
  <si>
    <t>标致</t>
  </si>
  <si>
    <t>DQ9109J1</t>
  </si>
  <si>
    <t>DQ9025J1</t>
  </si>
  <si>
    <t>奔驰E260</t>
  </si>
  <si>
    <t>DQ9040C3</t>
  </si>
  <si>
    <t>海狮X30L</t>
  </si>
  <si>
    <t>DQ9050B1</t>
  </si>
  <si>
    <t>三菱 伊柯丽斯3.8L</t>
  </si>
  <si>
    <t>DQ9025D1</t>
  </si>
  <si>
    <t>奔驰C200K(W203) 2.0T</t>
  </si>
  <si>
    <t>DQ9073A1</t>
  </si>
  <si>
    <t>雪佛兰SPARK 1.4L</t>
  </si>
  <si>
    <t>DQ6401B1</t>
  </si>
  <si>
    <t>雷诺Dacia</t>
  </si>
  <si>
    <t>DQ4301A1</t>
  </si>
  <si>
    <t>斯帕克0.8L</t>
  </si>
  <si>
    <t>DQ9132K1</t>
  </si>
  <si>
    <t>大发B2040</t>
  </si>
  <si>
    <t>DQ9117C2</t>
  </si>
  <si>
    <t>铃木奥拓2000-2002</t>
  </si>
  <si>
    <t>DQ9101W1</t>
  </si>
  <si>
    <t>PICANTO(TA)1.2</t>
  </si>
  <si>
    <t>DQ9005S1</t>
  </si>
  <si>
    <t>福特嘉年华</t>
  </si>
  <si>
    <t>DQ1212Y</t>
  </si>
  <si>
    <t>DQ133B</t>
  </si>
  <si>
    <t>菲亚特1.3L</t>
  </si>
  <si>
    <t>DQ4103A1</t>
  </si>
  <si>
    <t>三菱96-03</t>
  </si>
  <si>
    <t>DQ6401</t>
  </si>
  <si>
    <t>雷诺（三孔）</t>
  </si>
  <si>
    <t>DQ6601A1</t>
  </si>
  <si>
    <t>大切诺基4.0L</t>
  </si>
  <si>
    <t>DQ901881</t>
  </si>
  <si>
    <t>丰田Aygo2014-2016</t>
  </si>
  <si>
    <t>DQ9025A2</t>
  </si>
  <si>
    <t>奔驰AMG Coupe</t>
  </si>
  <si>
    <t>DQ9036B2</t>
  </si>
  <si>
    <t>JEEP（红插）</t>
  </si>
  <si>
    <t>DQ9117E1</t>
  </si>
  <si>
    <t>DQ9132J1</t>
  </si>
  <si>
    <t>大发B2050</t>
  </si>
  <si>
    <t>DQ4108A1</t>
  </si>
  <si>
    <t>雪佛兰罗德</t>
  </si>
  <si>
    <t>DQ4107A1</t>
  </si>
  <si>
    <t>雪佛兰GMC</t>
  </si>
  <si>
    <t>DQ4110A1</t>
  </si>
  <si>
    <t>雪佛兰英帕拉</t>
  </si>
  <si>
    <t>DQ4401A1</t>
  </si>
  <si>
    <t>ATOS  1.0L</t>
  </si>
  <si>
    <t>DQ4401B1</t>
  </si>
  <si>
    <t>AT0SL41.0L</t>
  </si>
  <si>
    <t>DQ4105A1</t>
  </si>
  <si>
    <t>雪佛兰科迈罗</t>
  </si>
  <si>
    <t>DQ9036C102</t>
  </si>
  <si>
    <t>克莱斯勒300C 3.6L(带螺丝）</t>
  </si>
  <si>
    <t>DQ9226A1</t>
  </si>
  <si>
    <t>大切诺基</t>
  </si>
  <si>
    <t>DQ9001B1</t>
  </si>
  <si>
    <t>拉达格兰塔</t>
  </si>
  <si>
    <t>DQ9139A1</t>
  </si>
  <si>
    <t>丰田大发HijetAtrai2010</t>
  </si>
  <si>
    <t>DQ4109A1</t>
  </si>
  <si>
    <t>雪佛兰</t>
  </si>
  <si>
    <t>DQ9159A1</t>
  </si>
  <si>
    <t>三星SM5</t>
  </si>
  <si>
    <t>DQ9117F1</t>
  </si>
  <si>
    <t>铃木阿尔托</t>
  </si>
  <si>
    <t>DQ9016F1</t>
  </si>
  <si>
    <t>昂科旗</t>
  </si>
  <si>
    <t>DQ9013B1</t>
  </si>
  <si>
    <t>grand vitara</t>
  </si>
  <si>
    <t>DQ4103B1</t>
  </si>
  <si>
    <t>尼桑B13</t>
  </si>
  <si>
    <t>DQ4104A1</t>
  </si>
  <si>
    <t>本田EF2</t>
  </si>
  <si>
    <t>DQ9103K1</t>
  </si>
  <si>
    <t>大众福克斯</t>
  </si>
  <si>
    <t>DQ4202A1</t>
  </si>
  <si>
    <t>丰田SR40</t>
  </si>
  <si>
    <t>DQ4106A1</t>
  </si>
  <si>
    <t>DQ4115A1</t>
  </si>
  <si>
    <t>90919-02098</t>
  </si>
  <si>
    <t>DQ4119A1</t>
  </si>
  <si>
    <t>马自达MX-3</t>
  </si>
  <si>
    <t>DQ4120A1</t>
  </si>
  <si>
    <t>雷克萨斯</t>
  </si>
  <si>
    <t>DQ4402A1</t>
  </si>
  <si>
    <t>起亚EIO L4</t>
  </si>
  <si>
    <t>DQ9003G7</t>
  </si>
  <si>
    <t>22448-6LBOA</t>
  </si>
  <si>
    <t>DQ9007K1</t>
  </si>
  <si>
    <t>现代起亚</t>
  </si>
  <si>
    <t>DQ9007M1</t>
  </si>
  <si>
    <t>现代伊兰特</t>
  </si>
  <si>
    <t>DQ9007Q1</t>
  </si>
  <si>
    <t>DQ901872</t>
  </si>
  <si>
    <t>丰田02272</t>
  </si>
  <si>
    <t>DQ901877</t>
  </si>
  <si>
    <t>雷凌1.5L</t>
  </si>
  <si>
    <t>DQ9031E1</t>
  </si>
  <si>
    <t>MG6 1.5T</t>
  </si>
  <si>
    <t>DQ9033C1</t>
  </si>
  <si>
    <t>宝腾 至尊S</t>
  </si>
  <si>
    <t>DQ9036E1</t>
  </si>
  <si>
    <t>克莱斯勒大捷龙</t>
  </si>
  <si>
    <t>DQ9037A1</t>
  </si>
  <si>
    <t>比亚迪476 (KRK)</t>
  </si>
  <si>
    <t>DQ9085A1</t>
  </si>
  <si>
    <t>福特福克斯</t>
  </si>
  <si>
    <t>DQ9086A1</t>
  </si>
  <si>
    <t>金杯 蒂阿兹</t>
  </si>
  <si>
    <t>DQ9088A1</t>
  </si>
  <si>
    <t>雷诺二针</t>
  </si>
  <si>
    <t>DQ9089A1</t>
  </si>
  <si>
    <t>风神、奕炫</t>
  </si>
  <si>
    <t>DQ9091A1</t>
  </si>
  <si>
    <t>红旗HS5 2.0T</t>
  </si>
  <si>
    <t>DQ9104C1</t>
  </si>
  <si>
    <t>雷诺CLIO1.2</t>
  </si>
  <si>
    <t>DQ91087402</t>
  </si>
  <si>
    <t>丰田02274</t>
  </si>
  <si>
    <t>DQ9162A1</t>
  </si>
  <si>
    <t>吉普道奇</t>
  </si>
  <si>
    <t>DQ9023C2</t>
  </si>
  <si>
    <t>大众斯柯达</t>
  </si>
  <si>
    <t>DQ9097A1</t>
  </si>
  <si>
    <t>奇瑞E3</t>
  </si>
  <si>
    <t>DQ9030D1</t>
  </si>
  <si>
    <t>福特/林肯</t>
  </si>
  <si>
    <t>DQ9030B1</t>
  </si>
  <si>
    <t>福特蒙迪欧致胜2.0T</t>
  </si>
  <si>
    <t>DQ9081A2</t>
  </si>
  <si>
    <t>哈弗M6</t>
  </si>
  <si>
    <t>DQ9084A1</t>
  </si>
  <si>
    <t>比亚迪秦PLUS</t>
  </si>
  <si>
    <t>NP彩未60319</t>
  </si>
  <si>
    <t>LP彩未60319</t>
  </si>
  <si>
    <t>SLP彩未60319</t>
  </si>
  <si>
    <t>2S彩未60319</t>
  </si>
  <si>
    <t>3S彩未60319</t>
  </si>
  <si>
    <t>4S彩未60319</t>
  </si>
  <si>
    <t>NP中含60319</t>
  </si>
  <si>
    <t>LP中含60319</t>
  </si>
  <si>
    <t>SLP中含60319</t>
  </si>
  <si>
    <t>2S中含60319</t>
  </si>
  <si>
    <t>3S中含60319</t>
  </si>
  <si>
    <t>4S中含60319</t>
  </si>
  <si>
    <t>NP中未60319</t>
  </si>
  <si>
    <t>LP中未60319</t>
  </si>
  <si>
    <t>SLP中未60319</t>
  </si>
  <si>
    <t>2S中未60319</t>
  </si>
  <si>
    <t>3S中未60319</t>
  </si>
  <si>
    <t>4S中未60319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</si>
</sst>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9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1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1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2806;&#36152;&#20215;&#26684;&#20307;&#31995;&#20998;&#26512;6031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定价原则"/>
      <sheetName val="SLP彩含调价分析60315"/>
      <sheetName val="本60301"/>
      <sheetName val="彩含分析60315"/>
      <sheetName val="彩未分析60315"/>
      <sheetName val="中含分析60315"/>
      <sheetName val="中未分析60315"/>
      <sheetName val="彩含51111"/>
      <sheetName val="彩未51111"/>
      <sheetName val="中含51111"/>
      <sheetName val="中未51111"/>
      <sheetName val="本51218 "/>
      <sheetName val="本50512 "/>
      <sheetName val="Sheet1"/>
    </sheetNames>
    <sheetDataSet>
      <sheetData sheetId="0"/>
      <sheetData sheetId="1"/>
      <sheetData sheetId="2"/>
      <sheetData sheetId="3">
        <row r="1">
          <cell r="A1" t="str">
            <v>对外型号</v>
          </cell>
          <cell r="B1" t="str">
            <v>25年销量</v>
          </cell>
          <cell r="C1" t="str">
            <v>定价用本60315</v>
          </cell>
          <cell r="D1" t="str">
            <v>增加</v>
          </cell>
          <cell r="E1" t="str">
            <v>彩含本60301</v>
          </cell>
          <cell r="F1" t="str">
            <v>新属性</v>
          </cell>
          <cell r="G1" t="str">
            <v>通用名</v>
          </cell>
          <cell r="H1" t="str">
            <v>NP彩含60315</v>
          </cell>
          <cell r="I1" t="str">
            <v>LP彩含60315</v>
          </cell>
          <cell r="J1" t="str">
            <v>SLP彩含60315</v>
          </cell>
          <cell r="K1" t="str">
            <v>2S彩含60315</v>
          </cell>
          <cell r="L1" t="str">
            <v>3S彩含60315</v>
          </cell>
          <cell r="M1" t="str">
            <v>4S彩含60315</v>
          </cell>
        </row>
        <row r="2">
          <cell r="A2" t="str">
            <v>DQ910852</v>
          </cell>
          <cell r="B2">
            <v>102127</v>
          </cell>
          <cell r="C2">
            <v>27.1706323454545</v>
          </cell>
          <cell r="D2">
            <v>0</v>
          </cell>
          <cell r="E2">
            <v>27.1706323454545</v>
          </cell>
          <cell r="F2" t="str">
            <v>自制</v>
          </cell>
          <cell r="G2" t="str">
            <v>丰田卡罗拉</v>
          </cell>
          <cell r="H2">
            <v>37</v>
          </cell>
          <cell r="I2">
            <v>36</v>
          </cell>
          <cell r="J2">
            <v>34</v>
          </cell>
          <cell r="K2">
            <v>33</v>
          </cell>
          <cell r="L2">
            <v>32</v>
          </cell>
          <cell r="M2">
            <v>30</v>
          </cell>
        </row>
        <row r="3">
          <cell r="A3" t="str">
            <v>DQ9101B1</v>
          </cell>
          <cell r="B3">
            <v>68787</v>
          </cell>
          <cell r="C3">
            <v>17</v>
          </cell>
          <cell r="D3">
            <v>-0.9167366818182</v>
          </cell>
          <cell r="E3">
            <v>17.9167366818182</v>
          </cell>
          <cell r="F3" t="str">
            <v>自制</v>
          </cell>
          <cell r="G3" t="str">
            <v>伽玛发动机</v>
          </cell>
          <cell r="H3">
            <v>23</v>
          </cell>
          <cell r="I3">
            <v>23</v>
          </cell>
          <cell r="J3">
            <v>22</v>
          </cell>
          <cell r="K3">
            <v>21</v>
          </cell>
          <cell r="L3">
            <v>20</v>
          </cell>
          <cell r="M3">
            <v>19</v>
          </cell>
        </row>
        <row r="4">
          <cell r="A4" t="str">
            <v>DQ910848</v>
          </cell>
          <cell r="B4">
            <v>59649</v>
          </cell>
          <cell r="C4">
            <v>26.0279398654546</v>
          </cell>
          <cell r="D4">
            <v>0</v>
          </cell>
          <cell r="E4">
            <v>26.0279398654546</v>
          </cell>
          <cell r="F4" t="str">
            <v>自制</v>
          </cell>
          <cell r="G4" t="str">
            <v>丰田02248</v>
          </cell>
          <cell r="H4">
            <v>36</v>
          </cell>
          <cell r="I4">
            <v>34</v>
          </cell>
          <cell r="J4">
            <v>33</v>
          </cell>
          <cell r="K4">
            <v>32</v>
          </cell>
          <cell r="L4">
            <v>30</v>
          </cell>
          <cell r="M4">
            <v>29</v>
          </cell>
        </row>
        <row r="5">
          <cell r="A5" t="str">
            <v>DQ910840</v>
          </cell>
          <cell r="B5">
            <v>57082</v>
          </cell>
          <cell r="C5">
            <v>26.2699398654545</v>
          </cell>
          <cell r="D5">
            <v>0</v>
          </cell>
          <cell r="E5">
            <v>26.2699398654545</v>
          </cell>
          <cell r="F5" t="str">
            <v>自制</v>
          </cell>
          <cell r="G5" t="str">
            <v>丰田02240</v>
          </cell>
          <cell r="H5">
            <v>36</v>
          </cell>
          <cell r="I5">
            <v>35</v>
          </cell>
          <cell r="J5">
            <v>33</v>
          </cell>
          <cell r="K5">
            <v>32</v>
          </cell>
          <cell r="L5">
            <v>31</v>
          </cell>
          <cell r="M5">
            <v>29</v>
          </cell>
        </row>
        <row r="6">
          <cell r="A6" t="str">
            <v>DQ9106L</v>
          </cell>
          <cell r="B6">
            <v>55969</v>
          </cell>
          <cell r="C6">
            <v>29.2126187151515</v>
          </cell>
          <cell r="D6">
            <v>0</v>
          </cell>
          <cell r="E6">
            <v>29.2126187151515</v>
          </cell>
          <cell r="F6" t="str">
            <v>自制</v>
          </cell>
          <cell r="G6" t="str">
            <v>波罗</v>
          </cell>
          <cell r="H6">
            <v>40</v>
          </cell>
          <cell r="I6">
            <v>38</v>
          </cell>
          <cell r="J6">
            <v>37</v>
          </cell>
          <cell r="K6">
            <v>36</v>
          </cell>
          <cell r="L6">
            <v>34</v>
          </cell>
          <cell r="M6">
            <v>33</v>
          </cell>
        </row>
        <row r="7">
          <cell r="A7" t="str">
            <v>DQ9003H2</v>
          </cell>
          <cell r="B7">
            <v>50616</v>
          </cell>
          <cell r="C7">
            <v>26.0482623454546</v>
          </cell>
          <cell r="D7">
            <v>0</v>
          </cell>
          <cell r="E7">
            <v>26.0482623454546</v>
          </cell>
          <cell r="F7" t="str">
            <v>自制</v>
          </cell>
          <cell r="G7" t="str">
            <v>尼桑</v>
          </cell>
          <cell r="H7">
            <v>36</v>
          </cell>
          <cell r="I7">
            <v>34</v>
          </cell>
          <cell r="J7">
            <v>33</v>
          </cell>
          <cell r="K7">
            <v>32</v>
          </cell>
          <cell r="L7">
            <v>30</v>
          </cell>
          <cell r="M7">
            <v>29</v>
          </cell>
        </row>
        <row r="8">
          <cell r="A8" t="str">
            <v>DQ9103A</v>
          </cell>
          <cell r="B8">
            <v>44310</v>
          </cell>
          <cell r="C8">
            <v>31.1732391454546</v>
          </cell>
          <cell r="D8">
            <v>0</v>
          </cell>
          <cell r="E8">
            <v>31.1732391454546</v>
          </cell>
          <cell r="F8" t="str">
            <v>自制</v>
          </cell>
          <cell r="G8" t="str">
            <v>奥迪C6</v>
          </cell>
          <cell r="H8">
            <v>43</v>
          </cell>
          <cell r="I8">
            <v>41</v>
          </cell>
          <cell r="J8">
            <v>39</v>
          </cell>
          <cell r="K8">
            <v>38</v>
          </cell>
          <cell r="L8">
            <v>36</v>
          </cell>
          <cell r="M8">
            <v>35</v>
          </cell>
        </row>
        <row r="9">
          <cell r="A9" t="str">
            <v>DQ9110A</v>
          </cell>
          <cell r="B9">
            <v>34817</v>
          </cell>
          <cell r="C9">
            <v>26.3787354121212</v>
          </cell>
          <cell r="D9">
            <v>0</v>
          </cell>
          <cell r="E9">
            <v>26.3787354121212</v>
          </cell>
          <cell r="F9" t="str">
            <v>自制</v>
          </cell>
          <cell r="G9" t="str">
            <v>宝马博世款</v>
          </cell>
          <cell r="H9">
            <v>36</v>
          </cell>
          <cell r="I9">
            <v>35</v>
          </cell>
          <cell r="J9">
            <v>33</v>
          </cell>
          <cell r="K9">
            <v>32</v>
          </cell>
          <cell r="L9">
            <v>31</v>
          </cell>
          <cell r="M9">
            <v>30</v>
          </cell>
        </row>
        <row r="10">
          <cell r="A10" t="str">
            <v>DQ910839</v>
          </cell>
          <cell r="B10">
            <v>34454</v>
          </cell>
          <cell r="C10">
            <v>25.9904395018182</v>
          </cell>
          <cell r="D10">
            <v>0</v>
          </cell>
          <cell r="E10">
            <v>25.9904395018182</v>
          </cell>
          <cell r="F10" t="str">
            <v>自制</v>
          </cell>
          <cell r="G10" t="str">
            <v>丰田02239</v>
          </cell>
          <cell r="H10">
            <v>36</v>
          </cell>
          <cell r="I10">
            <v>34</v>
          </cell>
          <cell r="J10">
            <v>33</v>
          </cell>
          <cell r="K10">
            <v>32</v>
          </cell>
          <cell r="L10">
            <v>30</v>
          </cell>
          <cell r="M10">
            <v>29</v>
          </cell>
        </row>
        <row r="11">
          <cell r="A11" t="str">
            <v>DQ9115A</v>
          </cell>
          <cell r="B11">
            <v>29979</v>
          </cell>
          <cell r="C11">
            <v>18</v>
          </cell>
          <cell r="D11">
            <v>-0.1146375151515</v>
          </cell>
          <cell r="E11">
            <v>18.1146375151515</v>
          </cell>
          <cell r="F11" t="str">
            <v>自制</v>
          </cell>
          <cell r="G11" t="str">
            <v>4A9</v>
          </cell>
          <cell r="H11">
            <v>25</v>
          </cell>
          <cell r="I11">
            <v>24</v>
          </cell>
          <cell r="J11">
            <v>23</v>
          </cell>
          <cell r="K11">
            <v>22</v>
          </cell>
          <cell r="L11">
            <v>21</v>
          </cell>
          <cell r="M11">
            <v>20</v>
          </cell>
        </row>
        <row r="12">
          <cell r="A12" t="str">
            <v>DQ9110C</v>
          </cell>
          <cell r="B12">
            <v>26011</v>
          </cell>
          <cell r="C12">
            <v>28.0152085454545</v>
          </cell>
          <cell r="D12">
            <v>0</v>
          </cell>
          <cell r="E12">
            <v>28.0152085454545</v>
          </cell>
          <cell r="F12" t="str">
            <v>自制</v>
          </cell>
          <cell r="G12" t="str">
            <v>宝马德尔福款</v>
          </cell>
          <cell r="H12">
            <v>38</v>
          </cell>
          <cell r="I12">
            <v>37</v>
          </cell>
          <cell r="J12">
            <v>36</v>
          </cell>
          <cell r="K12">
            <v>34</v>
          </cell>
          <cell r="L12">
            <v>33</v>
          </cell>
          <cell r="M12">
            <v>31</v>
          </cell>
        </row>
        <row r="13">
          <cell r="A13" t="str">
            <v>DQ9012</v>
          </cell>
          <cell r="B13">
            <v>25879</v>
          </cell>
          <cell r="C13">
            <v>31.3294943454546</v>
          </cell>
          <cell r="D13">
            <v>0</v>
          </cell>
          <cell r="E13">
            <v>31.3294943454546</v>
          </cell>
          <cell r="F13" t="str">
            <v>自制</v>
          </cell>
          <cell r="G13" t="str">
            <v>骐达</v>
          </cell>
          <cell r="H13">
            <v>43</v>
          </cell>
          <cell r="I13">
            <v>41</v>
          </cell>
          <cell r="J13">
            <v>40</v>
          </cell>
          <cell r="K13">
            <v>38</v>
          </cell>
          <cell r="L13">
            <v>37</v>
          </cell>
          <cell r="M13">
            <v>35</v>
          </cell>
        </row>
        <row r="14">
          <cell r="A14" t="str">
            <v>DQ910844</v>
          </cell>
          <cell r="B14">
            <v>24839</v>
          </cell>
          <cell r="C14">
            <v>26.0253438654546</v>
          </cell>
          <cell r="D14">
            <v>0</v>
          </cell>
          <cell r="E14">
            <v>26.0253438654546</v>
          </cell>
          <cell r="F14" t="str">
            <v>自制</v>
          </cell>
          <cell r="G14" t="str">
            <v>丰田02244</v>
          </cell>
          <cell r="H14">
            <v>36</v>
          </cell>
          <cell r="I14">
            <v>34</v>
          </cell>
          <cell r="J14">
            <v>33</v>
          </cell>
          <cell r="K14">
            <v>32</v>
          </cell>
          <cell r="L14">
            <v>30</v>
          </cell>
          <cell r="M14">
            <v>29</v>
          </cell>
        </row>
        <row r="15">
          <cell r="A15" t="str">
            <v>DQ9003H1</v>
          </cell>
          <cell r="B15">
            <v>24084</v>
          </cell>
          <cell r="C15">
            <v>26.7869589854546</v>
          </cell>
          <cell r="D15">
            <v>0</v>
          </cell>
          <cell r="E15">
            <v>26.7869589854546</v>
          </cell>
          <cell r="F15" t="str">
            <v>自制</v>
          </cell>
          <cell r="G15" t="str">
            <v>尼桑</v>
          </cell>
          <cell r="H15">
            <v>37</v>
          </cell>
          <cell r="I15">
            <v>35</v>
          </cell>
          <cell r="J15">
            <v>34</v>
          </cell>
          <cell r="K15">
            <v>33</v>
          </cell>
          <cell r="L15">
            <v>31</v>
          </cell>
          <cell r="M15">
            <v>30</v>
          </cell>
        </row>
        <row r="16">
          <cell r="A16" t="str">
            <v>DQ9101D</v>
          </cell>
          <cell r="B16">
            <v>23954</v>
          </cell>
          <cell r="C16">
            <v>19</v>
          </cell>
          <cell r="D16">
            <v>-0.399865915151501</v>
          </cell>
          <cell r="E16">
            <v>19.3998659151515</v>
          </cell>
          <cell r="F16" t="str">
            <v>自制</v>
          </cell>
          <cell r="G16" t="str">
            <v>12款智跑 12款IX35 K5</v>
          </cell>
          <cell r="H16">
            <v>26</v>
          </cell>
          <cell r="I16">
            <v>25</v>
          </cell>
          <cell r="J16">
            <v>24</v>
          </cell>
          <cell r="K16">
            <v>23</v>
          </cell>
          <cell r="L16">
            <v>22</v>
          </cell>
          <cell r="M16">
            <v>21</v>
          </cell>
        </row>
        <row r="17">
          <cell r="A17" t="str">
            <v>DQ9117D2</v>
          </cell>
          <cell r="B17">
            <v>21699</v>
          </cell>
          <cell r="C17">
            <v>30.0058931818182</v>
          </cell>
          <cell r="D17">
            <v>0</v>
          </cell>
          <cell r="E17">
            <v>30.0058931818182</v>
          </cell>
          <cell r="F17" t="str">
            <v>自制</v>
          </cell>
          <cell r="G17" t="str">
            <v>铃木SX4 2012 2.0L；铃木 快捷（进口）1.3</v>
          </cell>
          <cell r="H17">
            <v>41</v>
          </cell>
          <cell r="I17">
            <v>40</v>
          </cell>
          <cell r="J17">
            <v>38</v>
          </cell>
          <cell r="K17">
            <v>37</v>
          </cell>
          <cell r="L17">
            <v>35</v>
          </cell>
          <cell r="M17">
            <v>34</v>
          </cell>
        </row>
        <row r="18">
          <cell r="A18" t="str">
            <v>DQ9219A</v>
          </cell>
          <cell r="B18">
            <v>20887</v>
          </cell>
          <cell r="C18">
            <v>21.1394357727273</v>
          </cell>
          <cell r="D18">
            <v>0</v>
          </cell>
          <cell r="E18">
            <v>21.1394357727273</v>
          </cell>
          <cell r="F18" t="str">
            <v>自制</v>
          </cell>
          <cell r="G18" t="str">
            <v>哈弗H6 1.5T</v>
          </cell>
          <cell r="H18">
            <v>29</v>
          </cell>
          <cell r="I18">
            <v>28</v>
          </cell>
          <cell r="J18">
            <v>27</v>
          </cell>
          <cell r="K18">
            <v>26</v>
          </cell>
          <cell r="L18">
            <v>25</v>
          </cell>
          <cell r="M18">
            <v>24</v>
          </cell>
        </row>
        <row r="19">
          <cell r="A19" t="str">
            <v>DQ9003H3</v>
          </cell>
          <cell r="B19">
            <v>20603</v>
          </cell>
          <cell r="C19">
            <v>26.9486589854546</v>
          </cell>
          <cell r="D19">
            <v>0</v>
          </cell>
          <cell r="E19">
            <v>26.9486589854546</v>
          </cell>
          <cell r="F19" t="str">
            <v>自制</v>
          </cell>
          <cell r="G19" t="str">
            <v>尼桑</v>
          </cell>
          <cell r="H19">
            <v>37</v>
          </cell>
          <cell r="I19">
            <v>36</v>
          </cell>
          <cell r="J19">
            <v>34</v>
          </cell>
          <cell r="K19">
            <v>33</v>
          </cell>
          <cell r="L19">
            <v>31</v>
          </cell>
          <cell r="M19">
            <v>30</v>
          </cell>
        </row>
        <row r="20">
          <cell r="A20" t="str">
            <v>DQ9101Q</v>
          </cell>
          <cell r="B20">
            <v>20241</v>
          </cell>
          <cell r="C20">
            <v>18.9375333818182</v>
          </cell>
          <cell r="D20">
            <v>0</v>
          </cell>
          <cell r="E20">
            <v>18.9375333818182</v>
          </cell>
          <cell r="F20" t="str">
            <v>自制</v>
          </cell>
          <cell r="G20" t="str">
            <v>现代飞思</v>
          </cell>
          <cell r="H20">
            <v>26</v>
          </cell>
          <cell r="I20">
            <v>25</v>
          </cell>
          <cell r="J20">
            <v>24</v>
          </cell>
          <cell r="K20">
            <v>23</v>
          </cell>
          <cell r="L20">
            <v>22</v>
          </cell>
          <cell r="M20">
            <v>21</v>
          </cell>
        </row>
        <row r="21">
          <cell r="A21" t="str">
            <v>DQ910850</v>
          </cell>
          <cell r="B21">
            <v>19458</v>
          </cell>
          <cell r="C21">
            <v>26.5155038654546</v>
          </cell>
          <cell r="D21">
            <v>0</v>
          </cell>
          <cell r="E21">
            <v>26.5155038654546</v>
          </cell>
          <cell r="F21" t="str">
            <v>自制</v>
          </cell>
          <cell r="G21" t="str">
            <v>丰田02250</v>
          </cell>
          <cell r="H21">
            <v>36</v>
          </cell>
          <cell r="I21">
            <v>35</v>
          </cell>
          <cell r="J21">
            <v>34</v>
          </cell>
          <cell r="K21">
            <v>32</v>
          </cell>
          <cell r="L21">
            <v>31</v>
          </cell>
          <cell r="M21">
            <v>30</v>
          </cell>
        </row>
        <row r="22">
          <cell r="A22" t="str">
            <v>DQ9109S</v>
          </cell>
          <cell r="B22">
            <v>18917</v>
          </cell>
          <cell r="C22">
            <v>28.4063116121212</v>
          </cell>
          <cell r="D22">
            <v>0</v>
          </cell>
          <cell r="E22">
            <v>28.4063116121212</v>
          </cell>
          <cell r="F22" t="str">
            <v>自制</v>
          </cell>
          <cell r="G22" t="str">
            <v>思域1.8</v>
          </cell>
          <cell r="H22">
            <v>39</v>
          </cell>
          <cell r="I22">
            <v>37</v>
          </cell>
          <cell r="J22">
            <v>36</v>
          </cell>
          <cell r="K22">
            <v>35</v>
          </cell>
          <cell r="L22">
            <v>33</v>
          </cell>
          <cell r="M22">
            <v>32</v>
          </cell>
        </row>
        <row r="23">
          <cell r="A23" t="str">
            <v>DQ9103AR</v>
          </cell>
          <cell r="B23">
            <v>16941</v>
          </cell>
          <cell r="C23">
            <v>32.0928391454546</v>
          </cell>
          <cell r="D23">
            <v>0</v>
          </cell>
          <cell r="E23">
            <v>32.0928391454546</v>
          </cell>
          <cell r="F23" t="str">
            <v>自制</v>
          </cell>
          <cell r="G23" t="str">
            <v>奥迪A6红头</v>
          </cell>
          <cell r="H23">
            <v>44</v>
          </cell>
          <cell r="I23">
            <v>42</v>
          </cell>
          <cell r="J23">
            <v>41</v>
          </cell>
          <cell r="K23">
            <v>39</v>
          </cell>
          <cell r="L23">
            <v>37</v>
          </cell>
          <cell r="M23">
            <v>36</v>
          </cell>
        </row>
        <row r="24">
          <cell r="A24" t="str">
            <v>DQ9023</v>
          </cell>
          <cell r="B24">
            <v>16299</v>
          </cell>
          <cell r="C24">
            <v>31.3487880121212</v>
          </cell>
          <cell r="D24">
            <v>0</v>
          </cell>
          <cell r="E24">
            <v>31.3487880121212</v>
          </cell>
          <cell r="F24" t="str">
            <v>自制</v>
          </cell>
          <cell r="G24" t="str">
            <v>新桑塔纳</v>
          </cell>
          <cell r="H24">
            <v>43</v>
          </cell>
          <cell r="I24">
            <v>41</v>
          </cell>
          <cell r="J24">
            <v>40</v>
          </cell>
          <cell r="K24">
            <v>38</v>
          </cell>
          <cell r="L24">
            <v>37</v>
          </cell>
          <cell r="M24">
            <v>35</v>
          </cell>
        </row>
        <row r="25">
          <cell r="A25" t="str">
            <v>DQ9036C1</v>
          </cell>
          <cell r="B25">
            <v>15337</v>
          </cell>
          <cell r="C25">
            <v>21.9777343454545</v>
          </cell>
          <cell r="D25">
            <v>0</v>
          </cell>
          <cell r="E25">
            <v>21.9777343454545</v>
          </cell>
          <cell r="F25" t="str">
            <v>自制</v>
          </cell>
          <cell r="G25" t="str">
            <v>克莱斯勒 道奇 Jeep Ram 大众</v>
          </cell>
          <cell r="H25">
            <v>30</v>
          </cell>
          <cell r="I25">
            <v>29</v>
          </cell>
          <cell r="J25">
            <v>28</v>
          </cell>
          <cell r="K25">
            <v>27</v>
          </cell>
          <cell r="L25">
            <v>26</v>
          </cell>
          <cell r="M25">
            <v>25</v>
          </cell>
        </row>
        <row r="26">
          <cell r="A26" t="str">
            <v>DQ910851</v>
          </cell>
          <cell r="B26">
            <v>15227</v>
          </cell>
          <cell r="C26">
            <v>27.9399123454545</v>
          </cell>
          <cell r="D26">
            <v>0</v>
          </cell>
          <cell r="E26">
            <v>27.9399123454545</v>
          </cell>
          <cell r="F26" t="str">
            <v>自制</v>
          </cell>
          <cell r="G26" t="str">
            <v>丰田02251</v>
          </cell>
          <cell r="H26">
            <v>38</v>
          </cell>
          <cell r="I26">
            <v>37</v>
          </cell>
          <cell r="J26">
            <v>35</v>
          </cell>
          <cell r="K26">
            <v>34</v>
          </cell>
          <cell r="L26">
            <v>33</v>
          </cell>
          <cell r="M26">
            <v>31</v>
          </cell>
        </row>
        <row r="27">
          <cell r="A27" t="str">
            <v>DQ9119</v>
          </cell>
          <cell r="B27">
            <v>14968</v>
          </cell>
          <cell r="C27">
            <v>23.7312047454545</v>
          </cell>
          <cell r="D27">
            <v>0</v>
          </cell>
          <cell r="E27">
            <v>23.7312047454545</v>
          </cell>
          <cell r="F27" t="str">
            <v>自制</v>
          </cell>
          <cell r="G27" t="str">
            <v>五菱宏光B15</v>
          </cell>
          <cell r="H27">
            <v>33</v>
          </cell>
          <cell r="I27">
            <v>31</v>
          </cell>
          <cell r="J27">
            <v>30</v>
          </cell>
          <cell r="K27">
            <v>29</v>
          </cell>
          <cell r="L27">
            <v>28</v>
          </cell>
          <cell r="M27">
            <v>27</v>
          </cell>
        </row>
        <row r="28">
          <cell r="A28" t="str">
            <v>DQ9003B</v>
          </cell>
          <cell r="B28">
            <v>14842</v>
          </cell>
          <cell r="C28">
            <v>29.1378789854545</v>
          </cell>
          <cell r="D28">
            <v>0</v>
          </cell>
          <cell r="E28">
            <v>29.1378789854545</v>
          </cell>
          <cell r="F28" t="str">
            <v>自制</v>
          </cell>
          <cell r="G28" t="str">
            <v>天籁侧插</v>
          </cell>
          <cell r="H28">
            <v>40</v>
          </cell>
          <cell r="I28">
            <v>38</v>
          </cell>
          <cell r="J28">
            <v>37</v>
          </cell>
          <cell r="K28">
            <v>35</v>
          </cell>
          <cell r="L28">
            <v>34</v>
          </cell>
          <cell r="M28">
            <v>33</v>
          </cell>
        </row>
        <row r="29">
          <cell r="A29" t="str">
            <v>DQ910830</v>
          </cell>
          <cell r="B29">
            <v>13648</v>
          </cell>
          <cell r="C29">
            <v>26.4136438654545</v>
          </cell>
          <cell r="D29">
            <v>0</v>
          </cell>
          <cell r="E29">
            <v>26.4136438654545</v>
          </cell>
          <cell r="F29" t="str">
            <v>自制</v>
          </cell>
          <cell r="G29" t="str">
            <v>丰田02230</v>
          </cell>
          <cell r="H29">
            <v>36</v>
          </cell>
          <cell r="I29">
            <v>35</v>
          </cell>
          <cell r="J29">
            <v>34</v>
          </cell>
          <cell r="K29">
            <v>32</v>
          </cell>
          <cell r="L29">
            <v>31</v>
          </cell>
          <cell r="M29">
            <v>30</v>
          </cell>
        </row>
        <row r="30">
          <cell r="A30" t="str">
            <v>DQ9101F</v>
          </cell>
          <cell r="B30">
            <v>13633</v>
          </cell>
          <cell r="C30">
            <v>18.4147831818182</v>
          </cell>
          <cell r="D30">
            <v>0</v>
          </cell>
          <cell r="E30">
            <v>18.4147831818182</v>
          </cell>
          <cell r="F30" t="str">
            <v>自制</v>
          </cell>
          <cell r="G30" t="str">
            <v>索兰托 K5</v>
          </cell>
          <cell r="H30">
            <v>25</v>
          </cell>
          <cell r="I30">
            <v>24</v>
          </cell>
          <cell r="J30">
            <v>24</v>
          </cell>
          <cell r="K30">
            <v>23</v>
          </cell>
          <cell r="L30">
            <v>22</v>
          </cell>
          <cell r="M30">
            <v>21</v>
          </cell>
        </row>
        <row r="31">
          <cell r="A31" t="str">
            <v>DQ9016E1</v>
          </cell>
          <cell r="B31">
            <v>13013</v>
          </cell>
          <cell r="C31">
            <v>36</v>
          </cell>
          <cell r="D31">
            <v>0.405005527272699</v>
          </cell>
          <cell r="E31">
            <v>35.5949944727273</v>
          </cell>
          <cell r="F31" t="str">
            <v>自制</v>
          </cell>
          <cell r="G31" t="str">
            <v>凯迪拉克2.0T（进口）</v>
          </cell>
          <cell r="H31">
            <v>49</v>
          </cell>
          <cell r="I31">
            <v>47</v>
          </cell>
          <cell r="J31">
            <v>45</v>
          </cell>
          <cell r="K31">
            <v>44</v>
          </cell>
          <cell r="L31">
            <v>42</v>
          </cell>
          <cell r="M31">
            <v>40</v>
          </cell>
        </row>
        <row r="32">
          <cell r="A32" t="str">
            <v>DQ9107B</v>
          </cell>
          <cell r="B32">
            <v>12542</v>
          </cell>
          <cell r="C32">
            <v>19.3485789151515</v>
          </cell>
          <cell r="D32">
            <v>0</v>
          </cell>
          <cell r="E32">
            <v>19.3485789151515</v>
          </cell>
          <cell r="F32" t="str">
            <v>自制</v>
          </cell>
          <cell r="G32" t="str">
            <v>东风小康</v>
          </cell>
          <cell r="H32">
            <v>27</v>
          </cell>
          <cell r="I32">
            <v>26</v>
          </cell>
          <cell r="J32">
            <v>25</v>
          </cell>
          <cell r="K32">
            <v>24</v>
          </cell>
          <cell r="L32">
            <v>23</v>
          </cell>
          <cell r="M32">
            <v>22</v>
          </cell>
        </row>
        <row r="33">
          <cell r="A33" t="str">
            <v>DQ9101A</v>
          </cell>
          <cell r="B33">
            <v>11761</v>
          </cell>
          <cell r="C33">
            <v>17</v>
          </cell>
          <cell r="D33">
            <v>-0.672461342737702</v>
          </cell>
          <cell r="E33">
            <v>17.6724613427377</v>
          </cell>
          <cell r="F33" t="str">
            <v>自制</v>
          </cell>
          <cell r="G33" t="str">
            <v>伊兰特 VVT 圆头</v>
          </cell>
          <cell r="H33">
            <v>23</v>
          </cell>
          <cell r="I33">
            <v>23</v>
          </cell>
          <cell r="J33">
            <v>22</v>
          </cell>
          <cell r="K33">
            <v>21</v>
          </cell>
          <cell r="L33">
            <v>20</v>
          </cell>
          <cell r="M33">
            <v>19</v>
          </cell>
        </row>
        <row r="34">
          <cell r="A34" t="str">
            <v>DQ910855</v>
          </cell>
          <cell r="B34">
            <v>11435</v>
          </cell>
          <cell r="C34">
            <v>27.7967598654545</v>
          </cell>
          <cell r="D34">
            <v>0</v>
          </cell>
          <cell r="E34">
            <v>27.7967598654545</v>
          </cell>
          <cell r="F34" t="str">
            <v>自制</v>
          </cell>
          <cell r="G34" t="str">
            <v>丰田02255</v>
          </cell>
          <cell r="H34">
            <v>38</v>
          </cell>
          <cell r="I34">
            <v>37</v>
          </cell>
          <cell r="J34">
            <v>35</v>
          </cell>
          <cell r="K34">
            <v>34</v>
          </cell>
          <cell r="L34">
            <v>32</v>
          </cell>
          <cell r="M34">
            <v>31</v>
          </cell>
        </row>
        <row r="35">
          <cell r="A35" t="str">
            <v>DQ9007A1</v>
          </cell>
          <cell r="B35">
            <v>10957</v>
          </cell>
          <cell r="C35">
            <v>34.7531798727273</v>
          </cell>
          <cell r="D35">
            <v>0</v>
          </cell>
          <cell r="E35">
            <v>34.7531798727273</v>
          </cell>
          <cell r="F35" t="str">
            <v>自制</v>
          </cell>
          <cell r="G35" t="str">
            <v>索纳塔九代</v>
          </cell>
          <cell r="H35">
            <v>47</v>
          </cell>
          <cell r="I35">
            <v>46</v>
          </cell>
          <cell r="J35">
            <v>44</v>
          </cell>
          <cell r="K35">
            <v>42</v>
          </cell>
          <cell r="L35">
            <v>40</v>
          </cell>
          <cell r="M35">
            <v>39</v>
          </cell>
        </row>
        <row r="36">
          <cell r="A36" t="str">
            <v>DQ9128A1</v>
          </cell>
          <cell r="B36">
            <v>10803</v>
          </cell>
          <cell r="C36">
            <v>34.1739798060606</v>
          </cell>
          <cell r="D36">
            <v>0</v>
          </cell>
          <cell r="E36">
            <v>34.1739798060606</v>
          </cell>
          <cell r="F36" t="str">
            <v>自制</v>
          </cell>
          <cell r="G36" t="str">
            <v>昂科雷</v>
          </cell>
          <cell r="H36">
            <v>47</v>
          </cell>
          <cell r="I36">
            <v>45</v>
          </cell>
          <cell r="J36">
            <v>43</v>
          </cell>
          <cell r="K36">
            <v>42</v>
          </cell>
          <cell r="L36">
            <v>40</v>
          </cell>
          <cell r="M36">
            <v>38</v>
          </cell>
        </row>
        <row r="37">
          <cell r="A37" t="str">
            <v>DQ9016</v>
          </cell>
          <cell r="B37">
            <v>10077</v>
          </cell>
          <cell r="C37">
            <v>32.8836158060606</v>
          </cell>
          <cell r="D37">
            <v>0</v>
          </cell>
          <cell r="E37">
            <v>32.8836158060606</v>
          </cell>
          <cell r="F37" t="str">
            <v>自制</v>
          </cell>
          <cell r="G37" t="str">
            <v>别克君越</v>
          </cell>
          <cell r="H37">
            <v>45</v>
          </cell>
          <cell r="I37">
            <v>43</v>
          </cell>
          <cell r="J37">
            <v>42</v>
          </cell>
          <cell r="K37">
            <v>40</v>
          </cell>
          <cell r="L37">
            <v>38</v>
          </cell>
          <cell r="M37">
            <v>37</v>
          </cell>
        </row>
        <row r="38">
          <cell r="A38" t="str">
            <v>DQ9003A</v>
          </cell>
          <cell r="B38">
            <v>9775</v>
          </cell>
          <cell r="C38">
            <v>28.2908789854546</v>
          </cell>
          <cell r="D38">
            <v>0</v>
          </cell>
          <cell r="E38">
            <v>28.2908789854546</v>
          </cell>
          <cell r="F38" t="str">
            <v>自制</v>
          </cell>
          <cell r="G38" t="str">
            <v>奇骏2.5</v>
          </cell>
          <cell r="H38">
            <v>39</v>
          </cell>
          <cell r="I38">
            <v>37</v>
          </cell>
          <cell r="J38">
            <v>36</v>
          </cell>
          <cell r="K38">
            <v>34</v>
          </cell>
          <cell r="L38">
            <v>33</v>
          </cell>
          <cell r="M38">
            <v>32</v>
          </cell>
        </row>
        <row r="39">
          <cell r="A39" t="str">
            <v>DQ9025A1</v>
          </cell>
          <cell r="B39">
            <v>9357</v>
          </cell>
          <cell r="C39">
            <v>36.5</v>
          </cell>
          <cell r="D39">
            <v>1.8146249206061</v>
          </cell>
          <cell r="E39">
            <v>34.6853750793939</v>
          </cell>
          <cell r="F39" t="str">
            <v>自制</v>
          </cell>
          <cell r="G39" t="str">
            <v>奔驰GLK350</v>
          </cell>
          <cell r="H39">
            <v>50</v>
          </cell>
          <cell r="I39">
            <v>48</v>
          </cell>
          <cell r="J39">
            <v>46</v>
          </cell>
          <cell r="K39">
            <v>44</v>
          </cell>
          <cell r="L39">
            <v>42</v>
          </cell>
          <cell r="M39">
            <v>41</v>
          </cell>
        </row>
        <row r="40">
          <cell r="A40" t="str">
            <v>DQ9101B</v>
          </cell>
          <cell r="B40">
            <v>8848</v>
          </cell>
          <cell r="C40">
            <v>18.9170445151515</v>
          </cell>
          <cell r="D40">
            <v>0</v>
          </cell>
          <cell r="E40">
            <v>18.9170445151515</v>
          </cell>
          <cell r="F40" t="str">
            <v>自制</v>
          </cell>
          <cell r="G40" t="str">
            <v>伽马圆头</v>
          </cell>
          <cell r="H40">
            <v>26</v>
          </cell>
          <cell r="I40">
            <v>25</v>
          </cell>
          <cell r="J40">
            <v>24</v>
          </cell>
          <cell r="K40">
            <v>23</v>
          </cell>
          <cell r="L40">
            <v>22</v>
          </cell>
          <cell r="M40">
            <v>21</v>
          </cell>
        </row>
        <row r="41">
          <cell r="A41" t="str">
            <v>DQ9130E1</v>
          </cell>
          <cell r="B41">
            <v>8777</v>
          </cell>
          <cell r="C41">
            <v>23.5416476727273</v>
          </cell>
          <cell r="D41">
            <v>0</v>
          </cell>
          <cell r="E41">
            <v>23.5416476727273</v>
          </cell>
          <cell r="F41" t="str">
            <v>自制</v>
          </cell>
          <cell r="G41" t="str">
            <v>福特锐界</v>
          </cell>
          <cell r="H41">
            <v>32</v>
          </cell>
          <cell r="I41">
            <v>31</v>
          </cell>
          <cell r="J41">
            <v>30</v>
          </cell>
          <cell r="K41">
            <v>29</v>
          </cell>
          <cell r="L41">
            <v>28</v>
          </cell>
          <cell r="M41">
            <v>26</v>
          </cell>
        </row>
        <row r="42">
          <cell r="A42" t="str">
            <v>DQ9406M</v>
          </cell>
          <cell r="B42">
            <v>8711</v>
          </cell>
          <cell r="C42">
            <v>110.3025</v>
          </cell>
          <cell r="D42">
            <v>0</v>
          </cell>
          <cell r="E42">
            <v>110.3025</v>
          </cell>
          <cell r="F42" t="str">
            <v>调货</v>
          </cell>
          <cell r="G42" t="str">
            <v>科鲁兹1790</v>
          </cell>
          <cell r="H42">
            <v>132</v>
          </cell>
          <cell r="I42">
            <v>130</v>
          </cell>
          <cell r="J42">
            <v>127</v>
          </cell>
          <cell r="K42">
            <v>125</v>
          </cell>
          <cell r="L42">
            <v>124</v>
          </cell>
          <cell r="M42">
            <v>122</v>
          </cell>
        </row>
        <row r="43">
          <cell r="A43" t="str">
            <v>DQ9117</v>
          </cell>
          <cell r="B43">
            <v>8604</v>
          </cell>
          <cell r="C43">
            <v>22.6141577818182</v>
          </cell>
          <cell r="D43">
            <v>0</v>
          </cell>
          <cell r="E43">
            <v>22.6141577818182</v>
          </cell>
          <cell r="F43" t="str">
            <v>自制</v>
          </cell>
          <cell r="G43" t="str">
            <v>北斗星K14（联电系统）</v>
          </cell>
          <cell r="H43">
            <v>31</v>
          </cell>
          <cell r="I43">
            <v>30</v>
          </cell>
          <cell r="J43">
            <v>29</v>
          </cell>
          <cell r="K43">
            <v>28</v>
          </cell>
          <cell r="L43">
            <v>27</v>
          </cell>
          <cell r="M43">
            <v>25</v>
          </cell>
        </row>
        <row r="44">
          <cell r="A44" t="str">
            <v>DQ9109</v>
          </cell>
          <cell r="B44">
            <v>8590</v>
          </cell>
          <cell r="C44">
            <v>28.1948245454546</v>
          </cell>
          <cell r="D44">
            <v>0</v>
          </cell>
          <cell r="E44">
            <v>28.1948245454546</v>
          </cell>
          <cell r="F44" t="str">
            <v>自制</v>
          </cell>
          <cell r="G44" t="str">
            <v>本田7代雅阁</v>
          </cell>
          <cell r="H44">
            <v>39</v>
          </cell>
          <cell r="I44">
            <v>37</v>
          </cell>
          <cell r="J44">
            <v>36</v>
          </cell>
          <cell r="K44">
            <v>34</v>
          </cell>
          <cell r="L44">
            <v>33</v>
          </cell>
          <cell r="M44">
            <v>32</v>
          </cell>
        </row>
        <row r="45">
          <cell r="A45" t="str">
            <v>DQ9101A1</v>
          </cell>
          <cell r="B45">
            <v>8480</v>
          </cell>
          <cell r="C45">
            <v>17.4197950094044</v>
          </cell>
          <cell r="D45">
            <v>0</v>
          </cell>
          <cell r="E45">
            <v>17.4197950094044</v>
          </cell>
          <cell r="F45" t="str">
            <v>自制</v>
          </cell>
          <cell r="G45" t="str">
            <v>27301-26640</v>
          </cell>
          <cell r="H45">
            <v>24</v>
          </cell>
          <cell r="I45">
            <v>23</v>
          </cell>
          <cell r="J45">
            <v>22</v>
          </cell>
          <cell r="K45">
            <v>21</v>
          </cell>
          <cell r="L45">
            <v>21</v>
          </cell>
          <cell r="M45">
            <v>20</v>
          </cell>
        </row>
        <row r="46">
          <cell r="A46" t="str">
            <v>DQ9109C</v>
          </cell>
          <cell r="B46">
            <v>8478</v>
          </cell>
          <cell r="C46">
            <v>28.8380718787879</v>
          </cell>
          <cell r="D46">
            <v>0</v>
          </cell>
          <cell r="E46">
            <v>28.8380718787879</v>
          </cell>
          <cell r="F46" t="str">
            <v>自制</v>
          </cell>
          <cell r="G46" t="str">
            <v>本田讴歌 3.5L</v>
          </cell>
          <cell r="H46">
            <v>39</v>
          </cell>
          <cell r="I46">
            <v>38</v>
          </cell>
          <cell r="J46">
            <v>37</v>
          </cell>
          <cell r="K46">
            <v>35</v>
          </cell>
          <cell r="L46">
            <v>34</v>
          </cell>
          <cell r="M46">
            <v>32</v>
          </cell>
        </row>
        <row r="47">
          <cell r="A47" t="str">
            <v>DQ9132B1</v>
          </cell>
          <cell r="B47">
            <v>8163</v>
          </cell>
          <cell r="C47">
            <v>29.4422022484849</v>
          </cell>
          <cell r="D47">
            <v>0</v>
          </cell>
          <cell r="E47">
            <v>29.4422022484849</v>
          </cell>
          <cell r="F47" t="str">
            <v>自制</v>
          </cell>
          <cell r="G47" t="str">
            <v>丰田大发</v>
          </cell>
          <cell r="H47">
            <v>40</v>
          </cell>
          <cell r="I47">
            <v>39</v>
          </cell>
          <cell r="J47">
            <v>37</v>
          </cell>
          <cell r="K47">
            <v>36</v>
          </cell>
          <cell r="L47">
            <v>34</v>
          </cell>
          <cell r="M47">
            <v>33</v>
          </cell>
        </row>
        <row r="48">
          <cell r="A48" t="str">
            <v>DQ9010B</v>
          </cell>
          <cell r="B48">
            <v>8152</v>
          </cell>
          <cell r="C48">
            <v>26.3843651454545</v>
          </cell>
          <cell r="D48">
            <v>0</v>
          </cell>
          <cell r="E48">
            <v>26.3843651454545</v>
          </cell>
          <cell r="F48" t="str">
            <v>自制</v>
          </cell>
          <cell r="G48" t="str">
            <v>飞度1.5（短）</v>
          </cell>
          <cell r="H48">
            <v>36</v>
          </cell>
          <cell r="I48">
            <v>35</v>
          </cell>
          <cell r="J48">
            <v>33</v>
          </cell>
          <cell r="K48">
            <v>32</v>
          </cell>
          <cell r="L48">
            <v>31</v>
          </cell>
          <cell r="M48">
            <v>30</v>
          </cell>
        </row>
        <row r="49">
          <cell r="A49" t="str">
            <v>DQ910834</v>
          </cell>
          <cell r="B49">
            <v>8111</v>
          </cell>
          <cell r="C49">
            <v>26.8705598654545</v>
          </cell>
          <cell r="D49">
            <v>0</v>
          </cell>
          <cell r="E49">
            <v>26.8705598654545</v>
          </cell>
          <cell r="F49" t="str">
            <v>自制</v>
          </cell>
          <cell r="G49" t="str">
            <v>丰田02234</v>
          </cell>
          <cell r="H49">
            <v>37</v>
          </cell>
          <cell r="I49">
            <v>35</v>
          </cell>
          <cell r="J49">
            <v>34</v>
          </cell>
          <cell r="K49">
            <v>33</v>
          </cell>
          <cell r="L49">
            <v>31</v>
          </cell>
          <cell r="M49">
            <v>30</v>
          </cell>
        </row>
        <row r="50">
          <cell r="A50" t="str">
            <v>DQ9003G1</v>
          </cell>
          <cell r="B50">
            <v>7870</v>
          </cell>
          <cell r="C50">
            <v>28.9265597454546</v>
          </cell>
          <cell r="D50">
            <v>0</v>
          </cell>
          <cell r="E50">
            <v>28.9265597454546</v>
          </cell>
          <cell r="F50" t="str">
            <v>自制</v>
          </cell>
          <cell r="G50" t="str">
            <v>日产逍客</v>
          </cell>
          <cell r="H50">
            <v>40</v>
          </cell>
          <cell r="I50">
            <v>38</v>
          </cell>
          <cell r="J50">
            <v>37</v>
          </cell>
          <cell r="K50">
            <v>35</v>
          </cell>
          <cell r="L50">
            <v>34</v>
          </cell>
          <cell r="M50">
            <v>32</v>
          </cell>
        </row>
        <row r="51">
          <cell r="A51" t="str">
            <v>DQ9010J2</v>
          </cell>
          <cell r="B51">
            <v>7601</v>
          </cell>
          <cell r="C51">
            <v>32.4054694060606</v>
          </cell>
          <cell r="D51">
            <v>0</v>
          </cell>
          <cell r="E51">
            <v>32.4054694060606</v>
          </cell>
          <cell r="F51" t="str">
            <v>自制</v>
          </cell>
          <cell r="G51" t="str">
            <v>本田</v>
          </cell>
          <cell r="H51">
            <v>44</v>
          </cell>
          <cell r="I51">
            <v>43</v>
          </cell>
          <cell r="J51">
            <v>41</v>
          </cell>
          <cell r="K51">
            <v>39</v>
          </cell>
          <cell r="L51">
            <v>38</v>
          </cell>
          <cell r="M51">
            <v>36</v>
          </cell>
        </row>
        <row r="52">
          <cell r="A52" t="str">
            <v>DQ9007B1</v>
          </cell>
          <cell r="B52">
            <v>7245</v>
          </cell>
          <cell r="C52">
            <v>34.1695198727273</v>
          </cell>
          <cell r="D52">
            <v>0</v>
          </cell>
          <cell r="E52">
            <v>34.1695198727273</v>
          </cell>
          <cell r="F52" t="str">
            <v>自制</v>
          </cell>
          <cell r="G52" t="str">
            <v>现代索纳塔9 2.0L</v>
          </cell>
          <cell r="H52">
            <v>47</v>
          </cell>
          <cell r="I52">
            <v>45</v>
          </cell>
          <cell r="J52">
            <v>43</v>
          </cell>
          <cell r="K52">
            <v>42</v>
          </cell>
          <cell r="L52">
            <v>40</v>
          </cell>
          <cell r="M52">
            <v>38</v>
          </cell>
        </row>
        <row r="53">
          <cell r="A53" t="str">
            <v>DQ9103D</v>
          </cell>
          <cell r="B53">
            <v>6928</v>
          </cell>
          <cell r="C53">
            <v>30.8294215818182</v>
          </cell>
          <cell r="D53">
            <v>0</v>
          </cell>
          <cell r="E53">
            <v>30.8294215818182</v>
          </cell>
          <cell r="F53" t="str">
            <v>自制</v>
          </cell>
          <cell r="G53" t="str">
            <v>帕萨特B5 不铣胶面</v>
          </cell>
          <cell r="H53">
            <v>42</v>
          </cell>
          <cell r="I53">
            <v>41</v>
          </cell>
          <cell r="J53">
            <v>39</v>
          </cell>
          <cell r="K53">
            <v>37</v>
          </cell>
          <cell r="L53">
            <v>36</v>
          </cell>
          <cell r="M53">
            <v>34</v>
          </cell>
        </row>
        <row r="54">
          <cell r="A54" t="str">
            <v>DQ9010F</v>
          </cell>
          <cell r="B54">
            <v>6839</v>
          </cell>
          <cell r="C54">
            <v>25.3959005454545</v>
          </cell>
          <cell r="D54">
            <v>0</v>
          </cell>
          <cell r="E54">
            <v>25.3959005454545</v>
          </cell>
          <cell r="F54" t="str">
            <v>自制</v>
          </cell>
          <cell r="G54" t="str">
            <v>新飞度</v>
          </cell>
          <cell r="H54">
            <v>35</v>
          </cell>
          <cell r="I54">
            <v>34</v>
          </cell>
          <cell r="J54">
            <v>32</v>
          </cell>
          <cell r="K54">
            <v>31</v>
          </cell>
          <cell r="L54">
            <v>30</v>
          </cell>
          <cell r="M54">
            <v>28</v>
          </cell>
        </row>
        <row r="55">
          <cell r="A55" t="str">
            <v>DQ9109G1</v>
          </cell>
          <cell r="B55">
            <v>6768</v>
          </cell>
          <cell r="C55">
            <v>28.6478378787879</v>
          </cell>
          <cell r="D55">
            <v>0</v>
          </cell>
          <cell r="E55">
            <v>28.6478378787879</v>
          </cell>
          <cell r="F55" t="str">
            <v>自制</v>
          </cell>
          <cell r="G55" t="str">
            <v>本田 雅阁 3.5L</v>
          </cell>
          <cell r="H55">
            <v>39</v>
          </cell>
          <cell r="I55">
            <v>38</v>
          </cell>
          <cell r="J55">
            <v>36</v>
          </cell>
          <cell r="K55">
            <v>35</v>
          </cell>
          <cell r="L55">
            <v>33</v>
          </cell>
          <cell r="M55">
            <v>32</v>
          </cell>
        </row>
        <row r="56">
          <cell r="A56" t="str">
            <v>DQ9109H1</v>
          </cell>
          <cell r="B56">
            <v>6692</v>
          </cell>
          <cell r="C56">
            <v>28.9234216121212</v>
          </cell>
          <cell r="D56">
            <v>0</v>
          </cell>
          <cell r="E56">
            <v>28.9234216121212</v>
          </cell>
          <cell r="F56" t="str">
            <v>自制</v>
          </cell>
          <cell r="G56" t="str">
            <v>本田 pil0t 13-09</v>
          </cell>
          <cell r="H56">
            <v>40</v>
          </cell>
          <cell r="I56">
            <v>38</v>
          </cell>
          <cell r="J56">
            <v>37</v>
          </cell>
          <cell r="K56">
            <v>35</v>
          </cell>
          <cell r="L56">
            <v>34</v>
          </cell>
          <cell r="M56">
            <v>32</v>
          </cell>
        </row>
        <row r="57">
          <cell r="A57" t="str">
            <v>DQ9401</v>
          </cell>
          <cell r="B57">
            <v>6559</v>
          </cell>
          <cell r="C57">
            <v>31.1729795969697</v>
          </cell>
          <cell r="D57">
            <v>0</v>
          </cell>
          <cell r="E57">
            <v>31.1729795969697</v>
          </cell>
          <cell r="F57" t="str">
            <v>自制</v>
          </cell>
          <cell r="G57" t="str">
            <v>德尔福三代</v>
          </cell>
          <cell r="H57">
            <v>43</v>
          </cell>
          <cell r="I57">
            <v>41</v>
          </cell>
          <cell r="J57">
            <v>39</v>
          </cell>
          <cell r="K57">
            <v>38</v>
          </cell>
          <cell r="L57">
            <v>36</v>
          </cell>
          <cell r="M57">
            <v>35</v>
          </cell>
        </row>
        <row r="58">
          <cell r="A58" t="str">
            <v>DQ9044A1</v>
          </cell>
          <cell r="B58">
            <v>6511</v>
          </cell>
          <cell r="C58">
            <v>25.1260452121212</v>
          </cell>
          <cell r="D58">
            <v>0</v>
          </cell>
          <cell r="E58">
            <v>25.1260452121212</v>
          </cell>
          <cell r="F58" t="str">
            <v>自制</v>
          </cell>
          <cell r="G58" t="str">
            <v>福田</v>
          </cell>
          <cell r="H58">
            <v>34</v>
          </cell>
          <cell r="I58">
            <v>33</v>
          </cell>
          <cell r="J58">
            <v>32</v>
          </cell>
          <cell r="K58">
            <v>31</v>
          </cell>
          <cell r="L58">
            <v>29</v>
          </cell>
          <cell r="M58">
            <v>28</v>
          </cell>
        </row>
        <row r="59">
          <cell r="A59" t="str">
            <v>DQ9109B1</v>
          </cell>
          <cell r="B59">
            <v>6237</v>
          </cell>
          <cell r="C59">
            <v>29.0927082787879</v>
          </cell>
          <cell r="D59">
            <v>0</v>
          </cell>
          <cell r="E59">
            <v>29.0927082787879</v>
          </cell>
          <cell r="F59" t="str">
            <v>自制</v>
          </cell>
          <cell r="G59" t="str">
            <v>本田9代雅阁</v>
          </cell>
          <cell r="H59">
            <v>40</v>
          </cell>
          <cell r="I59">
            <v>38</v>
          </cell>
          <cell r="J59">
            <v>37</v>
          </cell>
          <cell r="K59">
            <v>35</v>
          </cell>
          <cell r="L59">
            <v>34</v>
          </cell>
          <cell r="M59">
            <v>33</v>
          </cell>
        </row>
        <row r="60">
          <cell r="A60" t="str">
            <v>DQ9109A</v>
          </cell>
          <cell r="B60">
            <v>6068</v>
          </cell>
          <cell r="C60">
            <v>28.1299245454545</v>
          </cell>
          <cell r="D60">
            <v>0</v>
          </cell>
          <cell r="E60">
            <v>28.1299245454545</v>
          </cell>
          <cell r="F60" t="str">
            <v>自制</v>
          </cell>
          <cell r="G60" t="str">
            <v>本田8代雅阁</v>
          </cell>
          <cell r="H60">
            <v>38</v>
          </cell>
          <cell r="I60">
            <v>37</v>
          </cell>
          <cell r="J60">
            <v>36</v>
          </cell>
          <cell r="K60">
            <v>34</v>
          </cell>
          <cell r="L60">
            <v>33</v>
          </cell>
          <cell r="M60">
            <v>31</v>
          </cell>
        </row>
        <row r="61">
          <cell r="A61" t="str">
            <v>DQ9021B</v>
          </cell>
          <cell r="B61">
            <v>6063</v>
          </cell>
          <cell r="C61">
            <v>23.1013337454546</v>
          </cell>
          <cell r="D61">
            <v>0</v>
          </cell>
          <cell r="E61">
            <v>23.1013337454546</v>
          </cell>
          <cell r="F61" t="str">
            <v>自制</v>
          </cell>
          <cell r="G61" t="str">
            <v>长城胜翼</v>
          </cell>
          <cell r="H61">
            <v>32</v>
          </cell>
          <cell r="I61">
            <v>31</v>
          </cell>
          <cell r="J61">
            <v>29</v>
          </cell>
          <cell r="K61">
            <v>28</v>
          </cell>
          <cell r="L61">
            <v>27</v>
          </cell>
          <cell r="M61">
            <v>26</v>
          </cell>
        </row>
        <row r="62">
          <cell r="A62" t="str">
            <v>DQ9023B</v>
          </cell>
          <cell r="B62">
            <v>6061</v>
          </cell>
          <cell r="C62">
            <v>31.7964880121212</v>
          </cell>
          <cell r="D62">
            <v>0</v>
          </cell>
          <cell r="E62">
            <v>31.7964880121212</v>
          </cell>
          <cell r="F62" t="str">
            <v>自制</v>
          </cell>
          <cell r="G62" t="str">
            <v>奥迪Q5</v>
          </cell>
          <cell r="H62">
            <v>43</v>
          </cell>
          <cell r="I62">
            <v>42</v>
          </cell>
          <cell r="J62">
            <v>40</v>
          </cell>
          <cell r="K62">
            <v>39</v>
          </cell>
          <cell r="L62">
            <v>37</v>
          </cell>
          <cell r="M62">
            <v>35</v>
          </cell>
        </row>
        <row r="63">
          <cell r="A63" t="str">
            <v>DQ9036C102</v>
          </cell>
          <cell r="B63">
            <v>5922</v>
          </cell>
          <cell r="C63">
            <v>22.8192893454545</v>
          </cell>
          <cell r="D63">
            <v>0</v>
          </cell>
          <cell r="E63">
            <v>22.8192893454545</v>
          </cell>
          <cell r="F63" t="str">
            <v>自制</v>
          </cell>
          <cell r="G63" t="str">
            <v>克莱斯勒300C 3.6L(带螺丝）</v>
          </cell>
          <cell r="H63">
            <v>31</v>
          </cell>
          <cell r="I63">
            <v>30</v>
          </cell>
          <cell r="J63">
            <v>29</v>
          </cell>
          <cell r="K63">
            <v>28</v>
          </cell>
          <cell r="L63">
            <v>27</v>
          </cell>
          <cell r="M63">
            <v>26</v>
          </cell>
        </row>
        <row r="64">
          <cell r="A64" t="str">
            <v>DQ910846</v>
          </cell>
          <cell r="B64">
            <v>5902</v>
          </cell>
          <cell r="C64">
            <v>27.0545038654546</v>
          </cell>
          <cell r="D64">
            <v>0</v>
          </cell>
          <cell r="E64">
            <v>27.0545038654546</v>
          </cell>
          <cell r="F64" t="str">
            <v>自制</v>
          </cell>
          <cell r="G64" t="str">
            <v>丰田02246</v>
          </cell>
          <cell r="H64">
            <v>37</v>
          </cell>
          <cell r="I64">
            <v>36</v>
          </cell>
          <cell r="J64">
            <v>34</v>
          </cell>
          <cell r="K64">
            <v>33</v>
          </cell>
          <cell r="L64">
            <v>32</v>
          </cell>
          <cell r="M64">
            <v>30</v>
          </cell>
        </row>
        <row r="65">
          <cell r="A65" t="str">
            <v>DQ9104F</v>
          </cell>
          <cell r="B65">
            <v>5750</v>
          </cell>
          <cell r="C65">
            <v>23.6362589060606</v>
          </cell>
          <cell r="D65">
            <v>0</v>
          </cell>
          <cell r="E65">
            <v>23.6362589060606</v>
          </cell>
          <cell r="F65" t="str">
            <v>自制</v>
          </cell>
          <cell r="G65" t="str">
            <v>法系雷诺</v>
          </cell>
          <cell r="H65">
            <v>32</v>
          </cell>
          <cell r="I65">
            <v>31</v>
          </cell>
          <cell r="J65">
            <v>30</v>
          </cell>
          <cell r="K65">
            <v>29</v>
          </cell>
          <cell r="L65">
            <v>28</v>
          </cell>
          <cell r="M65">
            <v>26</v>
          </cell>
        </row>
        <row r="66">
          <cell r="A66" t="str">
            <v>DQ9003G2</v>
          </cell>
          <cell r="B66">
            <v>5695</v>
          </cell>
          <cell r="C66">
            <v>28.7208597454546</v>
          </cell>
          <cell r="D66">
            <v>0</v>
          </cell>
          <cell r="E66">
            <v>28.7208597454546</v>
          </cell>
          <cell r="F66" t="str">
            <v>自制</v>
          </cell>
          <cell r="G66" t="str">
            <v>日产奇骏2.0</v>
          </cell>
          <cell r="H66">
            <v>39</v>
          </cell>
          <cell r="I66">
            <v>38</v>
          </cell>
          <cell r="J66">
            <v>36</v>
          </cell>
          <cell r="K66">
            <v>35</v>
          </cell>
          <cell r="L66">
            <v>34</v>
          </cell>
          <cell r="M66">
            <v>32</v>
          </cell>
        </row>
        <row r="67">
          <cell r="A67" t="str">
            <v>DQ901808</v>
          </cell>
          <cell r="B67">
            <v>5686</v>
          </cell>
          <cell r="C67">
            <v>34.1902005454546</v>
          </cell>
          <cell r="D67">
            <v>0</v>
          </cell>
          <cell r="E67">
            <v>34.1902005454546</v>
          </cell>
          <cell r="F67" t="str">
            <v>自制</v>
          </cell>
          <cell r="G67" t="str">
            <v>卡罗拉1.2T</v>
          </cell>
          <cell r="H67">
            <v>47</v>
          </cell>
          <cell r="I67">
            <v>45</v>
          </cell>
          <cell r="J67">
            <v>43</v>
          </cell>
          <cell r="K67">
            <v>42</v>
          </cell>
          <cell r="L67">
            <v>40</v>
          </cell>
          <cell r="M67">
            <v>38</v>
          </cell>
        </row>
        <row r="68">
          <cell r="A68" t="str">
            <v>DQ9107A</v>
          </cell>
          <cell r="B68">
            <v>5315</v>
          </cell>
          <cell r="C68">
            <v>19.4893789151515</v>
          </cell>
          <cell r="D68">
            <v>0</v>
          </cell>
          <cell r="E68">
            <v>19.4893789151515</v>
          </cell>
          <cell r="F68" t="str">
            <v>自制</v>
          </cell>
          <cell r="G68" t="str">
            <v>北汽威旺</v>
          </cell>
          <cell r="H68">
            <v>27</v>
          </cell>
          <cell r="I68">
            <v>26</v>
          </cell>
          <cell r="J68">
            <v>25</v>
          </cell>
          <cell r="K68">
            <v>24</v>
          </cell>
          <cell r="L68">
            <v>23</v>
          </cell>
          <cell r="M68">
            <v>22</v>
          </cell>
        </row>
        <row r="69">
          <cell r="A69" t="str">
            <v>DQ9038A1</v>
          </cell>
          <cell r="B69">
            <v>5156</v>
          </cell>
          <cell r="C69">
            <v>24.3368612121212</v>
          </cell>
          <cell r="D69">
            <v>0</v>
          </cell>
          <cell r="E69">
            <v>24.3368612121212</v>
          </cell>
          <cell r="F69" t="str">
            <v>自制</v>
          </cell>
          <cell r="G69" t="str">
            <v>宏光B15</v>
          </cell>
          <cell r="H69">
            <v>33</v>
          </cell>
          <cell r="I69">
            <v>32</v>
          </cell>
          <cell r="J69">
            <v>31</v>
          </cell>
          <cell r="K69">
            <v>30</v>
          </cell>
          <cell r="L69">
            <v>28</v>
          </cell>
          <cell r="M69">
            <v>27</v>
          </cell>
        </row>
        <row r="70">
          <cell r="A70" t="str">
            <v>DQ9130F1</v>
          </cell>
          <cell r="B70">
            <v>4904</v>
          </cell>
          <cell r="C70">
            <v>31.4655716727273</v>
          </cell>
          <cell r="D70">
            <v>0</v>
          </cell>
          <cell r="E70">
            <v>31.4655716727273</v>
          </cell>
          <cell r="F70" t="str">
            <v>自制</v>
          </cell>
          <cell r="G70" t="str">
            <v>福特金牛</v>
          </cell>
          <cell r="H70">
            <v>43</v>
          </cell>
          <cell r="I70">
            <v>41</v>
          </cell>
          <cell r="J70">
            <v>40</v>
          </cell>
          <cell r="K70">
            <v>38</v>
          </cell>
          <cell r="L70">
            <v>37</v>
          </cell>
          <cell r="M70">
            <v>35</v>
          </cell>
        </row>
        <row r="71">
          <cell r="A71" t="str">
            <v>DQ9116E</v>
          </cell>
          <cell r="B71">
            <v>4803</v>
          </cell>
          <cell r="C71">
            <v>21.5339121454545</v>
          </cell>
          <cell r="D71">
            <v>0</v>
          </cell>
          <cell r="E71">
            <v>21.5339121454545</v>
          </cell>
          <cell r="F71" t="str">
            <v>自制</v>
          </cell>
          <cell r="G71" t="str">
            <v>473QE发动机</v>
          </cell>
          <cell r="H71">
            <v>30</v>
          </cell>
          <cell r="I71">
            <v>28</v>
          </cell>
          <cell r="J71">
            <v>27</v>
          </cell>
          <cell r="K71">
            <v>26</v>
          </cell>
          <cell r="L71">
            <v>25</v>
          </cell>
          <cell r="M71">
            <v>24</v>
          </cell>
        </row>
        <row r="72">
          <cell r="A72" t="str">
            <v>DQ9113B2</v>
          </cell>
          <cell r="B72">
            <v>4784</v>
          </cell>
          <cell r="C72">
            <v>31.9017633818182</v>
          </cell>
          <cell r="D72">
            <v>0</v>
          </cell>
          <cell r="E72">
            <v>31.9017633818182</v>
          </cell>
          <cell r="F72" t="str">
            <v>自制</v>
          </cell>
          <cell r="G72" t="str">
            <v>三菱劲炫</v>
          </cell>
          <cell r="H72">
            <v>44</v>
          </cell>
          <cell r="I72">
            <v>42</v>
          </cell>
          <cell r="J72">
            <v>40</v>
          </cell>
          <cell r="K72">
            <v>39</v>
          </cell>
          <cell r="L72">
            <v>37</v>
          </cell>
          <cell r="M72">
            <v>36</v>
          </cell>
        </row>
        <row r="73">
          <cell r="A73" t="str">
            <v>DQ129</v>
          </cell>
          <cell r="B73">
            <v>4746</v>
          </cell>
          <cell r="C73">
            <v>41</v>
          </cell>
          <cell r="D73">
            <v>-0.247248590909102</v>
          </cell>
          <cell r="E73">
            <v>41.2472485909091</v>
          </cell>
          <cell r="F73" t="str">
            <v>自制</v>
          </cell>
          <cell r="G73" t="str">
            <v>小红旗</v>
          </cell>
          <cell r="H73">
            <v>56</v>
          </cell>
          <cell r="I73">
            <v>54</v>
          </cell>
          <cell r="J73">
            <v>52</v>
          </cell>
          <cell r="K73">
            <v>50</v>
          </cell>
          <cell r="L73">
            <v>48</v>
          </cell>
          <cell r="M73">
            <v>46</v>
          </cell>
        </row>
        <row r="74">
          <cell r="A74" t="str">
            <v>DQ9230A1</v>
          </cell>
          <cell r="B74">
            <v>4605</v>
          </cell>
          <cell r="C74">
            <v>24.4079890827273</v>
          </cell>
          <cell r="D74">
            <v>0</v>
          </cell>
          <cell r="E74">
            <v>24.4079890827273</v>
          </cell>
          <cell r="F74" t="str">
            <v>自制</v>
          </cell>
          <cell r="G74" t="str">
            <v>五菱之光 1.2L</v>
          </cell>
          <cell r="H74">
            <v>33</v>
          </cell>
          <cell r="I74">
            <v>32</v>
          </cell>
          <cell r="J74">
            <v>31</v>
          </cell>
          <cell r="K74">
            <v>30</v>
          </cell>
          <cell r="L74">
            <v>29</v>
          </cell>
          <cell r="M74">
            <v>27</v>
          </cell>
        </row>
        <row r="75">
          <cell r="A75" t="str">
            <v>DQ9216B</v>
          </cell>
          <cell r="B75">
            <v>4574</v>
          </cell>
          <cell r="C75">
            <v>23.0130910727273</v>
          </cell>
          <cell r="D75">
            <v>0</v>
          </cell>
          <cell r="E75">
            <v>23.0130910727273</v>
          </cell>
          <cell r="F75" t="str">
            <v>自制</v>
          </cell>
          <cell r="G75" t="str">
            <v>荣威350</v>
          </cell>
          <cell r="H75">
            <v>32</v>
          </cell>
          <cell r="I75">
            <v>30</v>
          </cell>
          <cell r="J75">
            <v>29</v>
          </cell>
          <cell r="K75">
            <v>28</v>
          </cell>
          <cell r="L75">
            <v>27</v>
          </cell>
          <cell r="M75">
            <v>26</v>
          </cell>
        </row>
        <row r="76">
          <cell r="A76" t="str">
            <v>DQ9110E1</v>
          </cell>
          <cell r="B76">
            <v>4566</v>
          </cell>
          <cell r="C76">
            <v>28.1093795454545</v>
          </cell>
          <cell r="D76">
            <v>0</v>
          </cell>
          <cell r="E76">
            <v>28.1093795454545</v>
          </cell>
          <cell r="F76" t="str">
            <v>自制</v>
          </cell>
          <cell r="G76" t="str">
            <v>标致1.6T</v>
          </cell>
          <cell r="H76">
            <v>38</v>
          </cell>
          <cell r="I76">
            <v>37</v>
          </cell>
          <cell r="J76">
            <v>36</v>
          </cell>
          <cell r="K76">
            <v>34</v>
          </cell>
          <cell r="L76">
            <v>33</v>
          </cell>
          <cell r="M76">
            <v>31</v>
          </cell>
        </row>
        <row r="77">
          <cell r="A77" t="str">
            <v>DQ9032A1</v>
          </cell>
          <cell r="B77">
            <v>4540</v>
          </cell>
          <cell r="C77">
            <v>34.2697393454545</v>
          </cell>
          <cell r="D77">
            <v>0</v>
          </cell>
          <cell r="E77">
            <v>34.2697393454545</v>
          </cell>
          <cell r="F77" t="str">
            <v>自制</v>
          </cell>
          <cell r="G77" t="str">
            <v>铃木</v>
          </cell>
          <cell r="H77">
            <v>47</v>
          </cell>
          <cell r="I77">
            <v>45</v>
          </cell>
          <cell r="J77">
            <v>43</v>
          </cell>
          <cell r="K77">
            <v>42</v>
          </cell>
          <cell r="L77">
            <v>40</v>
          </cell>
          <cell r="M77">
            <v>38</v>
          </cell>
        </row>
        <row r="78">
          <cell r="A78" t="str">
            <v>DQ9005D</v>
          </cell>
          <cell r="B78">
            <v>4452</v>
          </cell>
          <cell r="C78">
            <v>16.5565372018182</v>
          </cell>
          <cell r="D78">
            <v>0</v>
          </cell>
          <cell r="E78">
            <v>16.5565372018182</v>
          </cell>
          <cell r="F78" t="str">
            <v>自制</v>
          </cell>
          <cell r="G78" t="str">
            <v>福克斯</v>
          </cell>
          <cell r="H78">
            <v>23</v>
          </cell>
          <cell r="I78">
            <v>22</v>
          </cell>
          <cell r="J78">
            <v>21</v>
          </cell>
          <cell r="K78">
            <v>20</v>
          </cell>
          <cell r="L78">
            <v>20</v>
          </cell>
          <cell r="M78">
            <v>19</v>
          </cell>
        </row>
        <row r="79">
          <cell r="A79" t="str">
            <v>DQ9003A3</v>
          </cell>
          <cell r="B79">
            <v>4377</v>
          </cell>
          <cell r="C79">
            <v>28.4118789854545</v>
          </cell>
          <cell r="D79">
            <v>0</v>
          </cell>
          <cell r="E79">
            <v>28.4118789854545</v>
          </cell>
          <cell r="F79" t="str">
            <v>自制</v>
          </cell>
          <cell r="G79" t="str">
            <v>天籁 2.0L</v>
          </cell>
          <cell r="H79">
            <v>39</v>
          </cell>
          <cell r="I79">
            <v>37</v>
          </cell>
          <cell r="J79">
            <v>36</v>
          </cell>
          <cell r="K79">
            <v>35</v>
          </cell>
          <cell r="L79">
            <v>33</v>
          </cell>
          <cell r="M79">
            <v>32</v>
          </cell>
        </row>
        <row r="80">
          <cell r="A80" t="str">
            <v>DQ9101K1</v>
          </cell>
          <cell r="B80">
            <v>4352</v>
          </cell>
          <cell r="C80">
            <v>20.6515283151515</v>
          </cell>
          <cell r="D80">
            <v>0</v>
          </cell>
          <cell r="E80">
            <v>20.6515283151515</v>
          </cell>
          <cell r="F80" t="str">
            <v>自制</v>
          </cell>
          <cell r="G80" t="str">
            <v>现代瑞纳</v>
          </cell>
          <cell r="H80">
            <v>28</v>
          </cell>
          <cell r="I80">
            <v>27</v>
          </cell>
          <cell r="J80">
            <v>26</v>
          </cell>
          <cell r="K80">
            <v>25</v>
          </cell>
          <cell r="L80">
            <v>24</v>
          </cell>
          <cell r="M80">
            <v>23</v>
          </cell>
        </row>
        <row r="81">
          <cell r="A81" t="str">
            <v>DQ9010A</v>
          </cell>
          <cell r="B81">
            <v>4307</v>
          </cell>
          <cell r="C81">
            <v>27.8600767454545</v>
          </cell>
          <cell r="D81">
            <v>0</v>
          </cell>
          <cell r="E81">
            <v>27.8600767454545</v>
          </cell>
          <cell r="F81" t="str">
            <v>自制</v>
          </cell>
          <cell r="G81" t="str">
            <v>飞度1.3后排</v>
          </cell>
          <cell r="H81">
            <v>38</v>
          </cell>
          <cell r="I81">
            <v>37</v>
          </cell>
          <cell r="J81">
            <v>35</v>
          </cell>
          <cell r="K81">
            <v>34</v>
          </cell>
          <cell r="L81">
            <v>33</v>
          </cell>
          <cell r="M81">
            <v>31</v>
          </cell>
        </row>
        <row r="82">
          <cell r="A82" t="str">
            <v>DQ9021D</v>
          </cell>
          <cell r="B82">
            <v>4280</v>
          </cell>
          <cell r="C82">
            <v>22.3533337454545</v>
          </cell>
          <cell r="D82">
            <v>0</v>
          </cell>
          <cell r="E82">
            <v>22.3533337454545</v>
          </cell>
          <cell r="F82" t="str">
            <v>自制</v>
          </cell>
          <cell r="G82" t="str">
            <v>吉利帝豪</v>
          </cell>
          <cell r="H82">
            <v>31</v>
          </cell>
          <cell r="I82">
            <v>30</v>
          </cell>
          <cell r="J82">
            <v>28</v>
          </cell>
          <cell r="K82">
            <v>27</v>
          </cell>
          <cell r="L82">
            <v>26</v>
          </cell>
          <cell r="M82">
            <v>25</v>
          </cell>
        </row>
        <row r="83">
          <cell r="A83" t="str">
            <v>DQ9025C1</v>
          </cell>
          <cell r="B83">
            <v>4253</v>
          </cell>
          <cell r="C83">
            <v>34</v>
          </cell>
          <cell r="D83">
            <v>2.3654851272727</v>
          </cell>
          <cell r="E83">
            <v>31.6345148727273</v>
          </cell>
          <cell r="F83" t="str">
            <v>自制</v>
          </cell>
          <cell r="G83" t="str">
            <v>奔驰209发动机</v>
          </cell>
          <cell r="H83">
            <v>46</v>
          </cell>
          <cell r="I83">
            <v>45</v>
          </cell>
          <cell r="J83">
            <v>43</v>
          </cell>
          <cell r="K83">
            <v>41</v>
          </cell>
          <cell r="L83">
            <v>40</v>
          </cell>
          <cell r="M83">
            <v>38</v>
          </cell>
        </row>
        <row r="84">
          <cell r="A84" t="str">
            <v>DQ9115</v>
          </cell>
          <cell r="B84">
            <v>3936</v>
          </cell>
          <cell r="C84">
            <v>21.5529295818182</v>
          </cell>
          <cell r="D84">
            <v>0</v>
          </cell>
          <cell r="E84">
            <v>21.5529295818182</v>
          </cell>
          <cell r="F84" t="str">
            <v>自制</v>
          </cell>
          <cell r="G84" t="str">
            <v>海马479Q</v>
          </cell>
          <cell r="H84">
            <v>30</v>
          </cell>
          <cell r="I84">
            <v>29</v>
          </cell>
          <cell r="J84">
            <v>27</v>
          </cell>
          <cell r="K84">
            <v>26</v>
          </cell>
          <cell r="L84">
            <v>25</v>
          </cell>
          <cell r="M84">
            <v>24</v>
          </cell>
        </row>
        <row r="85">
          <cell r="A85" t="str">
            <v>DQ6493</v>
          </cell>
          <cell r="B85">
            <v>3902</v>
          </cell>
          <cell r="C85">
            <v>39</v>
          </cell>
          <cell r="D85">
            <v>-0.472720663636402</v>
          </cell>
          <cell r="E85">
            <v>39.4727206636364</v>
          </cell>
          <cell r="F85" t="str">
            <v>自制</v>
          </cell>
          <cell r="G85" t="str">
            <v>德尔福二代</v>
          </cell>
          <cell r="H85">
            <v>53</v>
          </cell>
          <cell r="I85">
            <v>51</v>
          </cell>
          <cell r="J85">
            <v>49</v>
          </cell>
          <cell r="K85">
            <v>47</v>
          </cell>
          <cell r="L85">
            <v>45</v>
          </cell>
          <cell r="M85">
            <v>43</v>
          </cell>
        </row>
        <row r="86">
          <cell r="A86" t="str">
            <v>DQ1212X</v>
          </cell>
          <cell r="B86">
            <v>3836</v>
          </cell>
          <cell r="C86">
            <v>44</v>
          </cell>
          <cell r="D86">
            <v>-1.5969640181818</v>
          </cell>
          <cell r="E86">
            <v>45.5969640181818</v>
          </cell>
          <cell r="F86" t="str">
            <v>自制</v>
          </cell>
          <cell r="G86" t="str">
            <v>奇瑞风云</v>
          </cell>
          <cell r="H86">
            <v>60</v>
          </cell>
          <cell r="I86">
            <v>58</v>
          </cell>
          <cell r="J86">
            <v>55</v>
          </cell>
          <cell r="K86">
            <v>53</v>
          </cell>
          <cell r="L86">
            <v>51</v>
          </cell>
          <cell r="M86">
            <v>49</v>
          </cell>
        </row>
        <row r="87">
          <cell r="A87" t="str">
            <v>DQ9007C2</v>
          </cell>
          <cell r="B87">
            <v>3733</v>
          </cell>
          <cell r="C87">
            <v>33</v>
          </cell>
          <cell r="D87">
            <v>1.5982202545454</v>
          </cell>
          <cell r="E87">
            <v>31.4017797454546</v>
          </cell>
          <cell r="F87" t="str">
            <v>自制</v>
          </cell>
          <cell r="G87" t="str">
            <v>索兰托2.0T</v>
          </cell>
          <cell r="H87">
            <v>45</v>
          </cell>
          <cell r="I87">
            <v>43</v>
          </cell>
          <cell r="J87">
            <v>42</v>
          </cell>
          <cell r="K87">
            <v>40</v>
          </cell>
          <cell r="L87">
            <v>38</v>
          </cell>
          <cell r="M87">
            <v>37</v>
          </cell>
        </row>
        <row r="88">
          <cell r="A88" t="str">
            <v>DQ9201C1</v>
          </cell>
          <cell r="B88">
            <v>3633</v>
          </cell>
          <cell r="C88">
            <v>23.5450972727273</v>
          </cell>
          <cell r="D88">
            <v>0</v>
          </cell>
          <cell r="E88">
            <v>23.5450972727273</v>
          </cell>
          <cell r="F88" t="str">
            <v>自制</v>
          </cell>
          <cell r="G88" t="str">
            <v>欧诺474</v>
          </cell>
          <cell r="H88">
            <v>32</v>
          </cell>
          <cell r="I88">
            <v>31</v>
          </cell>
          <cell r="J88">
            <v>30</v>
          </cell>
          <cell r="K88">
            <v>29</v>
          </cell>
          <cell r="L88">
            <v>28</v>
          </cell>
          <cell r="M88">
            <v>26</v>
          </cell>
        </row>
        <row r="89">
          <cell r="A89" t="str">
            <v>DQ9039B1</v>
          </cell>
          <cell r="B89">
            <v>3603</v>
          </cell>
          <cell r="C89">
            <v>23.4163020121212</v>
          </cell>
          <cell r="D89">
            <v>0</v>
          </cell>
          <cell r="E89">
            <v>23.4163020121212</v>
          </cell>
          <cell r="F89" t="str">
            <v>自制</v>
          </cell>
          <cell r="G89" t="str">
            <v>宝骏 730</v>
          </cell>
          <cell r="H89">
            <v>32</v>
          </cell>
          <cell r="I89">
            <v>31</v>
          </cell>
          <cell r="J89">
            <v>30</v>
          </cell>
          <cell r="K89">
            <v>29</v>
          </cell>
          <cell r="L89">
            <v>27</v>
          </cell>
          <cell r="M89">
            <v>26</v>
          </cell>
        </row>
        <row r="90">
          <cell r="A90" t="str">
            <v>DQ9002D1</v>
          </cell>
          <cell r="B90">
            <v>3581</v>
          </cell>
          <cell r="C90">
            <v>39</v>
          </cell>
          <cell r="D90">
            <v>0.614604727272699</v>
          </cell>
          <cell r="E90">
            <v>38.3853952727273</v>
          </cell>
          <cell r="F90" t="str">
            <v>自制</v>
          </cell>
          <cell r="G90" t="str">
            <v>马自达3 昂克赛拉</v>
          </cell>
          <cell r="H90">
            <v>53</v>
          </cell>
          <cell r="I90">
            <v>51</v>
          </cell>
          <cell r="J90">
            <v>49</v>
          </cell>
          <cell r="K90">
            <v>47</v>
          </cell>
          <cell r="L90">
            <v>45</v>
          </cell>
          <cell r="M90">
            <v>43</v>
          </cell>
        </row>
        <row r="91">
          <cell r="A91" t="str">
            <v>DQ9134B1</v>
          </cell>
          <cell r="B91">
            <v>3527</v>
          </cell>
          <cell r="C91">
            <v>36</v>
          </cell>
          <cell r="D91">
            <v>0.950585727272703</v>
          </cell>
          <cell r="E91">
            <v>35.0494142727273</v>
          </cell>
          <cell r="F91" t="str">
            <v>自制</v>
          </cell>
          <cell r="G91" t="str">
            <v>昂科拉</v>
          </cell>
          <cell r="H91">
            <v>49</v>
          </cell>
          <cell r="I91">
            <v>47</v>
          </cell>
          <cell r="J91">
            <v>45</v>
          </cell>
          <cell r="K91">
            <v>44</v>
          </cell>
          <cell r="L91">
            <v>42</v>
          </cell>
          <cell r="M91">
            <v>40</v>
          </cell>
        </row>
        <row r="92">
          <cell r="A92" t="str">
            <v>DQ9109D1</v>
          </cell>
          <cell r="B92">
            <v>3464</v>
          </cell>
          <cell r="C92">
            <v>29.8816745454546</v>
          </cell>
          <cell r="D92">
            <v>0</v>
          </cell>
          <cell r="E92">
            <v>29.8816745454546</v>
          </cell>
          <cell r="F92" t="str">
            <v>自制</v>
          </cell>
          <cell r="G92" t="str">
            <v>2016款 本田CRV 2.4L</v>
          </cell>
          <cell r="H92">
            <v>41</v>
          </cell>
          <cell r="I92">
            <v>39</v>
          </cell>
          <cell r="J92">
            <v>38</v>
          </cell>
          <cell r="K92">
            <v>36</v>
          </cell>
          <cell r="L92">
            <v>35</v>
          </cell>
          <cell r="M92">
            <v>33</v>
          </cell>
        </row>
        <row r="93">
          <cell r="A93" t="str">
            <v>DQ9042A1</v>
          </cell>
          <cell r="B93">
            <v>3409</v>
          </cell>
          <cell r="C93">
            <v>49.1715</v>
          </cell>
          <cell r="D93">
            <v>0</v>
          </cell>
          <cell r="E93">
            <v>49.1715</v>
          </cell>
          <cell r="F93" t="str">
            <v>调货</v>
          </cell>
          <cell r="G93" t="str">
            <v>江铃 驭胜 S330 1.5T</v>
          </cell>
          <cell r="H93">
            <v>59</v>
          </cell>
          <cell r="I93">
            <v>58</v>
          </cell>
          <cell r="J93">
            <v>57</v>
          </cell>
          <cell r="K93">
            <v>56</v>
          </cell>
          <cell r="L93">
            <v>56</v>
          </cell>
          <cell r="M93">
            <v>55</v>
          </cell>
        </row>
        <row r="94">
          <cell r="A94" t="str">
            <v>DQ9109T</v>
          </cell>
          <cell r="B94">
            <v>3390</v>
          </cell>
          <cell r="C94">
            <v>29.4161116121212</v>
          </cell>
          <cell r="D94">
            <v>0</v>
          </cell>
          <cell r="E94">
            <v>29.4161116121212</v>
          </cell>
          <cell r="F94" t="str">
            <v>自制</v>
          </cell>
          <cell r="G94" t="str">
            <v>本田6代雅阁</v>
          </cell>
          <cell r="H94">
            <v>40</v>
          </cell>
          <cell r="I94">
            <v>39</v>
          </cell>
          <cell r="J94">
            <v>37</v>
          </cell>
          <cell r="K94">
            <v>36</v>
          </cell>
          <cell r="L94">
            <v>34</v>
          </cell>
          <cell r="M94">
            <v>33</v>
          </cell>
        </row>
        <row r="95">
          <cell r="A95" t="str">
            <v>DQ9202</v>
          </cell>
          <cell r="B95">
            <v>3312</v>
          </cell>
          <cell r="C95">
            <v>31.4116372727273</v>
          </cell>
          <cell r="D95">
            <v>0</v>
          </cell>
          <cell r="E95">
            <v>31.4116372727273</v>
          </cell>
          <cell r="F95" t="str">
            <v>自制</v>
          </cell>
          <cell r="G95" t="str">
            <v>474三插</v>
          </cell>
          <cell r="H95">
            <v>43</v>
          </cell>
          <cell r="I95">
            <v>41</v>
          </cell>
          <cell r="J95">
            <v>40</v>
          </cell>
          <cell r="K95">
            <v>38</v>
          </cell>
          <cell r="L95">
            <v>37</v>
          </cell>
          <cell r="M95">
            <v>35</v>
          </cell>
        </row>
        <row r="96">
          <cell r="A96" t="str">
            <v>DQ9209A</v>
          </cell>
          <cell r="B96">
            <v>3275</v>
          </cell>
          <cell r="C96">
            <v>23.9466302727273</v>
          </cell>
          <cell r="D96">
            <v>0</v>
          </cell>
          <cell r="E96">
            <v>23.9466302727273</v>
          </cell>
          <cell r="F96" t="str">
            <v>自制</v>
          </cell>
          <cell r="G96" t="str">
            <v>哈飞赛马 赛豹 菱帅</v>
          </cell>
          <cell r="H96">
            <v>33</v>
          </cell>
          <cell r="I96">
            <v>32</v>
          </cell>
          <cell r="J96">
            <v>30</v>
          </cell>
          <cell r="K96">
            <v>29</v>
          </cell>
          <cell r="L96">
            <v>28</v>
          </cell>
          <cell r="M96">
            <v>27</v>
          </cell>
        </row>
        <row r="97">
          <cell r="A97" t="str">
            <v>DQ9101B3</v>
          </cell>
          <cell r="B97">
            <v>3199</v>
          </cell>
          <cell r="C97">
            <v>19.7255445151515</v>
          </cell>
          <cell r="D97">
            <v>0</v>
          </cell>
          <cell r="E97">
            <v>19.7255445151515</v>
          </cell>
          <cell r="F97" t="str">
            <v>自制</v>
          </cell>
          <cell r="G97" t="str">
            <v>27301-2B000</v>
          </cell>
          <cell r="H97">
            <v>27</v>
          </cell>
          <cell r="I97">
            <v>26</v>
          </cell>
          <cell r="J97">
            <v>25</v>
          </cell>
          <cell r="K97">
            <v>24</v>
          </cell>
          <cell r="L97">
            <v>23</v>
          </cell>
          <cell r="M97">
            <v>22</v>
          </cell>
        </row>
        <row r="98">
          <cell r="A98" t="str">
            <v>DQ9101C</v>
          </cell>
          <cell r="B98">
            <v>3132</v>
          </cell>
          <cell r="C98">
            <v>18.3476831818182</v>
          </cell>
          <cell r="D98">
            <v>0</v>
          </cell>
          <cell r="E98">
            <v>18.3476831818182</v>
          </cell>
          <cell r="F98" t="str">
            <v>自制</v>
          </cell>
          <cell r="G98" t="str">
            <v>现代 全新胜达(进口) 3.0L</v>
          </cell>
          <cell r="H98">
            <v>25</v>
          </cell>
          <cell r="I98">
            <v>24</v>
          </cell>
          <cell r="J98">
            <v>23</v>
          </cell>
          <cell r="K98">
            <v>23</v>
          </cell>
          <cell r="L98">
            <v>22</v>
          </cell>
          <cell r="M98">
            <v>21</v>
          </cell>
        </row>
        <row r="99">
          <cell r="A99" t="str">
            <v>DQ9101E</v>
          </cell>
          <cell r="B99">
            <v>3109</v>
          </cell>
          <cell r="C99">
            <v>18.0491280094044</v>
          </cell>
          <cell r="D99">
            <v>0</v>
          </cell>
          <cell r="E99">
            <v>18.0491280094044</v>
          </cell>
          <cell r="F99" t="str">
            <v>自制</v>
          </cell>
          <cell r="G99" t="str">
            <v>圣达菲2.7L</v>
          </cell>
          <cell r="H99">
            <v>25</v>
          </cell>
          <cell r="I99">
            <v>24</v>
          </cell>
          <cell r="J99">
            <v>23</v>
          </cell>
          <cell r="K99">
            <v>22</v>
          </cell>
          <cell r="L99">
            <v>21</v>
          </cell>
          <cell r="M99">
            <v>20</v>
          </cell>
        </row>
        <row r="100">
          <cell r="A100" t="str">
            <v>DQ9010K1</v>
          </cell>
          <cell r="B100">
            <v>2997</v>
          </cell>
          <cell r="C100">
            <v>31.6460294060606</v>
          </cell>
          <cell r="D100">
            <v>0</v>
          </cell>
          <cell r="E100">
            <v>31.6460294060606</v>
          </cell>
          <cell r="F100" t="str">
            <v>自制</v>
          </cell>
          <cell r="G100" t="str">
            <v>本田 哥瑞（1.5直喷）</v>
          </cell>
          <cell r="H100">
            <v>43</v>
          </cell>
          <cell r="I100">
            <v>42</v>
          </cell>
          <cell r="J100">
            <v>40</v>
          </cell>
          <cell r="K100">
            <v>38</v>
          </cell>
          <cell r="L100">
            <v>37</v>
          </cell>
          <cell r="M100">
            <v>35</v>
          </cell>
        </row>
        <row r="101">
          <cell r="A101" t="str">
            <v>DQ9402</v>
          </cell>
          <cell r="B101">
            <v>2996</v>
          </cell>
          <cell r="C101">
            <v>82.6623854727273</v>
          </cell>
          <cell r="D101">
            <v>0</v>
          </cell>
          <cell r="E101">
            <v>82.6623854727273</v>
          </cell>
          <cell r="F101" t="str">
            <v>自制</v>
          </cell>
          <cell r="G101" t="str">
            <v>标致307</v>
          </cell>
          <cell r="H101">
            <v>112</v>
          </cell>
          <cell r="I101">
            <v>108</v>
          </cell>
          <cell r="J101">
            <v>104</v>
          </cell>
          <cell r="K101">
            <v>100</v>
          </cell>
          <cell r="L101">
            <v>96</v>
          </cell>
          <cell r="M101">
            <v>91</v>
          </cell>
        </row>
        <row r="102">
          <cell r="A102" t="str">
            <v>DQ910838</v>
          </cell>
          <cell r="B102">
            <v>2976</v>
          </cell>
          <cell r="C102">
            <v>26.5504838654546</v>
          </cell>
          <cell r="D102">
            <v>0</v>
          </cell>
          <cell r="E102">
            <v>26.5504838654546</v>
          </cell>
          <cell r="F102" t="str">
            <v>自制</v>
          </cell>
          <cell r="G102" t="str">
            <v>丰田02238</v>
          </cell>
          <cell r="H102">
            <v>36</v>
          </cell>
          <cell r="I102">
            <v>35</v>
          </cell>
          <cell r="J102">
            <v>34</v>
          </cell>
          <cell r="K102">
            <v>32</v>
          </cell>
          <cell r="L102">
            <v>31</v>
          </cell>
          <cell r="M102">
            <v>30</v>
          </cell>
        </row>
        <row r="103">
          <cell r="A103" t="str">
            <v>DQ9005H</v>
          </cell>
          <cell r="B103">
            <v>2962</v>
          </cell>
          <cell r="C103">
            <v>17.9927315654545</v>
          </cell>
          <cell r="D103">
            <v>0</v>
          </cell>
          <cell r="E103">
            <v>17.9927315654545</v>
          </cell>
          <cell r="F103" t="str">
            <v>自制</v>
          </cell>
          <cell r="G103" t="str">
            <v>福特林肯05-08</v>
          </cell>
          <cell r="H103">
            <v>25</v>
          </cell>
          <cell r="I103">
            <v>24</v>
          </cell>
          <cell r="J103">
            <v>23</v>
          </cell>
          <cell r="K103">
            <v>22</v>
          </cell>
          <cell r="L103">
            <v>21</v>
          </cell>
          <cell r="M103">
            <v>20</v>
          </cell>
        </row>
        <row r="104">
          <cell r="A104" t="str">
            <v>DQ9002C1</v>
          </cell>
          <cell r="B104">
            <v>2933</v>
          </cell>
          <cell r="C104">
            <v>26.4409623454546</v>
          </cell>
          <cell r="D104">
            <v>0</v>
          </cell>
          <cell r="E104">
            <v>26.4409623454546</v>
          </cell>
          <cell r="F104" t="str">
            <v>自制</v>
          </cell>
          <cell r="G104" t="str">
            <v>马自达3</v>
          </cell>
          <cell r="H104">
            <v>36</v>
          </cell>
          <cell r="I104">
            <v>35</v>
          </cell>
          <cell r="J104">
            <v>34</v>
          </cell>
          <cell r="K104">
            <v>32</v>
          </cell>
          <cell r="L104">
            <v>31</v>
          </cell>
          <cell r="M104">
            <v>30</v>
          </cell>
        </row>
        <row r="105">
          <cell r="A105" t="str">
            <v>DQ9029B1</v>
          </cell>
          <cell r="B105">
            <v>2898</v>
          </cell>
          <cell r="C105">
            <v>28.5</v>
          </cell>
          <cell r="D105">
            <v>0.537338687878801</v>
          </cell>
          <cell r="E105">
            <v>27.9626613121212</v>
          </cell>
          <cell r="F105" t="str">
            <v>自制</v>
          </cell>
          <cell r="G105" t="str">
            <v>宝马1.5T</v>
          </cell>
          <cell r="H105">
            <v>39</v>
          </cell>
          <cell r="I105">
            <v>38</v>
          </cell>
          <cell r="J105">
            <v>36</v>
          </cell>
          <cell r="K105">
            <v>35</v>
          </cell>
          <cell r="L105">
            <v>33</v>
          </cell>
          <cell r="M105">
            <v>32</v>
          </cell>
        </row>
        <row r="106">
          <cell r="A106" t="str">
            <v>DQ9002</v>
          </cell>
          <cell r="B106">
            <v>2868</v>
          </cell>
          <cell r="C106">
            <v>29.2315989854545</v>
          </cell>
          <cell r="D106">
            <v>0</v>
          </cell>
          <cell r="E106">
            <v>29.2315989854545</v>
          </cell>
          <cell r="F106" t="str">
            <v>自制</v>
          </cell>
          <cell r="G106" t="str">
            <v>马六三插</v>
          </cell>
          <cell r="H106">
            <v>40</v>
          </cell>
          <cell r="I106">
            <v>39</v>
          </cell>
          <cell r="J106">
            <v>37</v>
          </cell>
          <cell r="K106">
            <v>36</v>
          </cell>
          <cell r="L106">
            <v>34</v>
          </cell>
          <cell r="M106">
            <v>33</v>
          </cell>
        </row>
        <row r="107">
          <cell r="A107" t="str">
            <v>DQ9219A4</v>
          </cell>
          <cell r="B107">
            <v>2839</v>
          </cell>
          <cell r="C107">
            <v>21.5079357727273</v>
          </cell>
          <cell r="D107">
            <v>0</v>
          </cell>
          <cell r="E107">
            <v>21.5079357727273</v>
          </cell>
          <cell r="F107" t="str">
            <v>自制</v>
          </cell>
          <cell r="G107" t="str">
            <v>广汽传祺GS4</v>
          </cell>
          <cell r="H107">
            <v>30</v>
          </cell>
          <cell r="I107">
            <v>28</v>
          </cell>
          <cell r="J107">
            <v>27</v>
          </cell>
          <cell r="K107">
            <v>26</v>
          </cell>
          <cell r="L107">
            <v>25</v>
          </cell>
          <cell r="M107">
            <v>24</v>
          </cell>
        </row>
        <row r="108">
          <cell r="A108" t="str">
            <v>DQ9205</v>
          </cell>
          <cell r="B108">
            <v>2813</v>
          </cell>
          <cell r="C108">
            <v>32.6916192727273</v>
          </cell>
          <cell r="D108">
            <v>0</v>
          </cell>
          <cell r="E108">
            <v>32.6916192727273</v>
          </cell>
          <cell r="F108" t="str">
            <v>自制</v>
          </cell>
          <cell r="G108" t="str">
            <v>哈飞赛马1.3</v>
          </cell>
          <cell r="H108">
            <v>45</v>
          </cell>
          <cell r="I108">
            <v>43</v>
          </cell>
          <cell r="J108">
            <v>41</v>
          </cell>
          <cell r="K108">
            <v>40</v>
          </cell>
          <cell r="L108">
            <v>38</v>
          </cell>
          <cell r="M108">
            <v>36</v>
          </cell>
        </row>
        <row r="109">
          <cell r="A109" t="str">
            <v>DQ9010</v>
          </cell>
          <cell r="B109">
            <v>2773</v>
          </cell>
          <cell r="C109">
            <v>27.8600767454545</v>
          </cell>
          <cell r="D109">
            <v>0</v>
          </cell>
          <cell r="E109">
            <v>27.8600767454545</v>
          </cell>
          <cell r="F109" t="str">
            <v>自制</v>
          </cell>
          <cell r="G109" t="str">
            <v>飞度1.3前排</v>
          </cell>
          <cell r="H109">
            <v>38</v>
          </cell>
          <cell r="I109">
            <v>37</v>
          </cell>
          <cell r="J109">
            <v>35</v>
          </cell>
          <cell r="K109">
            <v>34</v>
          </cell>
          <cell r="L109">
            <v>33</v>
          </cell>
          <cell r="M109">
            <v>31</v>
          </cell>
        </row>
        <row r="110">
          <cell r="A110" t="str">
            <v>DQ9017F1</v>
          </cell>
          <cell r="B110">
            <v>2750</v>
          </cell>
          <cell r="C110">
            <v>35</v>
          </cell>
          <cell r="D110">
            <v>0.683094854545502</v>
          </cell>
          <cell r="E110">
            <v>34.3169051454545</v>
          </cell>
          <cell r="F110" t="str">
            <v>自制</v>
          </cell>
          <cell r="G110" t="str">
            <v>沃尔沃S60</v>
          </cell>
          <cell r="H110">
            <v>48</v>
          </cell>
          <cell r="I110">
            <v>46</v>
          </cell>
          <cell r="J110">
            <v>44</v>
          </cell>
          <cell r="K110">
            <v>42</v>
          </cell>
          <cell r="L110">
            <v>41</v>
          </cell>
          <cell r="M110">
            <v>39</v>
          </cell>
        </row>
        <row r="111">
          <cell r="A111" t="str">
            <v>DQ910140</v>
          </cell>
          <cell r="B111">
            <v>2713</v>
          </cell>
          <cell r="C111">
            <v>20.4589320654545</v>
          </cell>
          <cell r="D111">
            <v>0</v>
          </cell>
          <cell r="E111">
            <v>20.4589320654545</v>
          </cell>
          <cell r="F111" t="str">
            <v>自制</v>
          </cell>
          <cell r="G111" t="str">
            <v>27301-04000</v>
          </cell>
          <cell r="H111">
            <v>28</v>
          </cell>
          <cell r="I111">
            <v>27</v>
          </cell>
          <cell r="J111">
            <v>26</v>
          </cell>
          <cell r="K111">
            <v>25</v>
          </cell>
          <cell r="L111">
            <v>24</v>
          </cell>
          <cell r="M111">
            <v>23</v>
          </cell>
        </row>
        <row r="112">
          <cell r="A112" t="str">
            <v>DQ9037C2</v>
          </cell>
          <cell r="B112">
            <v>2709</v>
          </cell>
          <cell r="C112">
            <v>31.9831388787879</v>
          </cell>
          <cell r="D112">
            <v>0</v>
          </cell>
          <cell r="E112">
            <v>31.9831388787879</v>
          </cell>
          <cell r="F112" t="str">
            <v>自制</v>
          </cell>
          <cell r="G112" t="str">
            <v>比亚迪476</v>
          </cell>
          <cell r="H112">
            <v>44</v>
          </cell>
          <cell r="I112">
            <v>42</v>
          </cell>
          <cell r="J112">
            <v>40</v>
          </cell>
          <cell r="K112">
            <v>39</v>
          </cell>
          <cell r="L112">
            <v>37</v>
          </cell>
          <cell r="M112">
            <v>36</v>
          </cell>
        </row>
        <row r="113">
          <cell r="A113" t="str">
            <v>DQ1212S</v>
          </cell>
          <cell r="B113">
            <v>2699</v>
          </cell>
          <cell r="C113">
            <v>32.7751409909091</v>
          </cell>
          <cell r="D113">
            <v>0</v>
          </cell>
          <cell r="E113">
            <v>32.7751409909091</v>
          </cell>
          <cell r="F113" t="str">
            <v>自制</v>
          </cell>
          <cell r="G113" t="str">
            <v>奇瑞477F发动机</v>
          </cell>
          <cell r="H113">
            <v>45</v>
          </cell>
          <cell r="I113">
            <v>43</v>
          </cell>
          <cell r="J113">
            <v>41</v>
          </cell>
          <cell r="K113">
            <v>40</v>
          </cell>
          <cell r="L113">
            <v>38</v>
          </cell>
          <cell r="M113">
            <v>37</v>
          </cell>
        </row>
        <row r="114">
          <cell r="A114" t="str">
            <v>DQ9036E1</v>
          </cell>
          <cell r="B114">
            <v>2681</v>
          </cell>
          <cell r="C114">
            <v>27.2084037454546</v>
          </cell>
          <cell r="D114">
            <v>0</v>
          </cell>
          <cell r="E114">
            <v>27.2084037454546</v>
          </cell>
          <cell r="F114" t="str">
            <v>自制</v>
          </cell>
          <cell r="G114" t="str">
            <v>克莱斯勒大捷龙</v>
          </cell>
          <cell r="H114">
            <v>37</v>
          </cell>
          <cell r="I114">
            <v>36</v>
          </cell>
          <cell r="J114">
            <v>35</v>
          </cell>
          <cell r="K114">
            <v>33</v>
          </cell>
          <cell r="L114">
            <v>32</v>
          </cell>
          <cell r="M114">
            <v>30</v>
          </cell>
        </row>
        <row r="115">
          <cell r="A115" t="str">
            <v>DQ9124A2</v>
          </cell>
          <cell r="B115">
            <v>2678</v>
          </cell>
          <cell r="C115">
            <v>22.5910879151515</v>
          </cell>
          <cell r="D115">
            <v>0</v>
          </cell>
          <cell r="E115">
            <v>22.5910879151515</v>
          </cell>
          <cell r="F115" t="str">
            <v>自制</v>
          </cell>
          <cell r="G115" t="str">
            <v>Jeep指南者 自由客 道奇 酷威 锋哲 铂锐2.0 2.4</v>
          </cell>
          <cell r="H115">
            <v>31</v>
          </cell>
          <cell r="I115">
            <v>30</v>
          </cell>
          <cell r="J115">
            <v>29</v>
          </cell>
          <cell r="K115">
            <v>28</v>
          </cell>
          <cell r="L115">
            <v>26</v>
          </cell>
          <cell r="M115">
            <v>25</v>
          </cell>
        </row>
        <row r="116">
          <cell r="A116" t="str">
            <v>DQ9119A</v>
          </cell>
          <cell r="B116">
            <v>2672</v>
          </cell>
          <cell r="C116">
            <v>32.3274689454546</v>
          </cell>
          <cell r="D116">
            <v>0</v>
          </cell>
          <cell r="E116">
            <v>32.3274689454546</v>
          </cell>
          <cell r="F116" t="str">
            <v>自制</v>
          </cell>
          <cell r="G116" t="str">
            <v>SPARK 1.2L/1.4L</v>
          </cell>
          <cell r="H116">
            <v>44</v>
          </cell>
          <cell r="I116">
            <v>43</v>
          </cell>
          <cell r="J116">
            <v>41</v>
          </cell>
          <cell r="K116">
            <v>39</v>
          </cell>
          <cell r="L116">
            <v>38</v>
          </cell>
          <cell r="M116">
            <v>36</v>
          </cell>
        </row>
        <row r="117">
          <cell r="A117" t="str">
            <v>DQ9103</v>
          </cell>
          <cell r="B117">
            <v>2660</v>
          </cell>
          <cell r="C117">
            <v>30.5995215818182</v>
          </cell>
          <cell r="D117">
            <v>0</v>
          </cell>
          <cell r="E117">
            <v>30.5995215818182</v>
          </cell>
          <cell r="F117" t="str">
            <v>自制</v>
          </cell>
          <cell r="G117" t="str">
            <v>帕萨特B5 铣胶面</v>
          </cell>
          <cell r="H117">
            <v>42</v>
          </cell>
          <cell r="I117">
            <v>40</v>
          </cell>
          <cell r="J117">
            <v>39</v>
          </cell>
          <cell r="K117">
            <v>37</v>
          </cell>
          <cell r="L117">
            <v>36</v>
          </cell>
          <cell r="M117">
            <v>34</v>
          </cell>
        </row>
        <row r="118">
          <cell r="A118" t="str">
            <v>DQ901811</v>
          </cell>
          <cell r="B118">
            <v>2643</v>
          </cell>
          <cell r="C118">
            <v>49.0913181818182</v>
          </cell>
          <cell r="D118">
            <v>0</v>
          </cell>
          <cell r="E118">
            <v>49.0913181818182</v>
          </cell>
          <cell r="F118" t="str">
            <v>调货</v>
          </cell>
          <cell r="G118" t="str">
            <v>丰田凯美瑞汉兰达2017-2018 3.5L</v>
          </cell>
          <cell r="H118">
            <v>59</v>
          </cell>
          <cell r="I118">
            <v>58</v>
          </cell>
          <cell r="J118">
            <v>57</v>
          </cell>
          <cell r="K118">
            <v>56</v>
          </cell>
          <cell r="L118">
            <v>55</v>
          </cell>
          <cell r="M118">
            <v>55</v>
          </cell>
        </row>
        <row r="119">
          <cell r="A119" t="str">
            <v>DQ9117C2</v>
          </cell>
          <cell r="B119">
            <v>2631</v>
          </cell>
          <cell r="C119">
            <v>40.15305</v>
          </cell>
          <cell r="D119">
            <v>0</v>
          </cell>
          <cell r="E119">
            <v>40.15305</v>
          </cell>
          <cell r="F119" t="str">
            <v>调货</v>
          </cell>
          <cell r="G119" t="str">
            <v>铃木奥拓2000-2002</v>
          </cell>
          <cell r="H119">
            <v>48</v>
          </cell>
          <cell r="I119">
            <v>47</v>
          </cell>
          <cell r="J119">
            <v>47</v>
          </cell>
          <cell r="K119">
            <v>46</v>
          </cell>
          <cell r="L119">
            <v>45</v>
          </cell>
          <cell r="M119">
            <v>45</v>
          </cell>
        </row>
        <row r="120">
          <cell r="A120" t="str">
            <v>DQ9210A2</v>
          </cell>
          <cell r="B120">
            <v>2624</v>
          </cell>
          <cell r="C120">
            <v>22.4330588727273</v>
          </cell>
          <cell r="D120">
            <v>0</v>
          </cell>
          <cell r="E120">
            <v>22.4330588727273</v>
          </cell>
          <cell r="F120" t="str">
            <v>自制</v>
          </cell>
          <cell r="G120" t="str">
            <v>长安欧尚</v>
          </cell>
          <cell r="H120">
            <v>31</v>
          </cell>
          <cell r="I120">
            <v>30</v>
          </cell>
          <cell r="J120">
            <v>29</v>
          </cell>
          <cell r="K120">
            <v>27</v>
          </cell>
          <cell r="L120">
            <v>26</v>
          </cell>
          <cell r="M120">
            <v>25</v>
          </cell>
        </row>
        <row r="121">
          <cell r="A121" t="str">
            <v>DQ9030A1</v>
          </cell>
          <cell r="B121">
            <v>2624</v>
          </cell>
          <cell r="C121">
            <v>36.2955345454546</v>
          </cell>
          <cell r="D121">
            <v>0</v>
          </cell>
          <cell r="E121">
            <v>36.2955345454546</v>
          </cell>
          <cell r="F121" t="str">
            <v>自制</v>
          </cell>
          <cell r="G121" t="str">
            <v>福特致胜2.0T</v>
          </cell>
          <cell r="H121">
            <v>49</v>
          </cell>
          <cell r="I121">
            <v>48</v>
          </cell>
          <cell r="J121">
            <v>46</v>
          </cell>
          <cell r="K121">
            <v>44</v>
          </cell>
          <cell r="L121">
            <v>42</v>
          </cell>
          <cell r="M121">
            <v>40</v>
          </cell>
        </row>
        <row r="122">
          <cell r="A122" t="str">
            <v>DQ9040B1</v>
          </cell>
          <cell r="B122">
            <v>2608</v>
          </cell>
          <cell r="C122">
            <v>27.5275580787879</v>
          </cell>
          <cell r="D122">
            <v>0</v>
          </cell>
          <cell r="E122">
            <v>27.5275580787879</v>
          </cell>
          <cell r="F122" t="str">
            <v>自制</v>
          </cell>
          <cell r="G122" t="str">
            <v>长安逸动 1.5T</v>
          </cell>
          <cell r="H122">
            <v>38</v>
          </cell>
          <cell r="I122">
            <v>36</v>
          </cell>
          <cell r="J122">
            <v>35</v>
          </cell>
          <cell r="K122">
            <v>34</v>
          </cell>
          <cell r="L122">
            <v>32</v>
          </cell>
          <cell r="M122">
            <v>31</v>
          </cell>
        </row>
        <row r="123">
          <cell r="A123" t="str">
            <v>DQ9034A1</v>
          </cell>
          <cell r="B123">
            <v>2599</v>
          </cell>
          <cell r="C123">
            <v>33.84675</v>
          </cell>
          <cell r="D123">
            <v>0</v>
          </cell>
          <cell r="E123">
            <v>33.84675</v>
          </cell>
          <cell r="F123" t="str">
            <v>调货</v>
          </cell>
          <cell r="G123" t="str">
            <v>纳智捷2.0T（直杆）</v>
          </cell>
          <cell r="H123">
            <v>41</v>
          </cell>
          <cell r="I123">
            <v>40</v>
          </cell>
          <cell r="J123">
            <v>39</v>
          </cell>
          <cell r="K123">
            <v>39</v>
          </cell>
          <cell r="L123">
            <v>38</v>
          </cell>
          <cell r="M123">
            <v>38</v>
          </cell>
        </row>
        <row r="124">
          <cell r="A124" t="str">
            <v>DQ9402E1</v>
          </cell>
          <cell r="B124">
            <v>2592</v>
          </cell>
          <cell r="C124">
            <v>108.000024339394</v>
          </cell>
          <cell r="D124">
            <v>0</v>
          </cell>
          <cell r="E124">
            <v>108.000024339394</v>
          </cell>
          <cell r="F124" t="str">
            <v>自制</v>
          </cell>
          <cell r="G124" t="str">
            <v>新款爱丽舍</v>
          </cell>
          <cell r="H124">
            <v>146</v>
          </cell>
          <cell r="I124">
            <v>141</v>
          </cell>
          <cell r="J124">
            <v>136</v>
          </cell>
          <cell r="K124">
            <v>130</v>
          </cell>
          <cell r="L124">
            <v>125</v>
          </cell>
          <cell r="M124">
            <v>119</v>
          </cell>
        </row>
        <row r="125">
          <cell r="A125" t="str">
            <v>DQ9113C</v>
          </cell>
          <cell r="B125">
            <v>2568</v>
          </cell>
          <cell r="C125">
            <v>31.1086633818182</v>
          </cell>
          <cell r="D125">
            <v>0</v>
          </cell>
          <cell r="E125">
            <v>31.1086633818182</v>
          </cell>
          <cell r="F125" t="str">
            <v>自制</v>
          </cell>
          <cell r="G125" t="str">
            <v>帕杰罗欧蓝德富利卡</v>
          </cell>
          <cell r="H125">
            <v>42</v>
          </cell>
          <cell r="I125">
            <v>41</v>
          </cell>
          <cell r="J125">
            <v>39</v>
          </cell>
          <cell r="K125">
            <v>38</v>
          </cell>
          <cell r="L125">
            <v>36</v>
          </cell>
          <cell r="M125">
            <v>35</v>
          </cell>
        </row>
        <row r="126">
          <cell r="A126" t="str">
            <v>DQ9005</v>
          </cell>
          <cell r="B126">
            <v>2535</v>
          </cell>
          <cell r="C126">
            <v>17.1868715654545</v>
          </cell>
          <cell r="D126">
            <v>0</v>
          </cell>
          <cell r="E126">
            <v>17.1868715654545</v>
          </cell>
          <cell r="F126" t="str">
            <v>自制</v>
          </cell>
          <cell r="G126" t="str">
            <v>小福特</v>
          </cell>
          <cell r="H126">
            <v>24</v>
          </cell>
          <cell r="I126">
            <v>23</v>
          </cell>
          <cell r="J126">
            <v>22</v>
          </cell>
          <cell r="K126">
            <v>21</v>
          </cell>
          <cell r="L126">
            <v>20</v>
          </cell>
          <cell r="M126">
            <v>19</v>
          </cell>
        </row>
        <row r="127">
          <cell r="A127" t="str">
            <v>DQ9101J1</v>
          </cell>
          <cell r="B127">
            <v>2535</v>
          </cell>
          <cell r="C127">
            <v>19.5233052651515</v>
          </cell>
          <cell r="D127">
            <v>0</v>
          </cell>
          <cell r="E127">
            <v>19.5233052651515</v>
          </cell>
          <cell r="F127" t="str">
            <v>自制</v>
          </cell>
          <cell r="G127" t="str">
            <v>雅绅特</v>
          </cell>
          <cell r="H127">
            <v>27</v>
          </cell>
          <cell r="I127">
            <v>26</v>
          </cell>
          <cell r="J127">
            <v>25</v>
          </cell>
          <cell r="K127">
            <v>24</v>
          </cell>
          <cell r="L127">
            <v>23</v>
          </cell>
          <cell r="M127">
            <v>22</v>
          </cell>
        </row>
        <row r="128">
          <cell r="A128" t="str">
            <v>DQ492</v>
          </cell>
          <cell r="B128">
            <v>2493</v>
          </cell>
          <cell r="C128">
            <v>70</v>
          </cell>
          <cell r="D128">
            <v>-2.09508515151509</v>
          </cell>
          <cell r="E128">
            <v>72.0950851515151</v>
          </cell>
          <cell r="F128" t="str">
            <v>自制</v>
          </cell>
          <cell r="G128" t="str">
            <v>捷达王</v>
          </cell>
          <cell r="H128">
            <v>95</v>
          </cell>
          <cell r="I128">
            <v>91</v>
          </cell>
          <cell r="J128">
            <v>88</v>
          </cell>
          <cell r="K128">
            <v>84</v>
          </cell>
          <cell r="L128">
            <v>81</v>
          </cell>
          <cell r="M128">
            <v>77</v>
          </cell>
        </row>
        <row r="129">
          <cell r="A129" t="str">
            <v>DQ9046A1</v>
          </cell>
          <cell r="B129">
            <v>2476</v>
          </cell>
          <cell r="C129">
            <v>23.3068137454546</v>
          </cell>
          <cell r="D129">
            <v>0</v>
          </cell>
          <cell r="E129">
            <v>23.3068137454546</v>
          </cell>
          <cell r="F129" t="str">
            <v>自制</v>
          </cell>
          <cell r="G129" t="str">
            <v>江淮瑞风M3 1.6L</v>
          </cell>
          <cell r="H129">
            <v>32</v>
          </cell>
          <cell r="I129">
            <v>31</v>
          </cell>
          <cell r="J129">
            <v>30</v>
          </cell>
          <cell r="K129">
            <v>28</v>
          </cell>
          <cell r="L129">
            <v>27</v>
          </cell>
          <cell r="M129">
            <v>26</v>
          </cell>
        </row>
        <row r="130">
          <cell r="A130" t="str">
            <v>DQ9107</v>
          </cell>
          <cell r="B130">
            <v>2462</v>
          </cell>
          <cell r="C130">
            <v>19.5530152787879</v>
          </cell>
          <cell r="D130">
            <v>0</v>
          </cell>
          <cell r="E130">
            <v>19.5530152787879</v>
          </cell>
          <cell r="F130" t="str">
            <v>自制</v>
          </cell>
          <cell r="G130" t="str">
            <v>一汽威志 威乐</v>
          </cell>
          <cell r="H130">
            <v>27</v>
          </cell>
          <cell r="I130">
            <v>26</v>
          </cell>
          <cell r="J130">
            <v>25</v>
          </cell>
          <cell r="K130">
            <v>24</v>
          </cell>
          <cell r="L130">
            <v>23</v>
          </cell>
          <cell r="M130">
            <v>22</v>
          </cell>
        </row>
        <row r="131">
          <cell r="A131" t="str">
            <v>DQ9114L</v>
          </cell>
          <cell r="B131">
            <v>2353</v>
          </cell>
          <cell r="C131">
            <v>32</v>
          </cell>
          <cell r="D131">
            <v>0.640625298181799</v>
          </cell>
          <cell r="E131">
            <v>31.3593747018182</v>
          </cell>
          <cell r="F131" t="str">
            <v>自制</v>
          </cell>
          <cell r="G131" t="str">
            <v>途锐联体短管</v>
          </cell>
          <cell r="H131">
            <v>44</v>
          </cell>
          <cell r="I131">
            <v>42</v>
          </cell>
          <cell r="J131">
            <v>40</v>
          </cell>
          <cell r="K131">
            <v>39</v>
          </cell>
          <cell r="L131">
            <v>37</v>
          </cell>
          <cell r="M131">
            <v>36</v>
          </cell>
        </row>
        <row r="132">
          <cell r="A132" t="str">
            <v>DQ901810</v>
          </cell>
          <cell r="B132">
            <v>2298</v>
          </cell>
          <cell r="C132">
            <v>49.1715</v>
          </cell>
          <cell r="D132">
            <v>0</v>
          </cell>
          <cell r="E132">
            <v>49.1715</v>
          </cell>
          <cell r="F132" t="str">
            <v>调货</v>
          </cell>
          <cell r="G132" t="str">
            <v>丰田2017-201818致炫</v>
          </cell>
          <cell r="H132">
            <v>59</v>
          </cell>
          <cell r="I132">
            <v>58</v>
          </cell>
          <cell r="J132">
            <v>57</v>
          </cell>
          <cell r="K132">
            <v>56</v>
          </cell>
          <cell r="L132">
            <v>56</v>
          </cell>
          <cell r="M132">
            <v>55</v>
          </cell>
        </row>
        <row r="133">
          <cell r="A133" t="str">
            <v>DQ9005J1</v>
          </cell>
          <cell r="B133">
            <v>2282</v>
          </cell>
          <cell r="C133">
            <v>31.9809451454545</v>
          </cell>
          <cell r="D133">
            <v>0</v>
          </cell>
          <cell r="E133">
            <v>31.9809451454545</v>
          </cell>
          <cell r="F133" t="str">
            <v>自制</v>
          </cell>
          <cell r="G133" t="str">
            <v>新蒙迪欧1.5T/新翼虎1.5T</v>
          </cell>
          <cell r="H133">
            <v>44</v>
          </cell>
          <cell r="I133">
            <v>42</v>
          </cell>
          <cell r="J133">
            <v>40</v>
          </cell>
          <cell r="K133">
            <v>39</v>
          </cell>
          <cell r="L133">
            <v>37</v>
          </cell>
          <cell r="M133">
            <v>36</v>
          </cell>
        </row>
        <row r="134">
          <cell r="A134" t="str">
            <v>DQ9036C2</v>
          </cell>
          <cell r="B134">
            <v>2251</v>
          </cell>
          <cell r="C134">
            <v>22.9017343454546</v>
          </cell>
          <cell r="D134">
            <v>0</v>
          </cell>
          <cell r="E134">
            <v>22.9017343454546</v>
          </cell>
          <cell r="F134" t="str">
            <v>自制</v>
          </cell>
          <cell r="G134" t="str">
            <v>jeep 自由光2.0L</v>
          </cell>
          <cell r="H134">
            <v>31</v>
          </cell>
          <cell r="I134">
            <v>30</v>
          </cell>
          <cell r="J134">
            <v>29</v>
          </cell>
          <cell r="K134">
            <v>28</v>
          </cell>
          <cell r="L134">
            <v>27</v>
          </cell>
          <cell r="M134">
            <v>26</v>
          </cell>
        </row>
        <row r="135">
          <cell r="A135" t="str">
            <v>DQ901876</v>
          </cell>
          <cell r="B135">
            <v>2237</v>
          </cell>
          <cell r="C135">
            <v>37</v>
          </cell>
          <cell r="D135">
            <v>2.6133284545454</v>
          </cell>
          <cell r="E135">
            <v>34.3866715454546</v>
          </cell>
          <cell r="F135" t="str">
            <v>自制</v>
          </cell>
          <cell r="G135" t="str">
            <v>丰田凯美瑞2.0L</v>
          </cell>
          <cell r="H135">
            <v>50</v>
          </cell>
          <cell r="I135">
            <v>49</v>
          </cell>
          <cell r="J135">
            <v>47</v>
          </cell>
          <cell r="K135">
            <v>45</v>
          </cell>
          <cell r="L135">
            <v>43</v>
          </cell>
          <cell r="M135">
            <v>41</v>
          </cell>
        </row>
        <row r="136">
          <cell r="A136" t="str">
            <v>DQ9007C1</v>
          </cell>
          <cell r="B136">
            <v>2221</v>
          </cell>
          <cell r="C136">
            <v>33</v>
          </cell>
          <cell r="D136">
            <v>0.9085202545455</v>
          </cell>
          <cell r="E136">
            <v>32.0914797454545</v>
          </cell>
          <cell r="F136" t="str">
            <v>自制</v>
          </cell>
          <cell r="G136" t="str">
            <v>途胜1.6T</v>
          </cell>
          <cell r="H136">
            <v>45</v>
          </cell>
          <cell r="I136">
            <v>43</v>
          </cell>
          <cell r="J136">
            <v>42</v>
          </cell>
          <cell r="K136">
            <v>40</v>
          </cell>
          <cell r="L136">
            <v>38</v>
          </cell>
          <cell r="M136">
            <v>37</v>
          </cell>
        </row>
        <row r="137">
          <cell r="A137" t="str">
            <v>DQ9201A</v>
          </cell>
          <cell r="B137">
            <v>2198</v>
          </cell>
          <cell r="C137">
            <v>23.8878572727273</v>
          </cell>
          <cell r="D137">
            <v>0</v>
          </cell>
          <cell r="E137">
            <v>23.8878572727273</v>
          </cell>
          <cell r="F137" t="str">
            <v>自制</v>
          </cell>
          <cell r="G137" t="str">
            <v>474两插</v>
          </cell>
          <cell r="H137">
            <v>33</v>
          </cell>
          <cell r="I137">
            <v>32</v>
          </cell>
          <cell r="J137">
            <v>30</v>
          </cell>
          <cell r="K137">
            <v>29</v>
          </cell>
          <cell r="L137">
            <v>28</v>
          </cell>
          <cell r="M137">
            <v>27</v>
          </cell>
        </row>
        <row r="138">
          <cell r="A138" t="str">
            <v>DQ9158A1</v>
          </cell>
          <cell r="B138">
            <v>2172</v>
          </cell>
          <cell r="C138">
            <v>25.7516663454546</v>
          </cell>
          <cell r="D138">
            <v>0</v>
          </cell>
          <cell r="E138">
            <v>25.7516663454546</v>
          </cell>
          <cell r="F138" t="str">
            <v>自制</v>
          </cell>
          <cell r="G138" t="str">
            <v>道奇杜兰戈指挥官</v>
          </cell>
          <cell r="H138">
            <v>35</v>
          </cell>
          <cell r="I138">
            <v>34</v>
          </cell>
          <cell r="J138">
            <v>33</v>
          </cell>
          <cell r="K138">
            <v>31</v>
          </cell>
          <cell r="L138">
            <v>30</v>
          </cell>
          <cell r="M138">
            <v>29</v>
          </cell>
        </row>
        <row r="139">
          <cell r="A139" t="str">
            <v>DQ9040C2</v>
          </cell>
          <cell r="B139">
            <v>2147</v>
          </cell>
          <cell r="C139">
            <v>26.4896387387879</v>
          </cell>
          <cell r="D139">
            <v>0</v>
          </cell>
          <cell r="E139">
            <v>26.4896387387879</v>
          </cell>
          <cell r="F139" t="str">
            <v>自制</v>
          </cell>
          <cell r="G139" t="str">
            <v>众泰T300 1.5T</v>
          </cell>
          <cell r="H139">
            <v>36</v>
          </cell>
          <cell r="I139">
            <v>35</v>
          </cell>
          <cell r="J139">
            <v>34</v>
          </cell>
          <cell r="K139">
            <v>32</v>
          </cell>
          <cell r="L139">
            <v>31</v>
          </cell>
          <cell r="M139">
            <v>30</v>
          </cell>
        </row>
        <row r="140">
          <cell r="A140" t="str">
            <v>DQ9038A2</v>
          </cell>
          <cell r="B140">
            <v>2106</v>
          </cell>
          <cell r="C140">
            <v>24.7445445454546</v>
          </cell>
          <cell r="D140">
            <v>0</v>
          </cell>
          <cell r="E140">
            <v>24.7445445454546</v>
          </cell>
          <cell r="F140" t="str">
            <v>自制</v>
          </cell>
          <cell r="G140" t="str">
            <v>别克 英朗 GT 1.5L</v>
          </cell>
          <cell r="H140">
            <v>34</v>
          </cell>
          <cell r="I140">
            <v>33</v>
          </cell>
          <cell r="J140">
            <v>31</v>
          </cell>
          <cell r="K140">
            <v>30</v>
          </cell>
          <cell r="L140">
            <v>29</v>
          </cell>
          <cell r="M140">
            <v>28</v>
          </cell>
        </row>
        <row r="141">
          <cell r="A141" t="str">
            <v>DQ9124A1</v>
          </cell>
          <cell r="B141">
            <v>2090</v>
          </cell>
          <cell r="C141">
            <v>22.7230879151515</v>
          </cell>
          <cell r="D141">
            <v>0</v>
          </cell>
          <cell r="E141">
            <v>22.7230879151515</v>
          </cell>
          <cell r="F141" t="str">
            <v>自制</v>
          </cell>
          <cell r="G141" t="str">
            <v>道奇酷博 锋哲 300C 酷威 铂锐2.0 2.4 2.7</v>
          </cell>
          <cell r="H141">
            <v>31</v>
          </cell>
          <cell r="I141">
            <v>30</v>
          </cell>
          <cell r="J141">
            <v>29</v>
          </cell>
          <cell r="K141">
            <v>28</v>
          </cell>
          <cell r="L141">
            <v>27</v>
          </cell>
          <cell r="M141">
            <v>25</v>
          </cell>
        </row>
        <row r="142">
          <cell r="A142" t="str">
            <v>DQ9207</v>
          </cell>
          <cell r="B142">
            <v>2081</v>
          </cell>
          <cell r="C142">
            <v>24.0539572727273</v>
          </cell>
          <cell r="D142">
            <v>0</v>
          </cell>
          <cell r="E142">
            <v>24.0539572727273</v>
          </cell>
          <cell r="F142" t="str">
            <v>自制</v>
          </cell>
          <cell r="G142" t="str">
            <v>江淮瑞风两插</v>
          </cell>
          <cell r="H142">
            <v>33</v>
          </cell>
          <cell r="I142">
            <v>32</v>
          </cell>
          <cell r="J142">
            <v>31</v>
          </cell>
          <cell r="K142">
            <v>29</v>
          </cell>
          <cell r="L142">
            <v>28</v>
          </cell>
          <cell r="M142">
            <v>27</v>
          </cell>
        </row>
        <row r="143">
          <cell r="A143" t="str">
            <v>DQ9117D1</v>
          </cell>
          <cell r="B143">
            <v>2075</v>
          </cell>
          <cell r="C143">
            <v>29.4597565151515</v>
          </cell>
          <cell r="D143">
            <v>0</v>
          </cell>
          <cell r="E143">
            <v>29.4597565151515</v>
          </cell>
          <cell r="F143" t="str">
            <v>自制</v>
          </cell>
          <cell r="G143" t="str">
            <v>铃木奥拓5 2009-2016款</v>
          </cell>
          <cell r="H143">
            <v>40</v>
          </cell>
          <cell r="I143">
            <v>39</v>
          </cell>
          <cell r="J143">
            <v>37</v>
          </cell>
          <cell r="K143">
            <v>36</v>
          </cell>
          <cell r="L143">
            <v>34</v>
          </cell>
          <cell r="M143">
            <v>33</v>
          </cell>
        </row>
        <row r="144">
          <cell r="A144" t="str">
            <v>DQ9202A</v>
          </cell>
          <cell r="B144">
            <v>2043</v>
          </cell>
          <cell r="C144">
            <v>32.5363872727273</v>
          </cell>
          <cell r="D144">
            <v>0</v>
          </cell>
          <cell r="E144">
            <v>32.5363872727273</v>
          </cell>
          <cell r="F144" t="str">
            <v>自制</v>
          </cell>
          <cell r="G144" t="str">
            <v>三菱铃木</v>
          </cell>
          <cell r="H144">
            <v>44</v>
          </cell>
          <cell r="I144">
            <v>43</v>
          </cell>
          <cell r="J144">
            <v>41</v>
          </cell>
          <cell r="K144">
            <v>40</v>
          </cell>
          <cell r="L144">
            <v>38</v>
          </cell>
          <cell r="M144">
            <v>36</v>
          </cell>
        </row>
        <row r="145">
          <cell r="A145" t="str">
            <v>DQ910837</v>
          </cell>
          <cell r="B145">
            <v>2024</v>
          </cell>
          <cell r="C145">
            <v>27.1308438654546</v>
          </cell>
          <cell r="D145">
            <v>0</v>
          </cell>
          <cell r="E145">
            <v>27.1308438654546</v>
          </cell>
          <cell r="F145" t="str">
            <v>自制</v>
          </cell>
          <cell r="G145" t="str">
            <v>丰田02237</v>
          </cell>
          <cell r="H145">
            <v>37</v>
          </cell>
          <cell r="I145">
            <v>36</v>
          </cell>
          <cell r="J145">
            <v>34</v>
          </cell>
          <cell r="K145">
            <v>33</v>
          </cell>
          <cell r="L145">
            <v>32</v>
          </cell>
          <cell r="M145">
            <v>30</v>
          </cell>
        </row>
        <row r="146">
          <cell r="A146" t="str">
            <v>DQ9021G1</v>
          </cell>
          <cell r="B146">
            <v>2023</v>
          </cell>
          <cell r="C146">
            <v>22.6166517454546</v>
          </cell>
          <cell r="D146">
            <v>0</v>
          </cell>
          <cell r="E146">
            <v>22.6166517454546</v>
          </cell>
          <cell r="F146" t="str">
            <v>自制</v>
          </cell>
          <cell r="G146" t="str">
            <v>SM3  1.6</v>
          </cell>
          <cell r="H146">
            <v>31</v>
          </cell>
          <cell r="I146">
            <v>30</v>
          </cell>
          <cell r="J146">
            <v>29</v>
          </cell>
          <cell r="K146">
            <v>28</v>
          </cell>
          <cell r="L146">
            <v>27</v>
          </cell>
          <cell r="M146">
            <v>25</v>
          </cell>
        </row>
        <row r="147">
          <cell r="A147" t="str">
            <v>DQ9040A1</v>
          </cell>
          <cell r="B147">
            <v>2000</v>
          </cell>
          <cell r="C147">
            <v>24.8917677454546</v>
          </cell>
          <cell r="D147">
            <v>0</v>
          </cell>
          <cell r="E147">
            <v>24.8917677454546</v>
          </cell>
          <cell r="F147" t="str">
            <v>自制</v>
          </cell>
          <cell r="G147" t="str">
            <v>长安CS75 15年款</v>
          </cell>
          <cell r="H147">
            <v>34</v>
          </cell>
          <cell r="I147">
            <v>33</v>
          </cell>
          <cell r="J147">
            <v>32</v>
          </cell>
          <cell r="K147">
            <v>30</v>
          </cell>
          <cell r="L147">
            <v>29</v>
          </cell>
          <cell r="M147">
            <v>28</v>
          </cell>
        </row>
        <row r="148">
          <cell r="A148" t="str">
            <v>DQ9048A1</v>
          </cell>
          <cell r="B148">
            <v>1980</v>
          </cell>
          <cell r="C148">
            <v>23.8466577454546</v>
          </cell>
          <cell r="D148">
            <v>0</v>
          </cell>
          <cell r="E148">
            <v>23.8466577454546</v>
          </cell>
          <cell r="F148" t="str">
            <v>自制</v>
          </cell>
          <cell r="G148" t="str">
            <v>观致 观致3 1.6T、斯威 X3 1.5T</v>
          </cell>
          <cell r="H148">
            <v>33</v>
          </cell>
          <cell r="I148">
            <v>32</v>
          </cell>
          <cell r="J148">
            <v>30</v>
          </cell>
          <cell r="K148">
            <v>29</v>
          </cell>
          <cell r="L148">
            <v>28</v>
          </cell>
          <cell r="M148">
            <v>27</v>
          </cell>
        </row>
        <row r="149">
          <cell r="A149" t="str">
            <v>DQ9007E1</v>
          </cell>
          <cell r="B149">
            <v>1975</v>
          </cell>
          <cell r="C149">
            <v>35.7554998727273</v>
          </cell>
          <cell r="D149">
            <v>0</v>
          </cell>
          <cell r="E149">
            <v>35.7554998727273</v>
          </cell>
          <cell r="F149" t="str">
            <v>自制</v>
          </cell>
          <cell r="G149" t="str">
            <v>现代领动1.4T</v>
          </cell>
          <cell r="H149">
            <v>49</v>
          </cell>
          <cell r="I149">
            <v>47</v>
          </cell>
          <cell r="J149">
            <v>45</v>
          </cell>
          <cell r="K149">
            <v>43</v>
          </cell>
          <cell r="L149">
            <v>42</v>
          </cell>
          <cell r="M149">
            <v>40</v>
          </cell>
        </row>
        <row r="150">
          <cell r="A150" t="str">
            <v>DQ9219B3</v>
          </cell>
          <cell r="B150">
            <v>1944</v>
          </cell>
          <cell r="C150">
            <v>24.2128002460606</v>
          </cell>
          <cell r="D150">
            <v>0</v>
          </cell>
          <cell r="E150">
            <v>24.2128002460606</v>
          </cell>
          <cell r="F150" t="str">
            <v>自制</v>
          </cell>
          <cell r="G150" t="str">
            <v>吉利帝豪</v>
          </cell>
          <cell r="H150">
            <v>33</v>
          </cell>
          <cell r="I150">
            <v>32</v>
          </cell>
          <cell r="J150">
            <v>31</v>
          </cell>
          <cell r="K150">
            <v>30</v>
          </cell>
          <cell r="L150">
            <v>28</v>
          </cell>
          <cell r="M150">
            <v>27</v>
          </cell>
        </row>
        <row r="151">
          <cell r="A151" t="str">
            <v>DQ9206</v>
          </cell>
          <cell r="B151">
            <v>1937</v>
          </cell>
          <cell r="C151">
            <v>32.6405572727273</v>
          </cell>
          <cell r="D151">
            <v>0</v>
          </cell>
          <cell r="E151">
            <v>32.6405572727273</v>
          </cell>
          <cell r="F151" t="str">
            <v>自制</v>
          </cell>
          <cell r="G151" t="str">
            <v>东方之子</v>
          </cell>
          <cell r="H151">
            <v>45</v>
          </cell>
          <cell r="I151">
            <v>43</v>
          </cell>
          <cell r="J151">
            <v>41</v>
          </cell>
          <cell r="K151">
            <v>40</v>
          </cell>
          <cell r="L151">
            <v>38</v>
          </cell>
          <cell r="M151">
            <v>36</v>
          </cell>
        </row>
        <row r="152">
          <cell r="A152" t="str">
            <v>DQ9033C1</v>
          </cell>
          <cell r="B152">
            <v>1928</v>
          </cell>
          <cell r="C152">
            <v>30.4959589893939</v>
          </cell>
          <cell r="D152">
            <v>0</v>
          </cell>
          <cell r="E152">
            <v>30.4959589893939</v>
          </cell>
          <cell r="F152" t="str">
            <v>自制</v>
          </cell>
          <cell r="G152" t="str">
            <v>宝腾 至尊S</v>
          </cell>
          <cell r="H152">
            <v>42</v>
          </cell>
          <cell r="I152">
            <v>40</v>
          </cell>
          <cell r="J152">
            <v>39</v>
          </cell>
          <cell r="K152">
            <v>37</v>
          </cell>
          <cell r="L152">
            <v>36</v>
          </cell>
          <cell r="M152">
            <v>34</v>
          </cell>
        </row>
        <row r="153">
          <cell r="A153" t="str">
            <v>DQ9122A1</v>
          </cell>
          <cell r="B153">
            <v>1925</v>
          </cell>
          <cell r="C153">
            <v>47.7445206060606</v>
          </cell>
          <cell r="D153">
            <v>0</v>
          </cell>
          <cell r="E153">
            <v>47.7445206060606</v>
          </cell>
          <cell r="F153" t="str">
            <v>自制</v>
          </cell>
          <cell r="G153" t="str">
            <v>悍马</v>
          </cell>
          <cell r="H153">
            <v>65</v>
          </cell>
          <cell r="I153">
            <v>63</v>
          </cell>
          <cell r="J153">
            <v>60</v>
          </cell>
          <cell r="K153">
            <v>58</v>
          </cell>
          <cell r="L153">
            <v>55</v>
          </cell>
          <cell r="M153">
            <v>53</v>
          </cell>
        </row>
        <row r="154">
          <cell r="A154" t="str">
            <v>DQ9406</v>
          </cell>
          <cell r="B154">
            <v>1922</v>
          </cell>
          <cell r="C154">
            <v>81.9525</v>
          </cell>
          <cell r="D154">
            <v>0</v>
          </cell>
          <cell r="E154">
            <v>81.9525</v>
          </cell>
          <cell r="F154" t="str">
            <v>调货</v>
          </cell>
          <cell r="G154" t="str">
            <v>科鲁兹160</v>
          </cell>
          <cell r="H154">
            <v>98</v>
          </cell>
          <cell r="I154">
            <v>96</v>
          </cell>
          <cell r="J154">
            <v>95</v>
          </cell>
          <cell r="K154">
            <v>93</v>
          </cell>
          <cell r="L154">
            <v>92</v>
          </cell>
          <cell r="M154">
            <v>91</v>
          </cell>
        </row>
        <row r="155">
          <cell r="A155" t="str">
            <v>DQ9031B1</v>
          </cell>
          <cell r="B155">
            <v>1896</v>
          </cell>
          <cell r="C155">
            <v>25.0488472121212</v>
          </cell>
          <cell r="D155">
            <v>0</v>
          </cell>
          <cell r="E155">
            <v>25.0488472121212</v>
          </cell>
          <cell r="F155" t="str">
            <v>自制</v>
          </cell>
          <cell r="G155" t="str">
            <v>名爵 ZS 1.5L</v>
          </cell>
          <cell r="H155">
            <v>34</v>
          </cell>
          <cell r="I155">
            <v>33</v>
          </cell>
          <cell r="J155">
            <v>32</v>
          </cell>
          <cell r="K155">
            <v>31</v>
          </cell>
          <cell r="L155">
            <v>29</v>
          </cell>
          <cell r="M155">
            <v>28</v>
          </cell>
        </row>
        <row r="156">
          <cell r="A156" t="str">
            <v>DQ9017C1</v>
          </cell>
          <cell r="B156">
            <v>1880</v>
          </cell>
          <cell r="C156">
            <v>35</v>
          </cell>
          <cell r="D156">
            <v>0.512153801212101</v>
          </cell>
          <cell r="E156">
            <v>34.4878461987879</v>
          </cell>
          <cell r="F156" t="str">
            <v>自制</v>
          </cell>
          <cell r="G156" t="str">
            <v>沃尔沃</v>
          </cell>
          <cell r="H156">
            <v>48</v>
          </cell>
          <cell r="I156">
            <v>46</v>
          </cell>
          <cell r="J156">
            <v>44</v>
          </cell>
          <cell r="K156">
            <v>42</v>
          </cell>
          <cell r="L156">
            <v>41</v>
          </cell>
          <cell r="M156">
            <v>39</v>
          </cell>
        </row>
        <row r="157">
          <cell r="A157" t="str">
            <v>DQ9219A7</v>
          </cell>
          <cell r="B157">
            <v>1850</v>
          </cell>
          <cell r="C157">
            <v>21.2769357727273</v>
          </cell>
          <cell r="D157">
            <v>0</v>
          </cell>
          <cell r="E157">
            <v>21.2769357727273</v>
          </cell>
          <cell r="F157" t="str">
            <v>自制</v>
          </cell>
          <cell r="G157" t="str">
            <v>博瑞1.8T</v>
          </cell>
          <cell r="H157">
            <v>29</v>
          </cell>
          <cell r="I157">
            <v>28</v>
          </cell>
          <cell r="J157">
            <v>27</v>
          </cell>
          <cell r="K157">
            <v>26</v>
          </cell>
          <cell r="L157">
            <v>25</v>
          </cell>
          <cell r="M157">
            <v>24</v>
          </cell>
        </row>
        <row r="158">
          <cell r="A158" t="str">
            <v>DQ9004</v>
          </cell>
          <cell r="B158">
            <v>1784</v>
          </cell>
          <cell r="C158">
            <v>29.0064772727273</v>
          </cell>
          <cell r="D158">
            <v>0</v>
          </cell>
          <cell r="E158">
            <v>29.0064772727273</v>
          </cell>
          <cell r="F158" t="str">
            <v>自制</v>
          </cell>
          <cell r="G158" t="str">
            <v>风度 A32长杆</v>
          </cell>
          <cell r="H158">
            <v>40</v>
          </cell>
          <cell r="I158">
            <v>38</v>
          </cell>
          <cell r="J158">
            <v>37</v>
          </cell>
          <cell r="K158">
            <v>35</v>
          </cell>
          <cell r="L158">
            <v>34</v>
          </cell>
          <cell r="M158">
            <v>32</v>
          </cell>
        </row>
        <row r="159">
          <cell r="A159" t="str">
            <v>DQ9004C</v>
          </cell>
          <cell r="B159">
            <v>1758</v>
          </cell>
          <cell r="C159">
            <v>28.6041695454546</v>
          </cell>
          <cell r="D159">
            <v>0</v>
          </cell>
          <cell r="E159">
            <v>28.6041695454546</v>
          </cell>
          <cell r="F159" t="str">
            <v>自制</v>
          </cell>
          <cell r="G159" t="str">
            <v>风雅A32短杆</v>
          </cell>
          <cell r="H159">
            <v>39</v>
          </cell>
          <cell r="I159">
            <v>38</v>
          </cell>
          <cell r="J159">
            <v>36</v>
          </cell>
          <cell r="K159">
            <v>35</v>
          </cell>
          <cell r="L159">
            <v>33</v>
          </cell>
          <cell r="M159">
            <v>32</v>
          </cell>
        </row>
        <row r="160">
          <cell r="A160" t="str">
            <v>DQ9219A3</v>
          </cell>
          <cell r="B160">
            <v>1753</v>
          </cell>
          <cell r="C160">
            <v>21.7499357727273</v>
          </cell>
          <cell r="D160">
            <v>0</v>
          </cell>
          <cell r="E160">
            <v>21.7499357727273</v>
          </cell>
          <cell r="F160" t="str">
            <v>自制</v>
          </cell>
          <cell r="G160" t="str">
            <v>吉利帝豪1.3T</v>
          </cell>
          <cell r="H160">
            <v>30</v>
          </cell>
          <cell r="I160">
            <v>29</v>
          </cell>
          <cell r="J160">
            <v>28</v>
          </cell>
          <cell r="K160">
            <v>27</v>
          </cell>
          <cell r="L160">
            <v>26</v>
          </cell>
          <cell r="M160">
            <v>24</v>
          </cell>
        </row>
        <row r="161">
          <cell r="A161" t="str">
            <v>DQ901877</v>
          </cell>
          <cell r="B161">
            <v>1750</v>
          </cell>
          <cell r="C161">
            <v>37</v>
          </cell>
          <cell r="D161">
            <v>1.8065568</v>
          </cell>
          <cell r="E161">
            <v>35.1934432</v>
          </cell>
          <cell r="F161" t="str">
            <v>自制</v>
          </cell>
          <cell r="G161" t="str">
            <v>雷凌1.5L</v>
          </cell>
          <cell r="H161">
            <v>50</v>
          </cell>
          <cell r="I161">
            <v>49</v>
          </cell>
          <cell r="J161">
            <v>47</v>
          </cell>
          <cell r="K161">
            <v>45</v>
          </cell>
          <cell r="L161">
            <v>43</v>
          </cell>
          <cell r="M161">
            <v>41</v>
          </cell>
        </row>
        <row r="162">
          <cell r="A162" t="str">
            <v>DQ1212W</v>
          </cell>
          <cell r="B162">
            <v>1743</v>
          </cell>
          <cell r="C162">
            <v>32.1646409909091</v>
          </cell>
          <cell r="D162">
            <v>0</v>
          </cell>
          <cell r="E162">
            <v>32.1646409909091</v>
          </cell>
          <cell r="F162" t="str">
            <v>自制</v>
          </cell>
          <cell r="G162" t="str">
            <v>五菱之光B12</v>
          </cell>
          <cell r="H162">
            <v>44</v>
          </cell>
          <cell r="I162">
            <v>42</v>
          </cell>
          <cell r="J162">
            <v>41</v>
          </cell>
          <cell r="K162">
            <v>39</v>
          </cell>
          <cell r="L162">
            <v>37</v>
          </cell>
          <cell r="M162">
            <v>36</v>
          </cell>
        </row>
        <row r="163">
          <cell r="A163" t="str">
            <v>DQ9210A3</v>
          </cell>
          <cell r="B163">
            <v>1711</v>
          </cell>
          <cell r="C163">
            <v>23.9675588727273</v>
          </cell>
          <cell r="D163">
            <v>0</v>
          </cell>
          <cell r="E163">
            <v>23.9675588727273</v>
          </cell>
          <cell r="F163" t="str">
            <v>自制</v>
          </cell>
          <cell r="G163" t="str">
            <v>长安睿行1.5L</v>
          </cell>
          <cell r="H163">
            <v>33</v>
          </cell>
          <cell r="I163">
            <v>32</v>
          </cell>
          <cell r="J163">
            <v>30</v>
          </cell>
          <cell r="K163">
            <v>29</v>
          </cell>
          <cell r="L163">
            <v>28</v>
          </cell>
          <cell r="M163">
            <v>27</v>
          </cell>
        </row>
        <row r="164">
          <cell r="A164" t="str">
            <v>DQ9002F1</v>
          </cell>
          <cell r="B164">
            <v>1698</v>
          </cell>
          <cell r="C164">
            <v>32.3815952727273</v>
          </cell>
          <cell r="D164">
            <v>0</v>
          </cell>
          <cell r="E164">
            <v>32.3815952727273</v>
          </cell>
          <cell r="F164" t="str">
            <v>自制</v>
          </cell>
          <cell r="G164" t="str">
            <v>马自达CX-5 三针</v>
          </cell>
          <cell r="H164">
            <v>44</v>
          </cell>
          <cell r="I164">
            <v>43</v>
          </cell>
          <cell r="J164">
            <v>41</v>
          </cell>
          <cell r="K164">
            <v>39</v>
          </cell>
          <cell r="L164">
            <v>38</v>
          </cell>
          <cell r="M164">
            <v>36</v>
          </cell>
        </row>
        <row r="165">
          <cell r="A165" t="str">
            <v>DQ9035A3</v>
          </cell>
          <cell r="B165">
            <v>1687</v>
          </cell>
          <cell r="C165">
            <v>33.3285262060606</v>
          </cell>
          <cell r="D165">
            <v>0</v>
          </cell>
          <cell r="E165">
            <v>33.3285262060606</v>
          </cell>
          <cell r="F165" t="str">
            <v>自制</v>
          </cell>
          <cell r="G165" t="str">
            <v>长城魏 VV7 VV8</v>
          </cell>
          <cell r="H165">
            <v>45</v>
          </cell>
          <cell r="I165">
            <v>44</v>
          </cell>
          <cell r="J165">
            <v>42</v>
          </cell>
          <cell r="K165">
            <v>40</v>
          </cell>
          <cell r="L165">
            <v>39</v>
          </cell>
          <cell r="M165">
            <v>37</v>
          </cell>
        </row>
        <row r="166">
          <cell r="A166" t="str">
            <v>DQ9117C1</v>
          </cell>
          <cell r="B166">
            <v>1674</v>
          </cell>
          <cell r="C166">
            <v>40.7043</v>
          </cell>
          <cell r="D166">
            <v>0</v>
          </cell>
          <cell r="E166">
            <v>40.7043</v>
          </cell>
          <cell r="F166" t="str">
            <v>调货</v>
          </cell>
          <cell r="G166" t="str">
            <v>铃木启悦1.6L</v>
          </cell>
          <cell r="H166">
            <v>49</v>
          </cell>
          <cell r="I166">
            <v>48</v>
          </cell>
          <cell r="J166">
            <v>47</v>
          </cell>
          <cell r="K166">
            <v>46</v>
          </cell>
          <cell r="L166">
            <v>46</v>
          </cell>
          <cell r="M166">
            <v>45</v>
          </cell>
        </row>
        <row r="167">
          <cell r="A167" t="str">
            <v>DQ9019Q1</v>
          </cell>
          <cell r="B167">
            <v>1672</v>
          </cell>
          <cell r="C167">
            <v>27.6457978454546</v>
          </cell>
          <cell r="D167">
            <v>0</v>
          </cell>
          <cell r="E167">
            <v>27.6457978454546</v>
          </cell>
          <cell r="F167" t="str">
            <v>自制</v>
          </cell>
          <cell r="G167" t="str">
            <v>长城哈弗H9</v>
          </cell>
          <cell r="H167">
            <v>38</v>
          </cell>
          <cell r="I167">
            <v>36</v>
          </cell>
          <cell r="J167">
            <v>35</v>
          </cell>
          <cell r="K167">
            <v>34</v>
          </cell>
          <cell r="L167">
            <v>32</v>
          </cell>
          <cell r="M167">
            <v>31</v>
          </cell>
        </row>
        <row r="168">
          <cell r="A168" t="str">
            <v>DQ921812</v>
          </cell>
          <cell r="B168">
            <v>1648</v>
          </cell>
          <cell r="C168">
            <v>27.3795927727273</v>
          </cell>
          <cell r="D168">
            <v>0</v>
          </cell>
          <cell r="E168">
            <v>27.3795927727273</v>
          </cell>
          <cell r="F168" t="str">
            <v>自制</v>
          </cell>
          <cell r="G168" t="str">
            <v>吉普3400</v>
          </cell>
          <cell r="H168">
            <v>37</v>
          </cell>
          <cell r="I168">
            <v>36</v>
          </cell>
          <cell r="J168">
            <v>35</v>
          </cell>
          <cell r="K168">
            <v>33</v>
          </cell>
          <cell r="L168">
            <v>32</v>
          </cell>
          <cell r="M168">
            <v>31</v>
          </cell>
        </row>
        <row r="169">
          <cell r="A169" t="str">
            <v>DQ9050A1</v>
          </cell>
          <cell r="B169">
            <v>1644</v>
          </cell>
          <cell r="C169">
            <v>36.81</v>
          </cell>
          <cell r="D169">
            <v>1.9788316545455</v>
          </cell>
          <cell r="E169">
            <v>34.8311683454545</v>
          </cell>
          <cell r="F169" t="str">
            <v>自制</v>
          </cell>
          <cell r="G169" t="str">
            <v>帕杰罗劲畅</v>
          </cell>
          <cell r="H169">
            <v>50</v>
          </cell>
          <cell r="I169">
            <v>48</v>
          </cell>
          <cell r="J169">
            <v>47</v>
          </cell>
          <cell r="K169">
            <v>45</v>
          </cell>
          <cell r="L169">
            <v>43</v>
          </cell>
          <cell r="M169">
            <v>41</v>
          </cell>
        </row>
        <row r="170">
          <cell r="A170" t="str">
            <v>DQ910807</v>
          </cell>
          <cell r="B170">
            <v>1641</v>
          </cell>
          <cell r="C170">
            <v>32</v>
          </cell>
          <cell r="D170">
            <v>1.8848542878788</v>
          </cell>
          <cell r="E170">
            <v>30.1151457121212</v>
          </cell>
          <cell r="F170" t="str">
            <v>自制</v>
          </cell>
          <cell r="G170" t="str">
            <v>威驰</v>
          </cell>
          <cell r="H170">
            <v>44</v>
          </cell>
          <cell r="I170">
            <v>42</v>
          </cell>
          <cell r="J170">
            <v>40</v>
          </cell>
          <cell r="K170">
            <v>39</v>
          </cell>
          <cell r="L170">
            <v>37</v>
          </cell>
          <cell r="M170">
            <v>36</v>
          </cell>
        </row>
        <row r="171">
          <cell r="A171" t="str">
            <v>DQ9004B</v>
          </cell>
          <cell r="B171">
            <v>1610</v>
          </cell>
          <cell r="C171">
            <v>33.1589593454545</v>
          </cell>
          <cell r="D171">
            <v>0</v>
          </cell>
          <cell r="E171">
            <v>33.1589593454545</v>
          </cell>
          <cell r="F171" t="str">
            <v>自制</v>
          </cell>
          <cell r="G171" t="str">
            <v>A33短杆</v>
          </cell>
          <cell r="H171">
            <v>45</v>
          </cell>
          <cell r="I171">
            <v>44</v>
          </cell>
          <cell r="J171">
            <v>42</v>
          </cell>
          <cell r="K171">
            <v>40</v>
          </cell>
          <cell r="L171">
            <v>39</v>
          </cell>
          <cell r="M171">
            <v>37</v>
          </cell>
        </row>
        <row r="172">
          <cell r="A172" t="str">
            <v>DQ9031C1</v>
          </cell>
          <cell r="B172">
            <v>1607</v>
          </cell>
          <cell r="C172">
            <v>32.8862605454546</v>
          </cell>
          <cell r="D172">
            <v>0</v>
          </cell>
          <cell r="E172">
            <v>32.8862605454546</v>
          </cell>
          <cell r="F172" t="str">
            <v>自制</v>
          </cell>
          <cell r="G172" t="str">
            <v>荣威I6 PLUS 1.6L,RX3 1.6l</v>
          </cell>
          <cell r="H172">
            <v>45</v>
          </cell>
          <cell r="I172">
            <v>43</v>
          </cell>
          <cell r="J172">
            <v>42</v>
          </cell>
          <cell r="K172">
            <v>40</v>
          </cell>
          <cell r="L172">
            <v>38</v>
          </cell>
          <cell r="M172">
            <v>37</v>
          </cell>
        </row>
        <row r="173">
          <cell r="A173" t="str">
            <v>DQ9039D1</v>
          </cell>
          <cell r="B173">
            <v>1596</v>
          </cell>
          <cell r="C173">
            <v>31.4714948727273</v>
          </cell>
          <cell r="D173">
            <v>0</v>
          </cell>
          <cell r="E173">
            <v>31.4714948727273</v>
          </cell>
          <cell r="F173" t="str">
            <v>自制</v>
          </cell>
          <cell r="G173" t="str">
            <v>宝骏730 第二代1.5T</v>
          </cell>
          <cell r="H173">
            <v>43</v>
          </cell>
          <cell r="I173">
            <v>41</v>
          </cell>
          <cell r="J173">
            <v>40</v>
          </cell>
          <cell r="K173">
            <v>38</v>
          </cell>
          <cell r="L173">
            <v>37</v>
          </cell>
          <cell r="M173">
            <v>35</v>
          </cell>
        </row>
        <row r="174">
          <cell r="A174" t="str">
            <v>DQ9110</v>
          </cell>
          <cell r="B174">
            <v>1550</v>
          </cell>
          <cell r="C174">
            <v>28.4523338787879</v>
          </cell>
          <cell r="D174">
            <v>0</v>
          </cell>
          <cell r="E174">
            <v>28.4523338787879</v>
          </cell>
          <cell r="F174" t="str">
            <v>自制</v>
          </cell>
          <cell r="G174" t="str">
            <v>宝马分体</v>
          </cell>
          <cell r="H174">
            <v>39</v>
          </cell>
          <cell r="I174">
            <v>37</v>
          </cell>
          <cell r="J174">
            <v>36</v>
          </cell>
          <cell r="K174">
            <v>35</v>
          </cell>
          <cell r="L174">
            <v>33</v>
          </cell>
          <cell r="M174">
            <v>32</v>
          </cell>
        </row>
        <row r="175">
          <cell r="A175" t="str">
            <v>DQ9210</v>
          </cell>
          <cell r="B175">
            <v>1519</v>
          </cell>
          <cell r="C175">
            <v>23.0270588727273</v>
          </cell>
          <cell r="D175">
            <v>0</v>
          </cell>
          <cell r="E175">
            <v>23.0270588727273</v>
          </cell>
          <cell r="F175" t="str">
            <v>自制</v>
          </cell>
          <cell r="G175" t="str">
            <v>瑞虎</v>
          </cell>
          <cell r="H175">
            <v>32</v>
          </cell>
          <cell r="I175">
            <v>30</v>
          </cell>
          <cell r="J175">
            <v>29</v>
          </cell>
          <cell r="K175">
            <v>28</v>
          </cell>
          <cell r="L175">
            <v>27</v>
          </cell>
          <cell r="M175">
            <v>26</v>
          </cell>
        </row>
        <row r="176">
          <cell r="A176" t="str">
            <v>DQ9037C4</v>
          </cell>
          <cell r="B176">
            <v>1507</v>
          </cell>
          <cell r="C176">
            <v>30.1282088787879</v>
          </cell>
          <cell r="D176">
            <v>0</v>
          </cell>
          <cell r="E176">
            <v>30.1282088787879</v>
          </cell>
          <cell r="F176" t="str">
            <v>自制</v>
          </cell>
          <cell r="G176" t="str">
            <v>广汽传祺GM61.5T</v>
          </cell>
          <cell r="H176">
            <v>41</v>
          </cell>
          <cell r="I176">
            <v>40</v>
          </cell>
          <cell r="J176">
            <v>38</v>
          </cell>
          <cell r="K176">
            <v>37</v>
          </cell>
          <cell r="L176">
            <v>35</v>
          </cell>
          <cell r="M176">
            <v>34</v>
          </cell>
        </row>
        <row r="177">
          <cell r="A177" t="str">
            <v>DQ9012A2</v>
          </cell>
          <cell r="B177">
            <v>1499</v>
          </cell>
          <cell r="C177">
            <v>40.53</v>
          </cell>
          <cell r="D177">
            <v>0</v>
          </cell>
          <cell r="E177">
            <v>40.53</v>
          </cell>
          <cell r="F177" t="str">
            <v>调货</v>
          </cell>
          <cell r="G177" t="str">
            <v>奔腾 B50 1.6L</v>
          </cell>
          <cell r="H177">
            <v>49</v>
          </cell>
          <cell r="I177">
            <v>48</v>
          </cell>
          <cell r="J177">
            <v>47</v>
          </cell>
          <cell r="K177">
            <v>46</v>
          </cell>
          <cell r="L177">
            <v>46</v>
          </cell>
          <cell r="M177">
            <v>45</v>
          </cell>
        </row>
        <row r="178">
          <cell r="A178" t="str">
            <v>DQ9213</v>
          </cell>
          <cell r="B178">
            <v>1487</v>
          </cell>
          <cell r="C178">
            <v>25.6135172727273</v>
          </cell>
          <cell r="D178">
            <v>0</v>
          </cell>
          <cell r="E178">
            <v>25.6135172727273</v>
          </cell>
          <cell r="F178" t="str">
            <v>自制</v>
          </cell>
          <cell r="G178" t="str">
            <v>长安之星二代CB10</v>
          </cell>
          <cell r="H178">
            <v>35</v>
          </cell>
          <cell r="I178">
            <v>34</v>
          </cell>
          <cell r="J178">
            <v>33</v>
          </cell>
          <cell r="K178">
            <v>31</v>
          </cell>
          <cell r="L178">
            <v>30</v>
          </cell>
          <cell r="M178">
            <v>29</v>
          </cell>
        </row>
        <row r="179">
          <cell r="A179" t="str">
            <v>DQ9005G1</v>
          </cell>
          <cell r="B179">
            <v>1469</v>
          </cell>
          <cell r="C179">
            <v>31.7389451454546</v>
          </cell>
          <cell r="D179">
            <v>0</v>
          </cell>
          <cell r="E179">
            <v>31.7389451454546</v>
          </cell>
          <cell r="F179" t="str">
            <v>自制</v>
          </cell>
          <cell r="G179" t="str">
            <v>福特 翼博 1.6T</v>
          </cell>
          <cell r="H179">
            <v>43</v>
          </cell>
          <cell r="I179">
            <v>42</v>
          </cell>
          <cell r="J179">
            <v>40</v>
          </cell>
          <cell r="K179">
            <v>39</v>
          </cell>
          <cell r="L179">
            <v>37</v>
          </cell>
          <cell r="M179">
            <v>35</v>
          </cell>
        </row>
        <row r="180">
          <cell r="A180" t="str">
            <v>DQ9109F1</v>
          </cell>
          <cell r="B180">
            <v>1464</v>
          </cell>
          <cell r="C180">
            <v>28.3537745454545</v>
          </cell>
          <cell r="D180">
            <v>0</v>
          </cell>
          <cell r="E180">
            <v>28.3537745454545</v>
          </cell>
          <cell r="F180" t="str">
            <v>自制</v>
          </cell>
          <cell r="G180" t="str">
            <v>本田 雅阁</v>
          </cell>
          <cell r="H180">
            <v>39</v>
          </cell>
          <cell r="I180">
            <v>37</v>
          </cell>
          <cell r="J180">
            <v>36</v>
          </cell>
          <cell r="K180">
            <v>35</v>
          </cell>
          <cell r="L180">
            <v>33</v>
          </cell>
          <cell r="M180">
            <v>32</v>
          </cell>
        </row>
        <row r="181">
          <cell r="A181" t="str">
            <v>DQ9003G5</v>
          </cell>
          <cell r="B181">
            <v>1462</v>
          </cell>
          <cell r="C181">
            <v>28.9485597454546</v>
          </cell>
          <cell r="D181">
            <v>0</v>
          </cell>
          <cell r="E181">
            <v>28.9485597454546</v>
          </cell>
          <cell r="F181" t="str">
            <v>自制</v>
          </cell>
          <cell r="G181" t="str">
            <v>日产尼桑</v>
          </cell>
          <cell r="H181">
            <v>40</v>
          </cell>
          <cell r="I181">
            <v>38</v>
          </cell>
          <cell r="J181">
            <v>37</v>
          </cell>
          <cell r="K181">
            <v>35</v>
          </cell>
          <cell r="L181">
            <v>34</v>
          </cell>
          <cell r="M181">
            <v>32</v>
          </cell>
        </row>
        <row r="182">
          <cell r="A182" t="str">
            <v>DQ9005D2</v>
          </cell>
          <cell r="B182">
            <v>1454</v>
          </cell>
          <cell r="C182">
            <v>17.2616372018182</v>
          </cell>
          <cell r="D182">
            <v>0</v>
          </cell>
          <cell r="E182">
            <v>17.2616372018182</v>
          </cell>
          <cell r="F182" t="str">
            <v>自制</v>
          </cell>
          <cell r="G182" t="str">
            <v>福特蒙迪欧</v>
          </cell>
          <cell r="H182">
            <v>24</v>
          </cell>
          <cell r="I182">
            <v>23</v>
          </cell>
          <cell r="J182">
            <v>22</v>
          </cell>
          <cell r="K182">
            <v>21</v>
          </cell>
          <cell r="L182">
            <v>20</v>
          </cell>
          <cell r="M182">
            <v>19</v>
          </cell>
        </row>
        <row r="183">
          <cell r="A183" t="str">
            <v>DQ9069A1</v>
          </cell>
          <cell r="B183">
            <v>1443</v>
          </cell>
          <cell r="C183">
            <v>44.7615</v>
          </cell>
          <cell r="D183">
            <v>0</v>
          </cell>
          <cell r="E183">
            <v>44.7615</v>
          </cell>
          <cell r="F183" t="str">
            <v>调货</v>
          </cell>
          <cell r="G183" t="str">
            <v>长安CS55 PLUS 1.5T</v>
          </cell>
          <cell r="H183">
            <v>54</v>
          </cell>
          <cell r="I183">
            <v>53</v>
          </cell>
          <cell r="J183">
            <v>52</v>
          </cell>
          <cell r="K183">
            <v>51</v>
          </cell>
          <cell r="L183">
            <v>51</v>
          </cell>
          <cell r="M183">
            <v>50</v>
          </cell>
        </row>
        <row r="184">
          <cell r="A184" t="str">
            <v>DQ9025G1</v>
          </cell>
          <cell r="B184">
            <v>1407</v>
          </cell>
          <cell r="C184">
            <v>68.5</v>
          </cell>
          <cell r="D184">
            <v>0.965957727272695</v>
          </cell>
          <cell r="E184">
            <v>67.5340422727273</v>
          </cell>
          <cell r="F184" t="str">
            <v>自制</v>
          </cell>
          <cell r="G184" t="str">
            <v>奔驰GLA2001.6T</v>
          </cell>
          <cell r="H184">
            <v>93</v>
          </cell>
          <cell r="I184">
            <v>90</v>
          </cell>
          <cell r="J184">
            <v>86</v>
          </cell>
          <cell r="K184">
            <v>83</v>
          </cell>
          <cell r="L184">
            <v>79</v>
          </cell>
          <cell r="M184">
            <v>76</v>
          </cell>
        </row>
        <row r="185">
          <cell r="A185" t="str">
            <v>DQ9058A1</v>
          </cell>
          <cell r="B185">
            <v>1403</v>
          </cell>
          <cell r="C185">
            <v>40.3515</v>
          </cell>
          <cell r="D185">
            <v>0</v>
          </cell>
          <cell r="E185">
            <v>40.3515</v>
          </cell>
          <cell r="F185" t="str">
            <v>调货</v>
          </cell>
          <cell r="G185" t="str">
            <v>捷途 1.5T,瑞虎3、瑞虎7</v>
          </cell>
          <cell r="H185">
            <v>49</v>
          </cell>
          <cell r="I185">
            <v>48</v>
          </cell>
          <cell r="J185">
            <v>47</v>
          </cell>
          <cell r="K185">
            <v>46</v>
          </cell>
          <cell r="L185">
            <v>46</v>
          </cell>
          <cell r="M185">
            <v>45</v>
          </cell>
        </row>
        <row r="186">
          <cell r="A186" t="str">
            <v>DQ901869</v>
          </cell>
          <cell r="B186">
            <v>1388</v>
          </cell>
          <cell r="C186">
            <v>50</v>
          </cell>
          <cell r="D186">
            <v>1.931</v>
          </cell>
          <cell r="E186">
            <v>48.069</v>
          </cell>
          <cell r="F186" t="str">
            <v>调货</v>
          </cell>
          <cell r="G186" t="str">
            <v>丰田汉兰达2.0T</v>
          </cell>
          <cell r="H186">
            <v>60</v>
          </cell>
          <cell r="I186">
            <v>59</v>
          </cell>
          <cell r="J186">
            <v>58</v>
          </cell>
          <cell r="K186">
            <v>57</v>
          </cell>
          <cell r="L186">
            <v>56</v>
          </cell>
          <cell r="M186">
            <v>55</v>
          </cell>
        </row>
        <row r="187">
          <cell r="A187" t="str">
            <v>DQ9113B4</v>
          </cell>
          <cell r="B187">
            <v>1388</v>
          </cell>
          <cell r="C187">
            <v>31.8577633818182</v>
          </cell>
          <cell r="D187">
            <v>0</v>
          </cell>
          <cell r="E187">
            <v>31.8577633818182</v>
          </cell>
          <cell r="F187" t="str">
            <v>自制</v>
          </cell>
          <cell r="G187" t="str">
            <v>三菱 Pajero (帕杰罗) 3.0L  2011款</v>
          </cell>
          <cell r="H187">
            <v>44</v>
          </cell>
          <cell r="I187">
            <v>42</v>
          </cell>
          <cell r="J187">
            <v>40</v>
          </cell>
          <cell r="K187">
            <v>39</v>
          </cell>
          <cell r="L187">
            <v>37</v>
          </cell>
          <cell r="M187">
            <v>36</v>
          </cell>
        </row>
        <row r="188">
          <cell r="A188" t="str">
            <v>DQ9104C1</v>
          </cell>
          <cell r="B188">
            <v>1374</v>
          </cell>
          <cell r="C188">
            <v>22.4494029060606</v>
          </cell>
          <cell r="D188">
            <v>0</v>
          </cell>
          <cell r="E188">
            <v>22.4494029060606</v>
          </cell>
          <cell r="F188" t="str">
            <v>自制</v>
          </cell>
          <cell r="G188" t="str">
            <v>雷诺CLIO1.2</v>
          </cell>
          <cell r="H188">
            <v>31</v>
          </cell>
          <cell r="I188">
            <v>30</v>
          </cell>
          <cell r="J188">
            <v>29</v>
          </cell>
          <cell r="K188">
            <v>27</v>
          </cell>
          <cell r="L188">
            <v>26</v>
          </cell>
          <cell r="M188">
            <v>25</v>
          </cell>
        </row>
        <row r="189">
          <cell r="A189" t="str">
            <v>DQ9004A</v>
          </cell>
          <cell r="B189">
            <v>1364</v>
          </cell>
          <cell r="C189">
            <v>33.9369060727273</v>
          </cell>
          <cell r="D189">
            <v>0</v>
          </cell>
          <cell r="E189">
            <v>33.9369060727273</v>
          </cell>
          <cell r="F189" t="str">
            <v>自制</v>
          </cell>
          <cell r="G189" t="str">
            <v>风度A33</v>
          </cell>
          <cell r="H189">
            <v>46</v>
          </cell>
          <cell r="I189">
            <v>45</v>
          </cell>
          <cell r="J189">
            <v>43</v>
          </cell>
          <cell r="K189">
            <v>41</v>
          </cell>
          <cell r="L189">
            <v>40</v>
          </cell>
          <cell r="M189">
            <v>38</v>
          </cell>
        </row>
        <row r="190">
          <cell r="A190" t="str">
            <v>DQ910835</v>
          </cell>
          <cell r="B190">
            <v>1362</v>
          </cell>
          <cell r="C190">
            <v>30.0127997974545</v>
          </cell>
          <cell r="D190">
            <v>0</v>
          </cell>
          <cell r="E190">
            <v>30.0127997974545</v>
          </cell>
          <cell r="F190" t="str">
            <v>自制</v>
          </cell>
          <cell r="G190" t="str">
            <v>丰田02235</v>
          </cell>
          <cell r="H190">
            <v>41</v>
          </cell>
          <cell r="I190">
            <v>40</v>
          </cell>
          <cell r="J190">
            <v>38</v>
          </cell>
          <cell r="K190">
            <v>37</v>
          </cell>
          <cell r="L190">
            <v>35</v>
          </cell>
          <cell r="M190">
            <v>34</v>
          </cell>
        </row>
        <row r="191">
          <cell r="A191" t="str">
            <v>DQ6204</v>
          </cell>
          <cell r="B191">
            <v>1333</v>
          </cell>
          <cell r="C191">
            <v>28.5465719242424</v>
          </cell>
          <cell r="D191">
            <v>0</v>
          </cell>
          <cell r="E191">
            <v>28.5465719242424</v>
          </cell>
          <cell r="F191" t="str">
            <v>自制</v>
          </cell>
          <cell r="G191" t="str">
            <v>别克君威 GL8商务车</v>
          </cell>
          <cell r="H191">
            <v>39</v>
          </cell>
          <cell r="I191">
            <v>38</v>
          </cell>
          <cell r="J191">
            <v>36</v>
          </cell>
          <cell r="K191">
            <v>35</v>
          </cell>
          <cell r="L191">
            <v>33</v>
          </cell>
          <cell r="M191">
            <v>32</v>
          </cell>
        </row>
        <row r="192">
          <cell r="A192" t="str">
            <v>DQ9003B4</v>
          </cell>
          <cell r="B192">
            <v>1324</v>
          </cell>
          <cell r="C192">
            <v>29.2915204294546</v>
          </cell>
          <cell r="D192">
            <v>0</v>
          </cell>
          <cell r="E192">
            <v>29.2915204294546</v>
          </cell>
          <cell r="F192" t="str">
            <v>自制</v>
          </cell>
          <cell r="G192" t="str">
            <v>SM7</v>
          </cell>
          <cell r="H192">
            <v>40</v>
          </cell>
          <cell r="I192">
            <v>39</v>
          </cell>
          <cell r="J192">
            <v>37</v>
          </cell>
          <cell r="K192">
            <v>36</v>
          </cell>
          <cell r="L192">
            <v>34</v>
          </cell>
          <cell r="M192">
            <v>33</v>
          </cell>
        </row>
        <row r="193">
          <cell r="A193" t="str">
            <v>DQ9007F1</v>
          </cell>
          <cell r="B193">
            <v>1301</v>
          </cell>
          <cell r="C193">
            <v>34.4773995454546</v>
          </cell>
          <cell r="D193">
            <v>0</v>
          </cell>
          <cell r="E193">
            <v>34.4773995454546</v>
          </cell>
          <cell r="F193" t="str">
            <v>自制</v>
          </cell>
          <cell r="G193" t="str">
            <v>起亚K3 1.5L</v>
          </cell>
          <cell r="H193">
            <v>47</v>
          </cell>
          <cell r="I193">
            <v>45</v>
          </cell>
          <cell r="J193">
            <v>44</v>
          </cell>
          <cell r="K193">
            <v>42</v>
          </cell>
          <cell r="L193">
            <v>40</v>
          </cell>
          <cell r="M193">
            <v>38</v>
          </cell>
        </row>
        <row r="194">
          <cell r="A194" t="str">
            <v>DQ9039A1</v>
          </cell>
          <cell r="B194">
            <v>1275</v>
          </cell>
          <cell r="C194">
            <v>25.2052012121212</v>
          </cell>
          <cell r="D194">
            <v>0</v>
          </cell>
          <cell r="E194">
            <v>25.2052012121212</v>
          </cell>
          <cell r="F194" t="str">
            <v>自制</v>
          </cell>
          <cell r="G194" t="str">
            <v>五菱宏光 1.2L</v>
          </cell>
          <cell r="H194">
            <v>35</v>
          </cell>
          <cell r="I194">
            <v>33</v>
          </cell>
          <cell r="J194">
            <v>32</v>
          </cell>
          <cell r="K194">
            <v>31</v>
          </cell>
          <cell r="L194">
            <v>29</v>
          </cell>
          <cell r="M194">
            <v>28</v>
          </cell>
        </row>
        <row r="195">
          <cell r="A195" t="str">
            <v>DQ9130E2</v>
          </cell>
          <cell r="B195">
            <v>1256</v>
          </cell>
          <cell r="C195">
            <v>24.0124476727273</v>
          </cell>
          <cell r="D195">
            <v>0</v>
          </cell>
          <cell r="E195">
            <v>24.0124476727273</v>
          </cell>
          <cell r="F195" t="str">
            <v>自制</v>
          </cell>
          <cell r="G195" t="str">
            <v>福特F150</v>
          </cell>
          <cell r="H195">
            <v>33</v>
          </cell>
          <cell r="I195">
            <v>32</v>
          </cell>
          <cell r="J195">
            <v>31</v>
          </cell>
          <cell r="K195">
            <v>29</v>
          </cell>
          <cell r="L195">
            <v>28</v>
          </cell>
          <cell r="M195">
            <v>27</v>
          </cell>
        </row>
        <row r="196">
          <cell r="A196" t="str">
            <v>DQ9005E</v>
          </cell>
          <cell r="B196">
            <v>1244</v>
          </cell>
          <cell r="C196">
            <v>17.0792915654545</v>
          </cell>
          <cell r="D196">
            <v>0</v>
          </cell>
          <cell r="E196">
            <v>17.0792915654545</v>
          </cell>
          <cell r="F196" t="str">
            <v>自制</v>
          </cell>
          <cell r="G196" t="str">
            <v>福特翼虎</v>
          </cell>
          <cell r="H196">
            <v>24</v>
          </cell>
          <cell r="I196">
            <v>23</v>
          </cell>
          <cell r="J196">
            <v>22</v>
          </cell>
          <cell r="K196">
            <v>21</v>
          </cell>
          <cell r="L196">
            <v>20</v>
          </cell>
          <cell r="M196">
            <v>19</v>
          </cell>
        </row>
        <row r="197">
          <cell r="A197" t="str">
            <v>DQ9059A1</v>
          </cell>
          <cell r="B197">
            <v>1235</v>
          </cell>
          <cell r="C197">
            <v>25.0727471454546</v>
          </cell>
          <cell r="D197">
            <v>0</v>
          </cell>
          <cell r="E197">
            <v>25.0727471454546</v>
          </cell>
          <cell r="F197" t="str">
            <v>自制</v>
          </cell>
          <cell r="G197" t="str">
            <v>北京汽车</v>
          </cell>
          <cell r="H197">
            <v>34</v>
          </cell>
          <cell r="I197">
            <v>33</v>
          </cell>
          <cell r="J197">
            <v>32</v>
          </cell>
          <cell r="K197">
            <v>31</v>
          </cell>
          <cell r="L197">
            <v>29</v>
          </cell>
          <cell r="M197">
            <v>28</v>
          </cell>
        </row>
        <row r="198">
          <cell r="A198" t="str">
            <v>DQ910820</v>
          </cell>
          <cell r="B198">
            <v>1208</v>
          </cell>
          <cell r="C198">
            <v>38.0505748727273</v>
          </cell>
          <cell r="D198">
            <v>0</v>
          </cell>
          <cell r="E198">
            <v>38.0505748727273</v>
          </cell>
          <cell r="F198" t="str">
            <v>自制</v>
          </cell>
          <cell r="G198" t="str">
            <v>一汽森雅</v>
          </cell>
          <cell r="H198">
            <v>52</v>
          </cell>
          <cell r="I198">
            <v>50</v>
          </cell>
          <cell r="J198">
            <v>48</v>
          </cell>
          <cell r="K198">
            <v>46</v>
          </cell>
          <cell r="L198">
            <v>44</v>
          </cell>
          <cell r="M198">
            <v>42</v>
          </cell>
        </row>
        <row r="199">
          <cell r="A199" t="str">
            <v>DQ9037C1</v>
          </cell>
          <cell r="B199">
            <v>1202</v>
          </cell>
          <cell r="C199">
            <v>31.4958388787879</v>
          </cell>
          <cell r="D199">
            <v>0</v>
          </cell>
          <cell r="E199">
            <v>31.4958388787879</v>
          </cell>
          <cell r="F199" t="str">
            <v>自制</v>
          </cell>
          <cell r="G199" t="str">
            <v>哈弗H6蓝标1.5T</v>
          </cell>
          <cell r="H199">
            <v>43</v>
          </cell>
          <cell r="I199">
            <v>41</v>
          </cell>
          <cell r="J199">
            <v>40</v>
          </cell>
          <cell r="K199">
            <v>38</v>
          </cell>
          <cell r="L199">
            <v>37</v>
          </cell>
          <cell r="M199">
            <v>35</v>
          </cell>
        </row>
        <row r="200">
          <cell r="A200" t="str">
            <v>DQ9045E1</v>
          </cell>
          <cell r="B200">
            <v>1199</v>
          </cell>
          <cell r="C200">
            <v>34.8725657454546</v>
          </cell>
          <cell r="D200">
            <v>0</v>
          </cell>
          <cell r="E200">
            <v>34.8725657454546</v>
          </cell>
          <cell r="F200" t="str">
            <v>自制</v>
          </cell>
          <cell r="G200" t="str">
            <v>斯巴鲁XV 2.0L</v>
          </cell>
          <cell r="H200">
            <v>48</v>
          </cell>
          <cell r="I200">
            <v>46</v>
          </cell>
          <cell r="J200">
            <v>44</v>
          </cell>
          <cell r="K200">
            <v>42</v>
          </cell>
          <cell r="L200">
            <v>41</v>
          </cell>
          <cell r="M200">
            <v>39</v>
          </cell>
        </row>
        <row r="201">
          <cell r="A201" t="str">
            <v>DQ9101S1</v>
          </cell>
          <cell r="B201">
            <v>1180</v>
          </cell>
          <cell r="C201">
            <v>18.9631475818182</v>
          </cell>
          <cell r="D201">
            <v>0</v>
          </cell>
          <cell r="E201">
            <v>18.9631475818182</v>
          </cell>
          <cell r="F201" t="str">
            <v>自制</v>
          </cell>
          <cell r="G201" t="str">
            <v>现代雅尊</v>
          </cell>
          <cell r="H201">
            <v>26</v>
          </cell>
          <cell r="I201">
            <v>25</v>
          </cell>
          <cell r="J201">
            <v>24</v>
          </cell>
          <cell r="K201">
            <v>23</v>
          </cell>
          <cell r="L201">
            <v>22</v>
          </cell>
          <cell r="M201">
            <v>21</v>
          </cell>
        </row>
        <row r="202">
          <cell r="A202" t="str">
            <v>DQ9003</v>
          </cell>
          <cell r="B202">
            <v>1151</v>
          </cell>
          <cell r="C202">
            <v>28.3513789854546</v>
          </cell>
          <cell r="D202">
            <v>0</v>
          </cell>
          <cell r="E202">
            <v>28.3513789854546</v>
          </cell>
          <cell r="F202" t="str">
            <v>自制</v>
          </cell>
          <cell r="G202" t="str">
            <v>红旗A4E</v>
          </cell>
          <cell r="H202">
            <v>39</v>
          </cell>
          <cell r="I202">
            <v>37</v>
          </cell>
          <cell r="J202">
            <v>36</v>
          </cell>
          <cell r="K202">
            <v>35</v>
          </cell>
          <cell r="L202">
            <v>33</v>
          </cell>
          <cell r="M202">
            <v>32</v>
          </cell>
        </row>
        <row r="203">
          <cell r="A203" t="str">
            <v>DQ9047A1</v>
          </cell>
          <cell r="B203">
            <v>1149</v>
          </cell>
          <cell r="C203">
            <v>25.2250704060606</v>
          </cell>
          <cell r="D203">
            <v>0</v>
          </cell>
          <cell r="E203">
            <v>25.2250704060606</v>
          </cell>
          <cell r="F203" t="str">
            <v>自制</v>
          </cell>
          <cell r="G203" t="str">
            <v>荣威大通 2.0T</v>
          </cell>
          <cell r="H203">
            <v>35</v>
          </cell>
          <cell r="I203">
            <v>33</v>
          </cell>
          <cell r="J203">
            <v>32</v>
          </cell>
          <cell r="K203">
            <v>31</v>
          </cell>
          <cell r="L203">
            <v>30</v>
          </cell>
          <cell r="M203">
            <v>28</v>
          </cell>
        </row>
        <row r="204">
          <cell r="A204" t="str">
            <v>DQ9039C1</v>
          </cell>
          <cell r="B204">
            <v>1144</v>
          </cell>
          <cell r="C204">
            <v>25.6497044727273</v>
          </cell>
          <cell r="D204">
            <v>0</v>
          </cell>
          <cell r="E204">
            <v>25.6497044727273</v>
          </cell>
          <cell r="F204" t="str">
            <v>自制</v>
          </cell>
          <cell r="G204" t="str">
            <v>宝骏1.5T</v>
          </cell>
          <cell r="H204">
            <v>35</v>
          </cell>
          <cell r="I204">
            <v>34</v>
          </cell>
          <cell r="J204">
            <v>33</v>
          </cell>
          <cell r="K204">
            <v>31</v>
          </cell>
          <cell r="L204">
            <v>30</v>
          </cell>
          <cell r="M204">
            <v>29</v>
          </cell>
        </row>
        <row r="205">
          <cell r="A205" t="str">
            <v>DQ9127A1</v>
          </cell>
          <cell r="B205">
            <v>1140</v>
          </cell>
          <cell r="C205">
            <v>33</v>
          </cell>
          <cell r="D205">
            <v>1.3247822545455</v>
          </cell>
          <cell r="E205">
            <v>31.6752177454545</v>
          </cell>
          <cell r="F205" t="str">
            <v>自制</v>
          </cell>
          <cell r="G205" t="str">
            <v>尼桑阳光N16</v>
          </cell>
          <cell r="H205">
            <v>45</v>
          </cell>
          <cell r="I205">
            <v>43</v>
          </cell>
          <cell r="J205">
            <v>42</v>
          </cell>
          <cell r="K205">
            <v>40</v>
          </cell>
          <cell r="L205">
            <v>38</v>
          </cell>
          <cell r="M205">
            <v>37</v>
          </cell>
        </row>
        <row r="206">
          <cell r="A206" t="str">
            <v>DQ6108</v>
          </cell>
          <cell r="B206">
            <v>1112</v>
          </cell>
          <cell r="C206">
            <v>30</v>
          </cell>
          <cell r="D206">
            <v>-0.836718590909101</v>
          </cell>
          <cell r="E206">
            <v>30.8367185909091</v>
          </cell>
          <cell r="F206" t="str">
            <v>自制</v>
          </cell>
          <cell r="G206" t="str">
            <v>丰田8A</v>
          </cell>
          <cell r="H206">
            <v>41</v>
          </cell>
          <cell r="I206">
            <v>39</v>
          </cell>
          <cell r="J206">
            <v>38</v>
          </cell>
          <cell r="K206">
            <v>36</v>
          </cell>
          <cell r="L206">
            <v>35</v>
          </cell>
          <cell r="M206">
            <v>33</v>
          </cell>
        </row>
        <row r="207">
          <cell r="A207" t="str">
            <v>DQ9219A8</v>
          </cell>
          <cell r="B207">
            <v>1098</v>
          </cell>
          <cell r="C207">
            <v>22.1514357727273</v>
          </cell>
          <cell r="D207">
            <v>0</v>
          </cell>
          <cell r="E207">
            <v>22.1514357727273</v>
          </cell>
          <cell r="F207" t="str">
            <v>自制</v>
          </cell>
          <cell r="G207" t="str">
            <v>GS8 2.0T</v>
          </cell>
          <cell r="H207">
            <v>30</v>
          </cell>
          <cell r="I207">
            <v>29</v>
          </cell>
          <cell r="J207">
            <v>28</v>
          </cell>
          <cell r="K207">
            <v>27</v>
          </cell>
          <cell r="L207">
            <v>26</v>
          </cell>
          <cell r="M207">
            <v>25</v>
          </cell>
        </row>
        <row r="208">
          <cell r="A208" t="str">
            <v>DQ9040C3</v>
          </cell>
          <cell r="B208">
            <v>1092</v>
          </cell>
          <cell r="C208">
            <v>25.7194138121212</v>
          </cell>
          <cell r="D208">
            <v>0</v>
          </cell>
          <cell r="E208">
            <v>25.7194138121212</v>
          </cell>
          <cell r="F208" t="str">
            <v>自制</v>
          </cell>
          <cell r="G208" t="str">
            <v>海狮X30L</v>
          </cell>
          <cell r="H208">
            <v>35</v>
          </cell>
          <cell r="I208">
            <v>34</v>
          </cell>
          <cell r="J208">
            <v>33</v>
          </cell>
          <cell r="K208">
            <v>31</v>
          </cell>
          <cell r="L208">
            <v>30</v>
          </cell>
          <cell r="M208">
            <v>29</v>
          </cell>
        </row>
        <row r="209">
          <cell r="A209" t="str">
            <v>DQ9010G1</v>
          </cell>
          <cell r="B209">
            <v>1086</v>
          </cell>
          <cell r="C209">
            <v>34.1036393454546</v>
          </cell>
          <cell r="D209">
            <v>0</v>
          </cell>
          <cell r="E209">
            <v>34.1036393454546</v>
          </cell>
          <cell r="F209" t="str">
            <v>自制</v>
          </cell>
          <cell r="G209" t="str">
            <v>本田锋范</v>
          </cell>
          <cell r="H209">
            <v>47</v>
          </cell>
          <cell r="I209">
            <v>45</v>
          </cell>
          <cell r="J209">
            <v>43</v>
          </cell>
          <cell r="K209">
            <v>41</v>
          </cell>
          <cell r="L209">
            <v>40</v>
          </cell>
          <cell r="M209">
            <v>38</v>
          </cell>
        </row>
        <row r="210">
          <cell r="A210" t="str">
            <v>DQ9216</v>
          </cell>
          <cell r="B210">
            <v>1085</v>
          </cell>
          <cell r="C210">
            <v>23.4090910727273</v>
          </cell>
          <cell r="D210">
            <v>0</v>
          </cell>
          <cell r="E210">
            <v>23.4090910727273</v>
          </cell>
          <cell r="F210" t="str">
            <v>自制</v>
          </cell>
          <cell r="G210" t="str">
            <v>荣威550 1.8T黑杆</v>
          </cell>
          <cell r="H210">
            <v>32</v>
          </cell>
          <cell r="I210">
            <v>31</v>
          </cell>
          <cell r="J210">
            <v>30</v>
          </cell>
          <cell r="K210">
            <v>29</v>
          </cell>
          <cell r="L210">
            <v>27</v>
          </cell>
          <cell r="M210">
            <v>26</v>
          </cell>
        </row>
        <row r="211">
          <cell r="A211" t="str">
            <v>DQ9132F1</v>
          </cell>
          <cell r="B211">
            <v>1076</v>
          </cell>
          <cell r="C211">
            <v>33.0486327393939</v>
          </cell>
          <cell r="D211">
            <v>0</v>
          </cell>
          <cell r="E211">
            <v>33.0486327393939</v>
          </cell>
          <cell r="F211" t="str">
            <v>自制</v>
          </cell>
          <cell r="G211" t="str">
            <v>大发</v>
          </cell>
          <cell r="H211">
            <v>45</v>
          </cell>
          <cell r="I211">
            <v>43</v>
          </cell>
          <cell r="J211">
            <v>42</v>
          </cell>
          <cell r="K211">
            <v>40</v>
          </cell>
          <cell r="L211">
            <v>39</v>
          </cell>
          <cell r="M211">
            <v>37</v>
          </cell>
        </row>
        <row r="212">
          <cell r="A212" t="str">
            <v>DQ9219A6</v>
          </cell>
          <cell r="B212">
            <v>1074</v>
          </cell>
          <cell r="C212">
            <v>20.9964357727273</v>
          </cell>
          <cell r="D212">
            <v>0</v>
          </cell>
          <cell r="E212">
            <v>20.9964357727273</v>
          </cell>
          <cell r="F212" t="str">
            <v>自制</v>
          </cell>
          <cell r="G212" t="str">
            <v>长城哈弗 H6 1.5T 14款</v>
          </cell>
          <cell r="H212">
            <v>29</v>
          </cell>
          <cell r="I212">
            <v>28</v>
          </cell>
          <cell r="J212">
            <v>27</v>
          </cell>
          <cell r="K212">
            <v>26</v>
          </cell>
          <cell r="L212">
            <v>25</v>
          </cell>
          <cell r="M212">
            <v>24</v>
          </cell>
        </row>
        <row r="213">
          <cell r="A213" t="str">
            <v>DQ9036A1</v>
          </cell>
          <cell r="B213">
            <v>1057</v>
          </cell>
          <cell r="C213">
            <v>29.0656280121212</v>
          </cell>
          <cell r="D213">
            <v>0</v>
          </cell>
          <cell r="E213">
            <v>29.0656280121212</v>
          </cell>
          <cell r="F213" t="str">
            <v>自制</v>
          </cell>
          <cell r="G213" t="str">
            <v>菲亚特 飞翔 致悦 1.4T</v>
          </cell>
          <cell r="H213">
            <v>40</v>
          </cell>
          <cell r="I213">
            <v>38</v>
          </cell>
          <cell r="J213">
            <v>37</v>
          </cell>
          <cell r="K213">
            <v>35</v>
          </cell>
          <cell r="L213">
            <v>34</v>
          </cell>
          <cell r="M213">
            <v>32</v>
          </cell>
        </row>
        <row r="214">
          <cell r="A214" t="str">
            <v>DQ9010J1</v>
          </cell>
          <cell r="B214">
            <v>1053</v>
          </cell>
          <cell r="C214">
            <v>32.3922694060606</v>
          </cell>
          <cell r="D214">
            <v>0</v>
          </cell>
          <cell r="E214">
            <v>32.3922694060606</v>
          </cell>
          <cell r="F214" t="str">
            <v>自制</v>
          </cell>
          <cell r="G214" t="str">
            <v>14款飞度</v>
          </cell>
          <cell r="H214">
            <v>44</v>
          </cell>
          <cell r="I214">
            <v>43</v>
          </cell>
          <cell r="J214">
            <v>41</v>
          </cell>
          <cell r="K214">
            <v>39</v>
          </cell>
          <cell r="L214">
            <v>38</v>
          </cell>
          <cell r="M214">
            <v>36</v>
          </cell>
        </row>
        <row r="215">
          <cell r="A215" t="str">
            <v>DQ9076A1</v>
          </cell>
          <cell r="B215">
            <v>1036</v>
          </cell>
          <cell r="C215">
            <v>37</v>
          </cell>
          <cell r="D215">
            <v>3.7440294545455</v>
          </cell>
          <cell r="E215">
            <v>33.2559705454545</v>
          </cell>
          <cell r="F215" t="str">
            <v>自制</v>
          </cell>
          <cell r="G215" t="str">
            <v>本田 LIFE 2009</v>
          </cell>
          <cell r="H215">
            <v>50</v>
          </cell>
          <cell r="I215">
            <v>49</v>
          </cell>
          <cell r="J215">
            <v>47</v>
          </cell>
          <cell r="K215">
            <v>45</v>
          </cell>
          <cell r="L215">
            <v>43</v>
          </cell>
          <cell r="M215">
            <v>41</v>
          </cell>
        </row>
        <row r="216">
          <cell r="A216" t="str">
            <v>DQ9025J1</v>
          </cell>
          <cell r="B216">
            <v>1020</v>
          </cell>
          <cell r="C216">
            <v>67</v>
          </cell>
          <cell r="D216">
            <v>28.5260349272727</v>
          </cell>
          <cell r="E216">
            <v>38.4739650727273</v>
          </cell>
          <cell r="F216" t="str">
            <v>自制</v>
          </cell>
          <cell r="G216" t="str">
            <v>奔驰E260</v>
          </cell>
          <cell r="H216">
            <v>91</v>
          </cell>
          <cell r="I216">
            <v>88</v>
          </cell>
          <cell r="J216">
            <v>84</v>
          </cell>
          <cell r="K216">
            <v>81</v>
          </cell>
          <cell r="L216">
            <v>78</v>
          </cell>
          <cell r="M216">
            <v>74</v>
          </cell>
        </row>
        <row r="217">
          <cell r="A217" t="str">
            <v>DQ9005L1</v>
          </cell>
          <cell r="B217">
            <v>1019</v>
          </cell>
          <cell r="C217">
            <v>31.4826378727273</v>
          </cell>
          <cell r="D217">
            <v>0</v>
          </cell>
          <cell r="E217">
            <v>31.4826378727273</v>
          </cell>
          <cell r="F217" t="str">
            <v>自制</v>
          </cell>
          <cell r="G217" t="str">
            <v>福特翼博1.0T</v>
          </cell>
          <cell r="H217">
            <v>43</v>
          </cell>
          <cell r="I217">
            <v>41</v>
          </cell>
          <cell r="J217">
            <v>40</v>
          </cell>
          <cell r="K217">
            <v>38</v>
          </cell>
          <cell r="L217">
            <v>37</v>
          </cell>
          <cell r="M217">
            <v>35</v>
          </cell>
        </row>
        <row r="218">
          <cell r="A218" t="str">
            <v>DQ9153A3</v>
          </cell>
          <cell r="B218">
            <v>1002</v>
          </cell>
          <cell r="C218">
            <v>22.7503289151515</v>
          </cell>
          <cell r="D218">
            <v>0</v>
          </cell>
          <cell r="E218">
            <v>22.7503289151515</v>
          </cell>
          <cell r="F218" t="str">
            <v>自制</v>
          </cell>
          <cell r="G218" t="str">
            <v>长丰猎豹</v>
          </cell>
          <cell r="H218">
            <v>31</v>
          </cell>
          <cell r="I218">
            <v>30</v>
          </cell>
          <cell r="J218">
            <v>29</v>
          </cell>
          <cell r="K218">
            <v>28</v>
          </cell>
          <cell r="L218">
            <v>27</v>
          </cell>
          <cell r="M218">
            <v>26</v>
          </cell>
        </row>
        <row r="219">
          <cell r="A219" t="str">
            <v>DQ9003B2</v>
          </cell>
          <cell r="B219">
            <v>997</v>
          </cell>
          <cell r="C219">
            <v>29.3314789854545</v>
          </cell>
          <cell r="D219">
            <v>0</v>
          </cell>
          <cell r="E219">
            <v>29.3314789854545</v>
          </cell>
          <cell r="F219" t="str">
            <v>自制</v>
          </cell>
          <cell r="G219" t="str">
            <v>天籁侧插</v>
          </cell>
          <cell r="H219">
            <v>40</v>
          </cell>
          <cell r="I219">
            <v>39</v>
          </cell>
          <cell r="J219">
            <v>37</v>
          </cell>
          <cell r="K219">
            <v>36</v>
          </cell>
          <cell r="L219">
            <v>34</v>
          </cell>
          <cell r="M219">
            <v>33</v>
          </cell>
        </row>
        <row r="220">
          <cell r="A220" t="str">
            <v>DQ9113D1</v>
          </cell>
          <cell r="B220">
            <v>979</v>
          </cell>
          <cell r="C220">
            <v>26.5686013684849</v>
          </cell>
          <cell r="D220">
            <v>0</v>
          </cell>
          <cell r="E220">
            <v>26.5686013684849</v>
          </cell>
          <cell r="F220" t="str">
            <v>自制</v>
          </cell>
          <cell r="G220" t="str">
            <v>4G69</v>
          </cell>
          <cell r="H220">
            <v>36</v>
          </cell>
          <cell r="I220">
            <v>35</v>
          </cell>
          <cell r="J220">
            <v>34</v>
          </cell>
          <cell r="K220">
            <v>32</v>
          </cell>
          <cell r="L220">
            <v>31</v>
          </cell>
          <cell r="M220">
            <v>30</v>
          </cell>
        </row>
        <row r="221">
          <cell r="A221" t="str">
            <v>DQ9003A4</v>
          </cell>
          <cell r="B221">
            <v>975</v>
          </cell>
          <cell r="C221">
            <v>27.6806812654546</v>
          </cell>
          <cell r="D221">
            <v>0</v>
          </cell>
          <cell r="E221">
            <v>27.6806812654546</v>
          </cell>
          <cell r="F221" t="str">
            <v>自制</v>
          </cell>
          <cell r="G221" t="str">
            <v>日立/马自达3</v>
          </cell>
          <cell r="H221">
            <v>38</v>
          </cell>
          <cell r="I221">
            <v>36</v>
          </cell>
          <cell r="J221">
            <v>35</v>
          </cell>
          <cell r="K221">
            <v>34</v>
          </cell>
          <cell r="L221">
            <v>32</v>
          </cell>
          <cell r="M221">
            <v>31</v>
          </cell>
        </row>
        <row r="222">
          <cell r="A222" t="str">
            <v>DQ9050A4</v>
          </cell>
          <cell r="B222">
            <v>972</v>
          </cell>
          <cell r="C222">
            <v>37</v>
          </cell>
          <cell r="D222">
            <v>2.0588316545455</v>
          </cell>
          <cell r="E222">
            <v>34.9411683454545</v>
          </cell>
          <cell r="F222" t="str">
            <v>自制</v>
          </cell>
          <cell r="G222" t="str">
            <v>铃木雨燕SX4 1.4T</v>
          </cell>
          <cell r="H222">
            <v>50</v>
          </cell>
          <cell r="I222">
            <v>49</v>
          </cell>
          <cell r="J222">
            <v>47</v>
          </cell>
          <cell r="K222">
            <v>45</v>
          </cell>
          <cell r="L222">
            <v>43</v>
          </cell>
          <cell r="M222">
            <v>41</v>
          </cell>
        </row>
        <row r="223">
          <cell r="A223" t="str">
            <v>DQ9036F1</v>
          </cell>
          <cell r="B223">
            <v>968</v>
          </cell>
          <cell r="C223">
            <v>28.4265613454545</v>
          </cell>
          <cell r="D223">
            <v>0</v>
          </cell>
          <cell r="E223">
            <v>28.4265613454545</v>
          </cell>
          <cell r="F223" t="str">
            <v>自制</v>
          </cell>
          <cell r="G223" t="str">
            <v>指南者1.4T</v>
          </cell>
          <cell r="H223">
            <v>39</v>
          </cell>
          <cell r="I223">
            <v>37</v>
          </cell>
          <cell r="J223">
            <v>36</v>
          </cell>
          <cell r="K223">
            <v>35</v>
          </cell>
          <cell r="L223">
            <v>33</v>
          </cell>
          <cell r="M223">
            <v>32</v>
          </cell>
        </row>
        <row r="224">
          <cell r="A224" t="str">
            <v>DQ9037C5</v>
          </cell>
          <cell r="B224">
            <v>953</v>
          </cell>
          <cell r="C224">
            <v>31.1383388787879</v>
          </cell>
          <cell r="D224">
            <v>0</v>
          </cell>
          <cell r="E224">
            <v>31.1383388787879</v>
          </cell>
          <cell r="F224" t="str">
            <v>自制</v>
          </cell>
          <cell r="G224" t="str">
            <v>吉利博越</v>
          </cell>
          <cell r="H224">
            <v>43</v>
          </cell>
          <cell r="I224">
            <v>41</v>
          </cell>
          <cell r="J224">
            <v>39</v>
          </cell>
          <cell r="K224">
            <v>38</v>
          </cell>
          <cell r="L224">
            <v>36</v>
          </cell>
          <cell r="M224">
            <v>35</v>
          </cell>
        </row>
        <row r="225">
          <cell r="A225" t="str">
            <v>DQ9116B</v>
          </cell>
          <cell r="B225">
            <v>936</v>
          </cell>
          <cell r="C225">
            <v>29.3164121454546</v>
          </cell>
          <cell r="D225">
            <v>0</v>
          </cell>
          <cell r="E225">
            <v>29.3164121454546</v>
          </cell>
          <cell r="F225" t="str">
            <v>自制</v>
          </cell>
          <cell r="G225" t="str">
            <v>473QB发动机</v>
          </cell>
          <cell r="H225">
            <v>40</v>
          </cell>
          <cell r="I225">
            <v>39</v>
          </cell>
          <cell r="J225">
            <v>37</v>
          </cell>
          <cell r="K225">
            <v>36</v>
          </cell>
          <cell r="L225">
            <v>34</v>
          </cell>
          <cell r="M225">
            <v>33</v>
          </cell>
        </row>
        <row r="226">
          <cell r="A226" t="str">
            <v>DQ9007D1</v>
          </cell>
          <cell r="B226">
            <v>925</v>
          </cell>
          <cell r="C226">
            <v>33.9380798727273</v>
          </cell>
          <cell r="D226">
            <v>0</v>
          </cell>
          <cell r="E226">
            <v>33.9380798727273</v>
          </cell>
          <cell r="F226" t="str">
            <v>自制</v>
          </cell>
          <cell r="G226" t="str">
            <v>现代名图1.6T</v>
          </cell>
          <cell r="H226">
            <v>46</v>
          </cell>
          <cell r="I226">
            <v>45</v>
          </cell>
          <cell r="J226">
            <v>43</v>
          </cell>
          <cell r="K226">
            <v>41</v>
          </cell>
          <cell r="L226">
            <v>40</v>
          </cell>
          <cell r="M226">
            <v>38</v>
          </cell>
        </row>
        <row r="227">
          <cell r="A227" t="str">
            <v>DQ9402A3</v>
          </cell>
          <cell r="B227">
            <v>918</v>
          </cell>
          <cell r="C227">
            <v>126</v>
          </cell>
          <cell r="D227">
            <v>-0.126000000000005</v>
          </cell>
          <cell r="E227">
            <v>126.126</v>
          </cell>
          <cell r="F227" t="str">
            <v>调货</v>
          </cell>
          <cell r="G227" t="str">
            <v>标致2.0L 新款</v>
          </cell>
          <cell r="H227">
            <v>150</v>
          </cell>
          <cell r="I227">
            <v>148</v>
          </cell>
          <cell r="J227">
            <v>145</v>
          </cell>
          <cell r="K227">
            <v>143</v>
          </cell>
          <cell r="L227">
            <v>142</v>
          </cell>
          <cell r="M227">
            <v>139</v>
          </cell>
        </row>
        <row r="228">
          <cell r="A228" t="str">
            <v>DQ9007G1</v>
          </cell>
          <cell r="B228">
            <v>911</v>
          </cell>
          <cell r="C228">
            <v>33.6848598727273</v>
          </cell>
          <cell r="D228">
            <v>0</v>
          </cell>
          <cell r="E228">
            <v>33.6848598727273</v>
          </cell>
          <cell r="F228" t="str">
            <v>自制</v>
          </cell>
          <cell r="G228" t="str">
            <v>现代04110</v>
          </cell>
          <cell r="H228">
            <v>46</v>
          </cell>
          <cell r="I228">
            <v>44</v>
          </cell>
          <cell r="J228">
            <v>43</v>
          </cell>
          <cell r="K228">
            <v>41</v>
          </cell>
          <cell r="L228">
            <v>39</v>
          </cell>
          <cell r="M228">
            <v>38</v>
          </cell>
        </row>
        <row r="229">
          <cell r="A229" t="str">
            <v>DQ9045A1</v>
          </cell>
          <cell r="B229">
            <v>899</v>
          </cell>
          <cell r="C229">
            <v>32.8741228787879</v>
          </cell>
          <cell r="D229">
            <v>0</v>
          </cell>
          <cell r="E229">
            <v>32.8741228787879</v>
          </cell>
          <cell r="F229" t="str">
            <v>自制</v>
          </cell>
          <cell r="G229" t="str">
            <v>斯巴鲁森林人</v>
          </cell>
          <cell r="H229">
            <v>45</v>
          </cell>
          <cell r="I229">
            <v>43</v>
          </cell>
          <cell r="J229">
            <v>42</v>
          </cell>
          <cell r="K229">
            <v>40</v>
          </cell>
          <cell r="L229">
            <v>38</v>
          </cell>
          <cell r="M229">
            <v>37</v>
          </cell>
        </row>
        <row r="230">
          <cell r="A230" t="str">
            <v>DQ9107E1</v>
          </cell>
          <cell r="B230">
            <v>898</v>
          </cell>
          <cell r="C230">
            <v>19.2847789151515</v>
          </cell>
          <cell r="D230">
            <v>0</v>
          </cell>
          <cell r="E230">
            <v>19.2847789151515</v>
          </cell>
          <cell r="F230" t="str">
            <v>自制</v>
          </cell>
          <cell r="G230" t="str">
            <v>东南汽车1.5T 东风景逸1.5T</v>
          </cell>
          <cell r="H230">
            <v>27</v>
          </cell>
          <cell r="I230">
            <v>26</v>
          </cell>
          <cell r="J230">
            <v>25</v>
          </cell>
          <cell r="K230">
            <v>24</v>
          </cell>
          <cell r="L230">
            <v>23</v>
          </cell>
          <cell r="M230">
            <v>22</v>
          </cell>
        </row>
        <row r="231">
          <cell r="A231" t="str">
            <v>DQ6202</v>
          </cell>
          <cell r="B231">
            <v>894</v>
          </cell>
          <cell r="C231">
            <v>66.318</v>
          </cell>
          <cell r="D231">
            <v>0</v>
          </cell>
          <cell r="E231">
            <v>66.318</v>
          </cell>
          <cell r="F231" t="str">
            <v>调货</v>
          </cell>
          <cell r="G231" t="str">
            <v>索纳塔1.8</v>
          </cell>
          <cell r="H231">
            <v>79</v>
          </cell>
          <cell r="I231">
            <v>78</v>
          </cell>
          <cell r="J231">
            <v>77</v>
          </cell>
          <cell r="K231">
            <v>75</v>
          </cell>
          <cell r="L231">
            <v>75</v>
          </cell>
          <cell r="M231">
            <v>73</v>
          </cell>
        </row>
        <row r="232">
          <cell r="A232" t="str">
            <v>DQ9126A2</v>
          </cell>
          <cell r="B232">
            <v>891</v>
          </cell>
          <cell r="C232">
            <v>33.6774790454545</v>
          </cell>
          <cell r="D232">
            <v>0</v>
          </cell>
          <cell r="E232">
            <v>33.6774790454545</v>
          </cell>
          <cell r="F232" t="str">
            <v>自制</v>
          </cell>
          <cell r="G232" t="str">
            <v>路虎风神者</v>
          </cell>
          <cell r="H232">
            <v>46</v>
          </cell>
          <cell r="I232">
            <v>44</v>
          </cell>
          <cell r="J232">
            <v>43</v>
          </cell>
          <cell r="K232">
            <v>41</v>
          </cell>
          <cell r="L232">
            <v>39</v>
          </cell>
          <cell r="M232">
            <v>38</v>
          </cell>
        </row>
        <row r="233">
          <cell r="A233" t="str">
            <v>DQ9133A1</v>
          </cell>
          <cell r="B233">
            <v>887</v>
          </cell>
          <cell r="C233">
            <v>53.214</v>
          </cell>
          <cell r="D233">
            <v>0</v>
          </cell>
          <cell r="E233">
            <v>53.214</v>
          </cell>
          <cell r="F233" t="str">
            <v>调货</v>
          </cell>
          <cell r="G233" t="str">
            <v>保时捷卡宴</v>
          </cell>
          <cell r="H233">
            <v>64</v>
          </cell>
          <cell r="I233">
            <v>63</v>
          </cell>
          <cell r="J233">
            <v>62</v>
          </cell>
          <cell r="K233">
            <v>61</v>
          </cell>
          <cell r="L233">
            <v>60</v>
          </cell>
          <cell r="M233">
            <v>59</v>
          </cell>
        </row>
        <row r="234">
          <cell r="A234" t="str">
            <v>DQ9003H7</v>
          </cell>
          <cell r="B234">
            <v>885</v>
          </cell>
          <cell r="C234">
            <v>30.2245412654546</v>
          </cell>
          <cell r="D234">
            <v>0</v>
          </cell>
          <cell r="E234">
            <v>30.2245412654546</v>
          </cell>
          <cell r="F234" t="str">
            <v>自制</v>
          </cell>
          <cell r="G234" t="str">
            <v>日产途乐</v>
          </cell>
          <cell r="H234">
            <v>41</v>
          </cell>
          <cell r="I234">
            <v>40</v>
          </cell>
          <cell r="J234">
            <v>38</v>
          </cell>
          <cell r="K234">
            <v>37</v>
          </cell>
          <cell r="L234">
            <v>35</v>
          </cell>
          <cell r="M234">
            <v>34</v>
          </cell>
        </row>
        <row r="235">
          <cell r="A235" t="str">
            <v>DQ9021C</v>
          </cell>
          <cell r="B235">
            <v>875</v>
          </cell>
          <cell r="C235">
            <v>22.2818337454545</v>
          </cell>
          <cell r="D235">
            <v>0</v>
          </cell>
          <cell r="E235">
            <v>22.2818337454545</v>
          </cell>
          <cell r="F235" t="str">
            <v>自制</v>
          </cell>
          <cell r="G235" t="str">
            <v>广汽传祺</v>
          </cell>
          <cell r="H235">
            <v>31</v>
          </cell>
          <cell r="I235">
            <v>29</v>
          </cell>
          <cell r="J235">
            <v>28</v>
          </cell>
          <cell r="K235">
            <v>27</v>
          </cell>
          <cell r="L235">
            <v>26</v>
          </cell>
          <cell r="M235">
            <v>25</v>
          </cell>
        </row>
        <row r="236">
          <cell r="A236" t="str">
            <v>DQ9113G1</v>
          </cell>
          <cell r="B236">
            <v>872</v>
          </cell>
          <cell r="C236">
            <v>32.5221337284849</v>
          </cell>
          <cell r="D236">
            <v>0</v>
          </cell>
          <cell r="E236">
            <v>32.5221337284849</v>
          </cell>
          <cell r="F236" t="str">
            <v>自制</v>
          </cell>
          <cell r="G236" t="str">
            <v>三菱蓝瑟</v>
          </cell>
          <cell r="H236">
            <v>44</v>
          </cell>
          <cell r="I236">
            <v>43</v>
          </cell>
          <cell r="J236">
            <v>41</v>
          </cell>
          <cell r="K236">
            <v>40</v>
          </cell>
          <cell r="L236">
            <v>38</v>
          </cell>
          <cell r="M236">
            <v>36</v>
          </cell>
        </row>
        <row r="237">
          <cell r="A237" t="str">
            <v>DQ9073A1</v>
          </cell>
          <cell r="B237">
            <v>843</v>
          </cell>
          <cell r="C237">
            <v>37.3990472727273</v>
          </cell>
          <cell r="D237">
            <v>0</v>
          </cell>
          <cell r="E237">
            <v>37.3990472727273</v>
          </cell>
          <cell r="F237" t="str">
            <v>自制</v>
          </cell>
          <cell r="G237" t="str">
            <v>雪佛兰SPARK 1.4L</v>
          </cell>
          <cell r="H237">
            <v>51</v>
          </cell>
          <cell r="I237">
            <v>49</v>
          </cell>
          <cell r="J237">
            <v>47</v>
          </cell>
          <cell r="K237">
            <v>45</v>
          </cell>
          <cell r="L237">
            <v>44</v>
          </cell>
          <cell r="M237">
            <v>42</v>
          </cell>
        </row>
        <row r="238">
          <cell r="A238" t="str">
            <v>DQ910845</v>
          </cell>
          <cell r="B238">
            <v>819</v>
          </cell>
          <cell r="C238">
            <v>26.8217438654546</v>
          </cell>
          <cell r="D238">
            <v>0</v>
          </cell>
          <cell r="E238">
            <v>26.8217438654546</v>
          </cell>
          <cell r="F238" t="str">
            <v>自制</v>
          </cell>
          <cell r="G238" t="str">
            <v>丰田02245</v>
          </cell>
          <cell r="H238">
            <v>37</v>
          </cell>
          <cell r="I238">
            <v>35</v>
          </cell>
          <cell r="J238">
            <v>34</v>
          </cell>
          <cell r="K238">
            <v>33</v>
          </cell>
          <cell r="L238">
            <v>31</v>
          </cell>
          <cell r="M238">
            <v>30</v>
          </cell>
        </row>
        <row r="239">
          <cell r="A239" t="str">
            <v>DQ9113D2</v>
          </cell>
          <cell r="B239">
            <v>811</v>
          </cell>
          <cell r="C239">
            <v>26.4858787284849</v>
          </cell>
          <cell r="D239">
            <v>0</v>
          </cell>
          <cell r="E239">
            <v>26.4858787284849</v>
          </cell>
          <cell r="F239" t="str">
            <v>自制</v>
          </cell>
          <cell r="G239" t="str">
            <v>4G63/69</v>
          </cell>
          <cell r="H239">
            <v>36</v>
          </cell>
          <cell r="I239">
            <v>35</v>
          </cell>
          <cell r="J239">
            <v>34</v>
          </cell>
          <cell r="K239">
            <v>32</v>
          </cell>
          <cell r="L239">
            <v>31</v>
          </cell>
          <cell r="M239">
            <v>30</v>
          </cell>
        </row>
        <row r="240">
          <cell r="A240" t="str">
            <v>DQ9035A1</v>
          </cell>
          <cell r="B240">
            <v>801</v>
          </cell>
          <cell r="C240">
            <v>34.0116262060606</v>
          </cell>
          <cell r="D240">
            <v>0</v>
          </cell>
          <cell r="E240">
            <v>34.0116262060606</v>
          </cell>
          <cell r="F240" t="str">
            <v>自制</v>
          </cell>
          <cell r="G240" t="str">
            <v>一汽奔腾B70</v>
          </cell>
          <cell r="H240">
            <v>46</v>
          </cell>
          <cell r="I240">
            <v>45</v>
          </cell>
          <cell r="J240">
            <v>43</v>
          </cell>
          <cell r="K240">
            <v>41</v>
          </cell>
          <cell r="L240">
            <v>40</v>
          </cell>
          <cell r="M240">
            <v>38</v>
          </cell>
        </row>
        <row r="241">
          <cell r="A241" t="str">
            <v>DQ9101Z</v>
          </cell>
          <cell r="B241">
            <v>800</v>
          </cell>
          <cell r="C241">
            <v>20.0222813427377</v>
          </cell>
          <cell r="D241">
            <v>0</v>
          </cell>
          <cell r="E241">
            <v>20.0222813427377</v>
          </cell>
          <cell r="F241" t="str">
            <v>自制</v>
          </cell>
          <cell r="G241" t="str">
            <v>新胜达 2.7L（三插）</v>
          </cell>
          <cell r="H241">
            <v>28</v>
          </cell>
          <cell r="I241">
            <v>27</v>
          </cell>
          <cell r="J241">
            <v>26</v>
          </cell>
          <cell r="K241">
            <v>25</v>
          </cell>
          <cell r="L241">
            <v>24</v>
          </cell>
          <cell r="M241">
            <v>23</v>
          </cell>
        </row>
        <row r="242">
          <cell r="A242" t="str">
            <v>DQ9217A</v>
          </cell>
          <cell r="B242">
            <v>789</v>
          </cell>
          <cell r="C242">
            <v>32.2630812727273</v>
          </cell>
          <cell r="D242">
            <v>0</v>
          </cell>
          <cell r="E242">
            <v>32.2630812727273</v>
          </cell>
          <cell r="F242" t="str">
            <v>自制</v>
          </cell>
          <cell r="G242" t="str">
            <v>海马 福美来1.8</v>
          </cell>
          <cell r="H242">
            <v>44</v>
          </cell>
          <cell r="I242">
            <v>42</v>
          </cell>
          <cell r="J242">
            <v>41</v>
          </cell>
          <cell r="K242">
            <v>39</v>
          </cell>
          <cell r="L242">
            <v>38</v>
          </cell>
          <cell r="M242">
            <v>36</v>
          </cell>
        </row>
        <row r="243">
          <cell r="A243" t="str">
            <v>DQ9025E1</v>
          </cell>
          <cell r="B243">
            <v>789</v>
          </cell>
          <cell r="C243">
            <v>89</v>
          </cell>
          <cell r="D243">
            <v>-3.169</v>
          </cell>
          <cell r="E243">
            <v>92.169</v>
          </cell>
          <cell r="F243" t="str">
            <v>调货</v>
          </cell>
          <cell r="G243" t="str">
            <v>奔驰A2769067900</v>
          </cell>
          <cell r="H243">
            <v>106</v>
          </cell>
          <cell r="I243">
            <v>105</v>
          </cell>
          <cell r="J243">
            <v>103</v>
          </cell>
          <cell r="K243">
            <v>101</v>
          </cell>
          <cell r="L243">
            <v>100</v>
          </cell>
          <cell r="M243">
            <v>98</v>
          </cell>
        </row>
        <row r="244">
          <cell r="A244" t="str">
            <v>DQ9016C1</v>
          </cell>
          <cell r="B244">
            <v>778</v>
          </cell>
          <cell r="C244">
            <v>43.659</v>
          </cell>
          <cell r="D244">
            <v>0</v>
          </cell>
          <cell r="E244">
            <v>43.659</v>
          </cell>
          <cell r="F244" t="str">
            <v>调货</v>
          </cell>
          <cell r="G244" t="str">
            <v>别克英朗1.0T</v>
          </cell>
          <cell r="H244">
            <v>52</v>
          </cell>
          <cell r="I244">
            <v>52</v>
          </cell>
          <cell r="J244">
            <v>51</v>
          </cell>
          <cell r="K244">
            <v>50</v>
          </cell>
          <cell r="L244">
            <v>49</v>
          </cell>
          <cell r="M244">
            <v>49</v>
          </cell>
        </row>
        <row r="245">
          <cell r="A245" t="str">
            <v>DQ9051A1</v>
          </cell>
          <cell r="B245">
            <v>771</v>
          </cell>
          <cell r="C245">
            <v>32.5</v>
          </cell>
          <cell r="D245">
            <v>7.7150062545455</v>
          </cell>
          <cell r="E245">
            <v>24.7849937454545</v>
          </cell>
          <cell r="F245" t="str">
            <v>自制</v>
          </cell>
          <cell r="G245" t="str">
            <v>双龙柯兰多</v>
          </cell>
          <cell r="H245">
            <v>44</v>
          </cell>
          <cell r="I245">
            <v>43</v>
          </cell>
          <cell r="J245">
            <v>41</v>
          </cell>
          <cell r="K245">
            <v>39</v>
          </cell>
          <cell r="L245">
            <v>38</v>
          </cell>
          <cell r="M245">
            <v>36</v>
          </cell>
        </row>
        <row r="246">
          <cell r="A246" t="str">
            <v>DQ9216A</v>
          </cell>
          <cell r="B246">
            <v>765</v>
          </cell>
          <cell r="C246">
            <v>23.3540910727273</v>
          </cell>
          <cell r="D246">
            <v>0</v>
          </cell>
          <cell r="E246">
            <v>23.3540910727273</v>
          </cell>
          <cell r="F246" t="str">
            <v>自制</v>
          </cell>
          <cell r="G246" t="str">
            <v>荣威550 1.8红杆</v>
          </cell>
          <cell r="H246">
            <v>32</v>
          </cell>
          <cell r="I246">
            <v>31</v>
          </cell>
          <cell r="J246">
            <v>30</v>
          </cell>
          <cell r="K246">
            <v>29</v>
          </cell>
          <cell r="L246">
            <v>27</v>
          </cell>
          <cell r="M246">
            <v>26</v>
          </cell>
        </row>
        <row r="247">
          <cell r="A247" t="str">
            <v>DQ9037C3</v>
          </cell>
          <cell r="B247">
            <v>759</v>
          </cell>
          <cell r="C247">
            <v>32.0194388787879</v>
          </cell>
          <cell r="D247">
            <v>0</v>
          </cell>
          <cell r="E247">
            <v>32.0194388787879</v>
          </cell>
          <cell r="F247" t="str">
            <v>自制</v>
          </cell>
          <cell r="G247" t="str">
            <v>东风小康</v>
          </cell>
          <cell r="H247">
            <v>44</v>
          </cell>
          <cell r="I247">
            <v>42</v>
          </cell>
          <cell r="J247">
            <v>41</v>
          </cell>
          <cell r="K247">
            <v>39</v>
          </cell>
          <cell r="L247">
            <v>37</v>
          </cell>
          <cell r="M247">
            <v>36</v>
          </cell>
        </row>
        <row r="248">
          <cell r="A248" t="str">
            <v>DQ9103G1</v>
          </cell>
          <cell r="B248">
            <v>752</v>
          </cell>
          <cell r="C248">
            <v>33.0957029454546</v>
          </cell>
          <cell r="D248">
            <v>0</v>
          </cell>
          <cell r="E248">
            <v>33.0957029454546</v>
          </cell>
          <cell r="F248" t="str">
            <v>自制</v>
          </cell>
          <cell r="G248" t="str">
            <v>奥迪 A4L 2.0T</v>
          </cell>
          <cell r="H248">
            <v>45</v>
          </cell>
          <cell r="I248">
            <v>44</v>
          </cell>
          <cell r="J248">
            <v>42</v>
          </cell>
          <cell r="K248">
            <v>40</v>
          </cell>
          <cell r="L248">
            <v>39</v>
          </cell>
          <cell r="M248">
            <v>37</v>
          </cell>
        </row>
        <row r="249">
          <cell r="A249" t="str">
            <v>DQ6406</v>
          </cell>
          <cell r="B249">
            <v>741</v>
          </cell>
          <cell r="C249">
            <v>36.3668318181818</v>
          </cell>
          <cell r="D249">
            <v>0</v>
          </cell>
          <cell r="E249">
            <v>36.3668318181818</v>
          </cell>
          <cell r="F249" t="str">
            <v>自制</v>
          </cell>
          <cell r="G249" t="str">
            <v>五菱之光 西门子系统</v>
          </cell>
          <cell r="H249">
            <v>50</v>
          </cell>
          <cell r="I249">
            <v>48</v>
          </cell>
          <cell r="J249">
            <v>46</v>
          </cell>
          <cell r="K249">
            <v>44</v>
          </cell>
          <cell r="L249">
            <v>42</v>
          </cell>
          <cell r="M249">
            <v>41</v>
          </cell>
        </row>
        <row r="250">
          <cell r="A250" t="str">
            <v>DQ9217</v>
          </cell>
          <cell r="B250">
            <v>732</v>
          </cell>
          <cell r="C250">
            <v>32.1860812727273</v>
          </cell>
          <cell r="D250">
            <v>0</v>
          </cell>
          <cell r="E250">
            <v>32.1860812727273</v>
          </cell>
          <cell r="F250" t="str">
            <v>自制</v>
          </cell>
          <cell r="G250" t="str">
            <v>海马福美来1.6</v>
          </cell>
          <cell r="H250">
            <v>44</v>
          </cell>
          <cell r="I250">
            <v>42</v>
          </cell>
          <cell r="J250">
            <v>41</v>
          </cell>
          <cell r="K250">
            <v>39</v>
          </cell>
          <cell r="L250">
            <v>38</v>
          </cell>
          <cell r="M250">
            <v>36</v>
          </cell>
        </row>
        <row r="251">
          <cell r="A251" t="str">
            <v>DQ9113F1</v>
          </cell>
          <cell r="B251">
            <v>731</v>
          </cell>
          <cell r="C251">
            <v>26.3362787284848</v>
          </cell>
          <cell r="D251">
            <v>0</v>
          </cell>
          <cell r="E251">
            <v>26.3362787284848</v>
          </cell>
          <cell r="F251" t="str">
            <v>自制</v>
          </cell>
          <cell r="G251" t="str">
            <v>三菱SMART</v>
          </cell>
          <cell r="H251">
            <v>36</v>
          </cell>
          <cell r="I251">
            <v>35</v>
          </cell>
          <cell r="J251">
            <v>33</v>
          </cell>
          <cell r="K251">
            <v>32</v>
          </cell>
          <cell r="L251">
            <v>31</v>
          </cell>
          <cell r="M251">
            <v>29</v>
          </cell>
        </row>
        <row r="252">
          <cell r="A252" t="str">
            <v>DQ9103R</v>
          </cell>
          <cell r="B252">
            <v>712</v>
          </cell>
          <cell r="C252">
            <v>31.5823315818182</v>
          </cell>
          <cell r="D252">
            <v>0</v>
          </cell>
          <cell r="E252">
            <v>31.5823315818182</v>
          </cell>
          <cell r="F252" t="str">
            <v>自制</v>
          </cell>
          <cell r="G252" t="str">
            <v>奥迪3.0 红头</v>
          </cell>
          <cell r="H252">
            <v>43</v>
          </cell>
          <cell r="I252">
            <v>42</v>
          </cell>
          <cell r="J252">
            <v>40</v>
          </cell>
          <cell r="K252">
            <v>38</v>
          </cell>
          <cell r="L252">
            <v>37</v>
          </cell>
          <cell r="M252">
            <v>35</v>
          </cell>
        </row>
        <row r="253">
          <cell r="A253" t="str">
            <v>DQ9007M1</v>
          </cell>
          <cell r="B253">
            <v>705</v>
          </cell>
          <cell r="C253">
            <v>37.5382045454546</v>
          </cell>
          <cell r="D253">
            <v>0</v>
          </cell>
          <cell r="E253">
            <v>37.5382045454546</v>
          </cell>
          <cell r="F253" t="str">
            <v>自制</v>
          </cell>
          <cell r="G253" t="str">
            <v>现代伊兰特</v>
          </cell>
          <cell r="H253">
            <v>51</v>
          </cell>
          <cell r="I253">
            <v>49</v>
          </cell>
          <cell r="J253">
            <v>47</v>
          </cell>
          <cell r="K253">
            <v>46</v>
          </cell>
          <cell r="L253">
            <v>44</v>
          </cell>
          <cell r="M253">
            <v>42</v>
          </cell>
        </row>
        <row r="254">
          <cell r="A254" t="str">
            <v>DQ9037A1</v>
          </cell>
          <cell r="B254">
            <v>701</v>
          </cell>
          <cell r="C254">
            <v>31.4162852121212</v>
          </cell>
          <cell r="D254">
            <v>0</v>
          </cell>
          <cell r="E254">
            <v>31.4162852121212</v>
          </cell>
          <cell r="F254" t="str">
            <v>自制</v>
          </cell>
          <cell r="G254" t="str">
            <v>比亚迪476 (KRK)</v>
          </cell>
          <cell r="H254">
            <v>43</v>
          </cell>
          <cell r="I254">
            <v>41</v>
          </cell>
          <cell r="J254">
            <v>40</v>
          </cell>
          <cell r="K254">
            <v>38</v>
          </cell>
          <cell r="L254">
            <v>37</v>
          </cell>
          <cell r="M254">
            <v>35</v>
          </cell>
        </row>
        <row r="255">
          <cell r="A255" t="str">
            <v>DQ9035B1</v>
          </cell>
          <cell r="B255">
            <v>695</v>
          </cell>
          <cell r="C255">
            <v>37</v>
          </cell>
          <cell r="D255">
            <v>3.0840294545455</v>
          </cell>
          <cell r="E255">
            <v>33.9159705454545</v>
          </cell>
          <cell r="F255" t="str">
            <v>自制</v>
          </cell>
          <cell r="G255" t="str">
            <v>日产逍客1.2T</v>
          </cell>
          <cell r="H255">
            <v>50</v>
          </cell>
          <cell r="I255">
            <v>49</v>
          </cell>
          <cell r="J255">
            <v>47</v>
          </cell>
          <cell r="K255">
            <v>45</v>
          </cell>
          <cell r="L255">
            <v>43</v>
          </cell>
          <cell r="M255">
            <v>41</v>
          </cell>
        </row>
        <row r="256">
          <cell r="A256" t="str">
            <v>DQ9215B</v>
          </cell>
          <cell r="B256">
            <v>691</v>
          </cell>
          <cell r="C256">
            <v>26.0478172727273</v>
          </cell>
          <cell r="D256">
            <v>0</v>
          </cell>
          <cell r="E256">
            <v>26.0478172727273</v>
          </cell>
          <cell r="F256" t="str">
            <v>自制</v>
          </cell>
          <cell r="G256" t="str">
            <v>长城哈弗 H6/H5 2.0L</v>
          </cell>
          <cell r="H256">
            <v>36</v>
          </cell>
          <cell r="I256">
            <v>34</v>
          </cell>
          <cell r="J256">
            <v>33</v>
          </cell>
          <cell r="K256">
            <v>32</v>
          </cell>
          <cell r="L256">
            <v>30</v>
          </cell>
          <cell r="M256">
            <v>29</v>
          </cell>
        </row>
        <row r="257">
          <cell r="A257" t="str">
            <v>DQ9153A1</v>
          </cell>
          <cell r="B257">
            <v>679</v>
          </cell>
          <cell r="C257">
            <v>23.0363289151515</v>
          </cell>
          <cell r="D257">
            <v>0</v>
          </cell>
          <cell r="E257">
            <v>23.0363289151515</v>
          </cell>
          <cell r="F257" t="str">
            <v>自制</v>
          </cell>
          <cell r="G257" t="str">
            <v>东风风神A60</v>
          </cell>
          <cell r="H257">
            <v>32</v>
          </cell>
          <cell r="I257">
            <v>30</v>
          </cell>
          <cell r="J257">
            <v>29</v>
          </cell>
          <cell r="K257">
            <v>28</v>
          </cell>
          <cell r="L257">
            <v>27</v>
          </cell>
          <cell r="M257">
            <v>26</v>
          </cell>
        </row>
        <row r="258">
          <cell r="A258" t="str">
            <v>DQ9043A1</v>
          </cell>
          <cell r="B258">
            <v>671</v>
          </cell>
          <cell r="C258">
            <v>38.43</v>
          </cell>
          <cell r="D258">
            <v>0</v>
          </cell>
          <cell r="E258">
            <v>38.43</v>
          </cell>
          <cell r="F258" t="str">
            <v>调货</v>
          </cell>
          <cell r="G258" t="str">
            <v>北汽BJ40 2.3T</v>
          </cell>
          <cell r="H258">
            <v>46</v>
          </cell>
          <cell r="I258">
            <v>45</v>
          </cell>
          <cell r="J258">
            <v>45</v>
          </cell>
          <cell r="K258">
            <v>44</v>
          </cell>
          <cell r="L258">
            <v>44</v>
          </cell>
          <cell r="M258">
            <v>43</v>
          </cell>
        </row>
        <row r="259">
          <cell r="A259" t="str">
            <v>DQ910806</v>
          </cell>
          <cell r="B259">
            <v>661</v>
          </cell>
          <cell r="C259">
            <v>32</v>
          </cell>
          <cell r="D259">
            <v>2.2282742878788</v>
          </cell>
          <cell r="E259">
            <v>29.7717257121212</v>
          </cell>
          <cell r="F259" t="str">
            <v>自制</v>
          </cell>
          <cell r="G259" t="str">
            <v>凯美瑞</v>
          </cell>
          <cell r="H259">
            <v>44</v>
          </cell>
          <cell r="I259">
            <v>42</v>
          </cell>
          <cell r="J259">
            <v>40</v>
          </cell>
          <cell r="K259">
            <v>39</v>
          </cell>
          <cell r="L259">
            <v>37</v>
          </cell>
          <cell r="M259">
            <v>36</v>
          </cell>
        </row>
        <row r="260">
          <cell r="A260" t="str">
            <v>DQ9204A</v>
          </cell>
          <cell r="B260">
            <v>658</v>
          </cell>
          <cell r="C260">
            <v>34.8830738127273</v>
          </cell>
          <cell r="D260">
            <v>0</v>
          </cell>
          <cell r="E260">
            <v>34.8830738127273</v>
          </cell>
          <cell r="F260" t="str">
            <v>自制</v>
          </cell>
          <cell r="G260" t="str">
            <v>特拉卡</v>
          </cell>
          <cell r="H260">
            <v>48</v>
          </cell>
          <cell r="I260">
            <v>46</v>
          </cell>
          <cell r="J260">
            <v>44</v>
          </cell>
          <cell r="K260">
            <v>42</v>
          </cell>
          <cell r="L260">
            <v>41</v>
          </cell>
          <cell r="M260">
            <v>39</v>
          </cell>
        </row>
        <row r="261">
          <cell r="A261" t="str">
            <v>DQ9025H1</v>
          </cell>
          <cell r="B261">
            <v>657</v>
          </cell>
          <cell r="C261">
            <v>89</v>
          </cell>
          <cell r="D261">
            <v>-3.27925</v>
          </cell>
          <cell r="E261">
            <v>92.27925</v>
          </cell>
          <cell r="F261" t="str">
            <v>调货</v>
          </cell>
          <cell r="G261" t="str">
            <v>奔驰A2709060500</v>
          </cell>
          <cell r="H261">
            <v>106</v>
          </cell>
          <cell r="I261">
            <v>105</v>
          </cell>
          <cell r="J261">
            <v>103</v>
          </cell>
          <cell r="K261">
            <v>101</v>
          </cell>
          <cell r="L261">
            <v>100</v>
          </cell>
          <cell r="M261">
            <v>98</v>
          </cell>
        </row>
        <row r="262">
          <cell r="A262" t="str">
            <v>DQ9066A1</v>
          </cell>
          <cell r="B262">
            <v>655</v>
          </cell>
          <cell r="C262">
            <v>43.659</v>
          </cell>
          <cell r="D262">
            <v>0</v>
          </cell>
          <cell r="E262">
            <v>43.659</v>
          </cell>
          <cell r="F262" t="str">
            <v>调货</v>
          </cell>
          <cell r="G262" t="str">
            <v>吉利缤越1.5T</v>
          </cell>
          <cell r="H262">
            <v>52</v>
          </cell>
          <cell r="I262">
            <v>52</v>
          </cell>
          <cell r="J262">
            <v>51</v>
          </cell>
          <cell r="K262">
            <v>50</v>
          </cell>
          <cell r="L262">
            <v>49</v>
          </cell>
          <cell r="M262">
            <v>49</v>
          </cell>
        </row>
        <row r="263">
          <cell r="A263" t="str">
            <v>DQ9407</v>
          </cell>
          <cell r="B263">
            <v>654</v>
          </cell>
          <cell r="C263">
            <v>129.047625</v>
          </cell>
          <cell r="D263">
            <v>0</v>
          </cell>
          <cell r="E263">
            <v>129.047625</v>
          </cell>
          <cell r="F263" t="str">
            <v>调货</v>
          </cell>
          <cell r="G263" t="str">
            <v>雪佛兰索尼克</v>
          </cell>
          <cell r="H263">
            <v>154</v>
          </cell>
          <cell r="I263">
            <v>151</v>
          </cell>
          <cell r="J263">
            <v>149</v>
          </cell>
          <cell r="K263">
            <v>146</v>
          </cell>
          <cell r="L263">
            <v>145</v>
          </cell>
          <cell r="M263">
            <v>142</v>
          </cell>
        </row>
        <row r="264">
          <cell r="A264" t="str">
            <v>DQ9117A</v>
          </cell>
          <cell r="B264">
            <v>651</v>
          </cell>
          <cell r="C264">
            <v>29.6920879818182</v>
          </cell>
          <cell r="D264">
            <v>0</v>
          </cell>
          <cell r="E264">
            <v>29.6920879818182</v>
          </cell>
          <cell r="F264" t="str">
            <v>自制</v>
          </cell>
          <cell r="G264" t="str">
            <v>北斗星K14B（日立系统）</v>
          </cell>
          <cell r="H264">
            <v>41</v>
          </cell>
          <cell r="I264">
            <v>39</v>
          </cell>
          <cell r="J264">
            <v>38</v>
          </cell>
          <cell r="K264">
            <v>36</v>
          </cell>
          <cell r="L264">
            <v>35</v>
          </cell>
          <cell r="M264">
            <v>33</v>
          </cell>
        </row>
        <row r="265">
          <cell r="A265" t="str">
            <v>DQ9016F1</v>
          </cell>
          <cell r="B265">
            <v>648</v>
          </cell>
          <cell r="C265">
            <v>43.4067544727273</v>
          </cell>
          <cell r="D265">
            <v>0</v>
          </cell>
          <cell r="E265">
            <v>43.4067544727273</v>
          </cell>
          <cell r="F265" t="str">
            <v>自制</v>
          </cell>
          <cell r="G265" t="str">
            <v>昂科旗</v>
          </cell>
          <cell r="H265">
            <v>59</v>
          </cell>
          <cell r="I265">
            <v>57</v>
          </cell>
          <cell r="J265">
            <v>55</v>
          </cell>
          <cell r="K265">
            <v>53</v>
          </cell>
          <cell r="L265">
            <v>50</v>
          </cell>
          <cell r="M265">
            <v>48</v>
          </cell>
        </row>
        <row r="266">
          <cell r="A266" t="str">
            <v>DQ9213A2</v>
          </cell>
          <cell r="B266">
            <v>646</v>
          </cell>
          <cell r="C266">
            <v>25.5617732727273</v>
          </cell>
          <cell r="D266">
            <v>0</v>
          </cell>
          <cell r="E266">
            <v>25.5617732727273</v>
          </cell>
          <cell r="F266" t="str">
            <v>自制</v>
          </cell>
          <cell r="G266" t="str">
            <v>长安悦翔V3</v>
          </cell>
          <cell r="H266">
            <v>35</v>
          </cell>
          <cell r="I266">
            <v>34</v>
          </cell>
          <cell r="J266">
            <v>32</v>
          </cell>
          <cell r="K266">
            <v>31</v>
          </cell>
          <cell r="L266">
            <v>30</v>
          </cell>
          <cell r="M266">
            <v>29</v>
          </cell>
        </row>
        <row r="267">
          <cell r="A267" t="str">
            <v>DQ9045C1</v>
          </cell>
          <cell r="B267">
            <v>643</v>
          </cell>
          <cell r="C267">
            <v>35.2069657454545</v>
          </cell>
          <cell r="D267">
            <v>0</v>
          </cell>
          <cell r="E267">
            <v>35.2069657454545</v>
          </cell>
          <cell r="F267" t="str">
            <v>自制</v>
          </cell>
          <cell r="G267" t="str">
            <v>斯巴鲁傲虎 2.0T</v>
          </cell>
          <cell r="H267">
            <v>48</v>
          </cell>
          <cell r="I267">
            <v>46</v>
          </cell>
          <cell r="J267">
            <v>45</v>
          </cell>
          <cell r="K267">
            <v>43</v>
          </cell>
          <cell r="L267">
            <v>41</v>
          </cell>
          <cell r="M267">
            <v>39</v>
          </cell>
        </row>
        <row r="268">
          <cell r="A268" t="str">
            <v>DQ6107</v>
          </cell>
          <cell r="B268">
            <v>639</v>
          </cell>
          <cell r="C268">
            <v>26.953</v>
          </cell>
          <cell r="D268">
            <v>0</v>
          </cell>
          <cell r="E268">
            <v>26.953</v>
          </cell>
          <cell r="F268" t="str">
            <v>调货</v>
          </cell>
          <cell r="G268" t="str">
            <v>本田雅阁</v>
          </cell>
          <cell r="H268">
            <v>33</v>
          </cell>
          <cell r="I268">
            <v>32</v>
          </cell>
          <cell r="J268">
            <v>31</v>
          </cell>
          <cell r="K268">
            <v>31</v>
          </cell>
          <cell r="L268">
            <v>31</v>
          </cell>
          <cell r="M268">
            <v>30</v>
          </cell>
        </row>
        <row r="269">
          <cell r="A269" t="str">
            <v>DQ9130D2</v>
          </cell>
          <cell r="B269">
            <v>625</v>
          </cell>
          <cell r="C269">
            <v>24.3333641127273</v>
          </cell>
          <cell r="D269">
            <v>0</v>
          </cell>
          <cell r="E269">
            <v>24.3333641127273</v>
          </cell>
          <cell r="F269" t="str">
            <v>自制</v>
          </cell>
          <cell r="G269" t="str">
            <v>福特野马</v>
          </cell>
          <cell r="H269">
            <v>33</v>
          </cell>
          <cell r="I269">
            <v>32</v>
          </cell>
          <cell r="J269">
            <v>31</v>
          </cell>
          <cell r="K269">
            <v>30</v>
          </cell>
          <cell r="L269">
            <v>28</v>
          </cell>
          <cell r="M269">
            <v>27</v>
          </cell>
        </row>
        <row r="270">
          <cell r="A270" t="str">
            <v>DQ9212A</v>
          </cell>
          <cell r="B270">
            <v>624</v>
          </cell>
          <cell r="C270">
            <v>29.0791026727273</v>
          </cell>
          <cell r="D270">
            <v>0</v>
          </cell>
          <cell r="E270">
            <v>29.0791026727273</v>
          </cell>
          <cell r="F270" t="str">
            <v>自制</v>
          </cell>
          <cell r="G270" t="str">
            <v>中华尊驰/骏捷4G93</v>
          </cell>
          <cell r="H270">
            <v>40</v>
          </cell>
          <cell r="I270">
            <v>38</v>
          </cell>
          <cell r="J270">
            <v>37</v>
          </cell>
          <cell r="K270">
            <v>35</v>
          </cell>
          <cell r="L270">
            <v>34</v>
          </cell>
          <cell r="M270">
            <v>32</v>
          </cell>
        </row>
        <row r="271">
          <cell r="A271" t="str">
            <v>DQ9126A1</v>
          </cell>
          <cell r="B271">
            <v>618</v>
          </cell>
          <cell r="C271">
            <v>32.7716418484848</v>
          </cell>
          <cell r="D271">
            <v>0</v>
          </cell>
          <cell r="E271">
            <v>32.7716418484848</v>
          </cell>
          <cell r="F271" t="str">
            <v>自制</v>
          </cell>
          <cell r="G271" t="str">
            <v>路虎揽胜/极光</v>
          </cell>
          <cell r="H271">
            <v>45</v>
          </cell>
          <cell r="I271">
            <v>43</v>
          </cell>
          <cell r="J271">
            <v>41</v>
          </cell>
          <cell r="K271">
            <v>40</v>
          </cell>
          <cell r="L271">
            <v>38</v>
          </cell>
          <cell r="M271">
            <v>37</v>
          </cell>
        </row>
        <row r="272">
          <cell r="A272" t="str">
            <v>DQ6407B</v>
          </cell>
          <cell r="B272">
            <v>605</v>
          </cell>
          <cell r="C272">
            <v>42</v>
          </cell>
          <cell r="D272">
            <v>-0.2051478181818</v>
          </cell>
          <cell r="E272">
            <v>42.2051478181818</v>
          </cell>
          <cell r="F272" t="str">
            <v>自制</v>
          </cell>
          <cell r="G272" t="str">
            <v>嘉年华1.5</v>
          </cell>
          <cell r="H272">
            <v>57</v>
          </cell>
          <cell r="I272">
            <v>55</v>
          </cell>
          <cell r="J272">
            <v>53</v>
          </cell>
          <cell r="K272">
            <v>51</v>
          </cell>
          <cell r="L272">
            <v>49</v>
          </cell>
          <cell r="M272">
            <v>47</v>
          </cell>
        </row>
        <row r="273">
          <cell r="A273" t="str">
            <v>DQ9074A1</v>
          </cell>
          <cell r="B273">
            <v>604</v>
          </cell>
          <cell r="C273">
            <v>43.659</v>
          </cell>
          <cell r="D273">
            <v>0</v>
          </cell>
          <cell r="E273">
            <v>43.659</v>
          </cell>
          <cell r="F273" t="str">
            <v>调货</v>
          </cell>
          <cell r="G273" t="str">
            <v>广汽传祺GM8 2.0T</v>
          </cell>
          <cell r="H273">
            <v>52</v>
          </cell>
          <cell r="I273">
            <v>52</v>
          </cell>
          <cell r="J273">
            <v>51</v>
          </cell>
          <cell r="K273">
            <v>50</v>
          </cell>
          <cell r="L273">
            <v>49</v>
          </cell>
          <cell r="M273">
            <v>49</v>
          </cell>
        </row>
        <row r="274">
          <cell r="A274" t="str">
            <v>DQ4115A1</v>
          </cell>
          <cell r="B274">
            <v>600</v>
          </cell>
          <cell r="C274">
            <v>34.5501555</v>
          </cell>
          <cell r="D274">
            <v>0</v>
          </cell>
          <cell r="E274">
            <v>34.5501555</v>
          </cell>
          <cell r="F274" t="str">
            <v>调货</v>
          </cell>
          <cell r="G274" t="str">
            <v>90919-02098</v>
          </cell>
          <cell r="H274">
            <v>42</v>
          </cell>
          <cell r="I274">
            <v>41</v>
          </cell>
          <cell r="J274">
            <v>40</v>
          </cell>
          <cell r="K274">
            <v>40</v>
          </cell>
          <cell r="L274">
            <v>39</v>
          </cell>
          <cell r="M274">
            <v>39</v>
          </cell>
        </row>
        <row r="275">
          <cell r="A275" t="str">
            <v>DQ9208</v>
          </cell>
          <cell r="B275">
            <v>599</v>
          </cell>
          <cell r="C275">
            <v>34.9803782727273</v>
          </cell>
          <cell r="D275">
            <v>0</v>
          </cell>
          <cell r="E275">
            <v>34.9803782727273</v>
          </cell>
          <cell r="F275" t="str">
            <v>自制</v>
          </cell>
          <cell r="G275" t="str">
            <v>江淮瑞风 三插</v>
          </cell>
          <cell r="H275">
            <v>48</v>
          </cell>
          <cell r="I275">
            <v>46</v>
          </cell>
          <cell r="J275">
            <v>44</v>
          </cell>
          <cell r="K275">
            <v>42</v>
          </cell>
          <cell r="L275">
            <v>41</v>
          </cell>
          <cell r="M275">
            <v>39</v>
          </cell>
        </row>
        <row r="276">
          <cell r="A276" t="str">
            <v>DQ9030A2</v>
          </cell>
          <cell r="B276">
            <v>596</v>
          </cell>
          <cell r="C276">
            <v>38</v>
          </cell>
          <cell r="D276">
            <v>1.4455254545455</v>
          </cell>
          <cell r="E276">
            <v>36.5544745454545</v>
          </cell>
          <cell r="F276" t="str">
            <v>自制</v>
          </cell>
          <cell r="G276" t="str">
            <v>比亚迪S7(灰色杆）</v>
          </cell>
          <cell r="H276">
            <v>52</v>
          </cell>
          <cell r="I276">
            <v>50</v>
          </cell>
          <cell r="J276">
            <v>48</v>
          </cell>
          <cell r="K276">
            <v>46</v>
          </cell>
          <cell r="L276">
            <v>44</v>
          </cell>
          <cell r="M276">
            <v>42</v>
          </cell>
        </row>
        <row r="277">
          <cell r="A277" t="str">
            <v>DQ9209L</v>
          </cell>
          <cell r="B277">
            <v>595</v>
          </cell>
          <cell r="C277">
            <v>23.2169452727273</v>
          </cell>
          <cell r="D277">
            <v>0</v>
          </cell>
          <cell r="E277">
            <v>23.2169452727273</v>
          </cell>
          <cell r="F277" t="str">
            <v>自制</v>
          </cell>
          <cell r="G277" t="str">
            <v>菱悦V3</v>
          </cell>
          <cell r="H277">
            <v>32</v>
          </cell>
          <cell r="I277">
            <v>31</v>
          </cell>
          <cell r="J277">
            <v>30</v>
          </cell>
          <cell r="K277">
            <v>28</v>
          </cell>
          <cell r="L277">
            <v>27</v>
          </cell>
          <cell r="M277">
            <v>26</v>
          </cell>
        </row>
        <row r="278">
          <cell r="A278" t="str">
            <v>DQ9041A1</v>
          </cell>
          <cell r="B278">
            <v>582</v>
          </cell>
          <cell r="C278">
            <v>25.3556671454546</v>
          </cell>
          <cell r="D278">
            <v>0</v>
          </cell>
          <cell r="E278">
            <v>25.3556671454546</v>
          </cell>
          <cell r="F278" t="str">
            <v>自制</v>
          </cell>
          <cell r="G278" t="str">
            <v>众泰大迈X5 1.5T</v>
          </cell>
          <cell r="H278">
            <v>35</v>
          </cell>
          <cell r="I278">
            <v>33</v>
          </cell>
          <cell r="J278">
            <v>32</v>
          </cell>
          <cell r="K278">
            <v>31</v>
          </cell>
          <cell r="L278">
            <v>30</v>
          </cell>
          <cell r="M278">
            <v>28</v>
          </cell>
        </row>
        <row r="279">
          <cell r="A279" t="str">
            <v>DQ9021</v>
          </cell>
          <cell r="B279">
            <v>571</v>
          </cell>
          <cell r="C279">
            <v>24.2853693454546</v>
          </cell>
          <cell r="D279">
            <v>0</v>
          </cell>
          <cell r="E279">
            <v>24.2853693454546</v>
          </cell>
          <cell r="F279" t="str">
            <v>自制</v>
          </cell>
          <cell r="G279" t="str">
            <v>比亚迪F0</v>
          </cell>
          <cell r="H279">
            <v>33</v>
          </cell>
          <cell r="I279">
            <v>32</v>
          </cell>
          <cell r="J279">
            <v>31</v>
          </cell>
          <cell r="K279">
            <v>30</v>
          </cell>
          <cell r="L279">
            <v>28</v>
          </cell>
          <cell r="M279">
            <v>27</v>
          </cell>
        </row>
        <row r="280">
          <cell r="A280" t="str">
            <v>DQ9062A1</v>
          </cell>
          <cell r="B280">
            <v>564</v>
          </cell>
          <cell r="C280">
            <v>43.659</v>
          </cell>
          <cell r="D280">
            <v>0</v>
          </cell>
          <cell r="E280">
            <v>43.659</v>
          </cell>
          <cell r="F280" t="str">
            <v>调货</v>
          </cell>
          <cell r="G280" t="str">
            <v>东风风行 风行M7</v>
          </cell>
          <cell r="H280">
            <v>52</v>
          </cell>
          <cell r="I280">
            <v>52</v>
          </cell>
          <cell r="J280">
            <v>51</v>
          </cell>
          <cell r="K280">
            <v>50</v>
          </cell>
          <cell r="L280">
            <v>49</v>
          </cell>
          <cell r="M280">
            <v>49</v>
          </cell>
        </row>
        <row r="281">
          <cell r="A281" t="str">
            <v>DQ9013</v>
          </cell>
          <cell r="B281">
            <v>555</v>
          </cell>
          <cell r="C281">
            <v>41.58</v>
          </cell>
          <cell r="D281">
            <v>0</v>
          </cell>
          <cell r="E281">
            <v>41.58</v>
          </cell>
          <cell r="F281" t="str">
            <v>调货</v>
          </cell>
          <cell r="G281" t="str">
            <v>铃木（笔式）</v>
          </cell>
          <cell r="H281">
            <v>50</v>
          </cell>
          <cell r="I281">
            <v>49</v>
          </cell>
          <cell r="J281">
            <v>48</v>
          </cell>
          <cell r="K281">
            <v>47</v>
          </cell>
          <cell r="L281">
            <v>47</v>
          </cell>
          <cell r="M281">
            <v>46</v>
          </cell>
        </row>
        <row r="282">
          <cell r="A282" t="str">
            <v>DQ9003H8</v>
          </cell>
          <cell r="B282">
            <v>553</v>
          </cell>
          <cell r="C282">
            <v>29.8283397454546</v>
          </cell>
          <cell r="D282">
            <v>0</v>
          </cell>
          <cell r="E282">
            <v>29.8283397454546</v>
          </cell>
          <cell r="F282" t="str">
            <v>自制</v>
          </cell>
          <cell r="G282" t="str">
            <v>SM3 2.0</v>
          </cell>
          <cell r="H282">
            <v>41</v>
          </cell>
          <cell r="I282">
            <v>39</v>
          </cell>
          <cell r="J282">
            <v>38</v>
          </cell>
          <cell r="K282">
            <v>36</v>
          </cell>
          <cell r="L282">
            <v>35</v>
          </cell>
          <cell r="M282">
            <v>33</v>
          </cell>
        </row>
        <row r="283">
          <cell r="A283" t="str">
            <v>DQ9118</v>
          </cell>
          <cell r="B283">
            <v>551</v>
          </cell>
          <cell r="C283">
            <v>31.8119380254546</v>
          </cell>
          <cell r="D283">
            <v>0</v>
          </cell>
          <cell r="E283">
            <v>31.8119380254546</v>
          </cell>
          <cell r="F283" t="str">
            <v>自制</v>
          </cell>
          <cell r="G283" t="str">
            <v>夏利N5</v>
          </cell>
          <cell r="H283">
            <v>43</v>
          </cell>
          <cell r="I283">
            <v>42</v>
          </cell>
          <cell r="J283">
            <v>40</v>
          </cell>
          <cell r="K283">
            <v>39</v>
          </cell>
          <cell r="L283">
            <v>37</v>
          </cell>
          <cell r="M283">
            <v>35</v>
          </cell>
        </row>
        <row r="284">
          <cell r="A284" t="str">
            <v>DQ9031E1</v>
          </cell>
          <cell r="B284">
            <v>551</v>
          </cell>
          <cell r="C284">
            <v>40</v>
          </cell>
          <cell r="D284">
            <v>1.5433724545454</v>
          </cell>
          <cell r="E284">
            <v>38.4566275454546</v>
          </cell>
          <cell r="F284" t="str">
            <v>自制</v>
          </cell>
          <cell r="G284" t="str">
            <v>MG6 1.5T</v>
          </cell>
          <cell r="H284">
            <v>54</v>
          </cell>
          <cell r="I284">
            <v>52</v>
          </cell>
          <cell r="J284">
            <v>50</v>
          </cell>
          <cell r="K284">
            <v>48</v>
          </cell>
          <cell r="L284">
            <v>46</v>
          </cell>
          <cell r="M284">
            <v>44</v>
          </cell>
        </row>
        <row r="285">
          <cell r="A285" t="str">
            <v>DQ9002A</v>
          </cell>
          <cell r="B285">
            <v>544</v>
          </cell>
          <cell r="C285">
            <v>20.9316321454545</v>
          </cell>
          <cell r="D285">
            <v>0</v>
          </cell>
          <cell r="E285">
            <v>20.9316321454545</v>
          </cell>
          <cell r="F285" t="str">
            <v>自制</v>
          </cell>
          <cell r="G285" t="str">
            <v>马六两插</v>
          </cell>
          <cell r="H285">
            <v>29</v>
          </cell>
          <cell r="I285">
            <v>28</v>
          </cell>
          <cell r="J285">
            <v>27</v>
          </cell>
          <cell r="K285">
            <v>26</v>
          </cell>
          <cell r="L285">
            <v>25</v>
          </cell>
          <cell r="M285">
            <v>24</v>
          </cell>
        </row>
        <row r="286">
          <cell r="A286" t="str">
            <v>DQ9215A</v>
          </cell>
          <cell r="B286">
            <v>541</v>
          </cell>
          <cell r="C286">
            <v>25.0903772727273</v>
          </cell>
          <cell r="D286">
            <v>0</v>
          </cell>
          <cell r="E286">
            <v>25.0903772727273</v>
          </cell>
          <cell r="F286" t="str">
            <v>自制</v>
          </cell>
          <cell r="G286" t="str">
            <v>比亚迪F3</v>
          </cell>
          <cell r="H286">
            <v>34</v>
          </cell>
          <cell r="I286">
            <v>33</v>
          </cell>
          <cell r="J286">
            <v>32</v>
          </cell>
          <cell r="K286">
            <v>31</v>
          </cell>
          <cell r="L286">
            <v>29</v>
          </cell>
          <cell r="M286">
            <v>28</v>
          </cell>
        </row>
        <row r="287">
          <cell r="A287" t="str">
            <v>DQ9130D1</v>
          </cell>
          <cell r="B287">
            <v>538</v>
          </cell>
          <cell r="C287">
            <v>23.6986641127273</v>
          </cell>
          <cell r="D287">
            <v>0</v>
          </cell>
          <cell r="E287">
            <v>23.6986641127273</v>
          </cell>
          <cell r="F287" t="str">
            <v>自制</v>
          </cell>
          <cell r="G287" t="str">
            <v>福特林肯</v>
          </cell>
          <cell r="H287">
            <v>32</v>
          </cell>
          <cell r="I287">
            <v>31</v>
          </cell>
          <cell r="J287">
            <v>30</v>
          </cell>
          <cell r="K287">
            <v>29</v>
          </cell>
          <cell r="L287">
            <v>28</v>
          </cell>
          <cell r="M287">
            <v>27</v>
          </cell>
        </row>
        <row r="288">
          <cell r="A288" t="str">
            <v>DQ9007L1</v>
          </cell>
          <cell r="B288">
            <v>530</v>
          </cell>
          <cell r="C288">
            <v>33.3407667666667</v>
          </cell>
          <cell r="D288">
            <v>0</v>
          </cell>
          <cell r="E288">
            <v>33.3407667666667</v>
          </cell>
          <cell r="F288" t="str">
            <v>自制</v>
          </cell>
          <cell r="G288" t="str">
            <v>现代IX35</v>
          </cell>
          <cell r="H288">
            <v>46</v>
          </cell>
          <cell r="I288">
            <v>44</v>
          </cell>
          <cell r="J288">
            <v>42</v>
          </cell>
          <cell r="K288">
            <v>41</v>
          </cell>
          <cell r="L288">
            <v>39</v>
          </cell>
          <cell r="M288">
            <v>37</v>
          </cell>
        </row>
        <row r="289">
          <cell r="A289" t="str">
            <v>DQ9132C1</v>
          </cell>
          <cell r="B289">
            <v>521</v>
          </cell>
          <cell r="C289">
            <v>31.6867733454546</v>
          </cell>
          <cell r="D289">
            <v>0</v>
          </cell>
          <cell r="E289">
            <v>31.6867733454546</v>
          </cell>
          <cell r="F289" t="str">
            <v>自制</v>
          </cell>
          <cell r="G289" t="str">
            <v>一汽森雅M80  1.5L</v>
          </cell>
          <cell r="H289">
            <v>43</v>
          </cell>
          <cell r="I289">
            <v>42</v>
          </cell>
          <cell r="J289">
            <v>40</v>
          </cell>
          <cell r="K289">
            <v>39</v>
          </cell>
          <cell r="L289">
            <v>37</v>
          </cell>
          <cell r="M289">
            <v>35</v>
          </cell>
        </row>
        <row r="290">
          <cell r="A290" t="str">
            <v>DQ9209K2</v>
          </cell>
          <cell r="B290">
            <v>519</v>
          </cell>
          <cell r="C290">
            <v>29.0288172727273</v>
          </cell>
          <cell r="D290">
            <v>0</v>
          </cell>
          <cell r="E290">
            <v>29.0288172727273</v>
          </cell>
          <cell r="F290" t="str">
            <v>自制</v>
          </cell>
          <cell r="G290" t="str">
            <v>长安CS75</v>
          </cell>
          <cell r="H290">
            <v>40</v>
          </cell>
          <cell r="I290">
            <v>38</v>
          </cell>
          <cell r="J290">
            <v>37</v>
          </cell>
          <cell r="K290">
            <v>35</v>
          </cell>
          <cell r="L290">
            <v>34</v>
          </cell>
          <cell r="M290">
            <v>32</v>
          </cell>
        </row>
        <row r="291">
          <cell r="A291" t="str">
            <v>DQ9132H1</v>
          </cell>
          <cell r="B291">
            <v>518</v>
          </cell>
          <cell r="C291">
            <v>32.0193920121212</v>
          </cell>
          <cell r="D291">
            <v>0</v>
          </cell>
          <cell r="E291">
            <v>32.0193920121212</v>
          </cell>
          <cell r="F291" t="str">
            <v>自制</v>
          </cell>
          <cell r="G291" t="str">
            <v>丰田Agya (9004A-19005)</v>
          </cell>
          <cell r="H291">
            <v>44</v>
          </cell>
          <cell r="I291">
            <v>42</v>
          </cell>
          <cell r="J291">
            <v>41</v>
          </cell>
          <cell r="K291">
            <v>39</v>
          </cell>
          <cell r="L291">
            <v>37</v>
          </cell>
          <cell r="M291">
            <v>36</v>
          </cell>
        </row>
        <row r="292">
          <cell r="A292" t="str">
            <v>DQ9162A1</v>
          </cell>
          <cell r="B292">
            <v>516</v>
          </cell>
          <cell r="C292">
            <v>57.407175</v>
          </cell>
          <cell r="D292">
            <v>0</v>
          </cell>
          <cell r="E292">
            <v>57.407175</v>
          </cell>
          <cell r="F292" t="str">
            <v>调货</v>
          </cell>
          <cell r="G292" t="str">
            <v>吉普道奇</v>
          </cell>
          <cell r="H292">
            <v>69</v>
          </cell>
          <cell r="I292">
            <v>68</v>
          </cell>
          <cell r="J292">
            <v>67</v>
          </cell>
          <cell r="K292">
            <v>65</v>
          </cell>
          <cell r="L292">
            <v>65</v>
          </cell>
          <cell r="M292">
            <v>64</v>
          </cell>
        </row>
        <row r="293">
          <cell r="A293" t="str">
            <v>DQ9034A4</v>
          </cell>
          <cell r="B293">
            <v>512</v>
          </cell>
          <cell r="C293">
            <v>29.5937252727273</v>
          </cell>
          <cell r="D293">
            <v>0</v>
          </cell>
          <cell r="E293">
            <v>29.5937252727273</v>
          </cell>
          <cell r="F293" t="str">
            <v>自制</v>
          </cell>
          <cell r="G293" t="str">
            <v>纳智捷优6 1.8T</v>
          </cell>
          <cell r="H293">
            <v>40</v>
          </cell>
          <cell r="I293">
            <v>39</v>
          </cell>
          <cell r="J293">
            <v>37</v>
          </cell>
          <cell r="K293">
            <v>36</v>
          </cell>
          <cell r="L293">
            <v>35</v>
          </cell>
          <cell r="M293">
            <v>33</v>
          </cell>
        </row>
        <row r="294">
          <cell r="A294" t="str">
            <v>DQ4105A1</v>
          </cell>
          <cell r="B294">
            <v>510</v>
          </cell>
          <cell r="C294">
            <v>33.349144</v>
          </cell>
          <cell r="D294">
            <v>0</v>
          </cell>
          <cell r="E294">
            <v>33.349144</v>
          </cell>
          <cell r="F294" t="str">
            <v>自制</v>
          </cell>
          <cell r="G294" t="str">
            <v>雪佛兰科迈罗</v>
          </cell>
          <cell r="H294">
            <v>46</v>
          </cell>
          <cell r="I294">
            <v>44</v>
          </cell>
          <cell r="J294">
            <v>42</v>
          </cell>
          <cell r="K294">
            <v>41</v>
          </cell>
          <cell r="L294">
            <v>39</v>
          </cell>
          <cell r="M294">
            <v>37</v>
          </cell>
        </row>
        <row r="295">
          <cell r="A295" t="str">
            <v>DQ9025F1</v>
          </cell>
          <cell r="B295">
            <v>509</v>
          </cell>
          <cell r="C295">
            <v>68.5</v>
          </cell>
          <cell r="D295">
            <v>0.417901427272696</v>
          </cell>
          <cell r="E295">
            <v>68.0820985727273</v>
          </cell>
          <cell r="F295" t="str">
            <v>自制</v>
          </cell>
          <cell r="G295" t="str">
            <v>奔驰S400L(新奔驰276系列)</v>
          </cell>
          <cell r="H295">
            <v>93</v>
          </cell>
          <cell r="I295">
            <v>90</v>
          </cell>
          <cell r="J295">
            <v>86</v>
          </cell>
          <cell r="K295">
            <v>83</v>
          </cell>
          <cell r="L295">
            <v>79</v>
          </cell>
          <cell r="M295">
            <v>76</v>
          </cell>
        </row>
        <row r="296">
          <cell r="A296" t="str">
            <v>DQ9017A1</v>
          </cell>
          <cell r="B296">
            <v>504</v>
          </cell>
          <cell r="C296">
            <v>35</v>
          </cell>
          <cell r="D296">
            <v>0.0644538012121032</v>
          </cell>
          <cell r="E296">
            <v>34.9355461987879</v>
          </cell>
          <cell r="F296" t="str">
            <v>自制</v>
          </cell>
          <cell r="G296" t="str">
            <v>沃尔沃</v>
          </cell>
          <cell r="H296">
            <v>48</v>
          </cell>
          <cell r="I296">
            <v>46</v>
          </cell>
          <cell r="J296">
            <v>44</v>
          </cell>
          <cell r="K296">
            <v>42</v>
          </cell>
          <cell r="L296">
            <v>41</v>
          </cell>
          <cell r="M296">
            <v>39</v>
          </cell>
        </row>
        <row r="297">
          <cell r="A297" t="str">
            <v>DQ9068A1</v>
          </cell>
          <cell r="B297">
            <v>503</v>
          </cell>
          <cell r="C297">
            <v>45.864</v>
          </cell>
          <cell r="D297">
            <v>0</v>
          </cell>
          <cell r="E297">
            <v>45.864</v>
          </cell>
          <cell r="F297" t="str">
            <v>调货</v>
          </cell>
          <cell r="G297" t="str">
            <v>宝沃BX5 1.4T /福田伽途GT 1.4T</v>
          </cell>
          <cell r="H297">
            <v>55</v>
          </cell>
          <cell r="I297">
            <v>54</v>
          </cell>
          <cell r="J297">
            <v>53</v>
          </cell>
          <cell r="K297">
            <v>52</v>
          </cell>
          <cell r="L297">
            <v>52</v>
          </cell>
          <cell r="M297">
            <v>51</v>
          </cell>
        </row>
        <row r="298">
          <cell r="A298" t="str">
            <v>DQ9209Q</v>
          </cell>
          <cell r="B298">
            <v>495</v>
          </cell>
          <cell r="C298">
            <v>23.0600302727273</v>
          </cell>
          <cell r="D298">
            <v>0</v>
          </cell>
          <cell r="E298">
            <v>23.0600302727273</v>
          </cell>
          <cell r="F298" t="str">
            <v>自制</v>
          </cell>
          <cell r="G298" t="str">
            <v>奇瑞开瑞</v>
          </cell>
          <cell r="H298">
            <v>32</v>
          </cell>
          <cell r="I298">
            <v>30</v>
          </cell>
          <cell r="J298">
            <v>29</v>
          </cell>
          <cell r="K298">
            <v>28</v>
          </cell>
          <cell r="L298">
            <v>27</v>
          </cell>
          <cell r="M298">
            <v>26</v>
          </cell>
        </row>
        <row r="299">
          <cell r="A299" t="str">
            <v>DQ9205A2</v>
          </cell>
          <cell r="B299">
            <v>494</v>
          </cell>
          <cell r="C299">
            <v>36.3778732727273</v>
          </cell>
          <cell r="D299">
            <v>0</v>
          </cell>
          <cell r="E299">
            <v>36.3778732727273</v>
          </cell>
          <cell r="F299" t="str">
            <v>自制</v>
          </cell>
          <cell r="G299" t="str">
            <v>菱智1.5L</v>
          </cell>
          <cell r="H299">
            <v>50</v>
          </cell>
          <cell r="I299">
            <v>48</v>
          </cell>
          <cell r="J299">
            <v>46</v>
          </cell>
          <cell r="K299">
            <v>44</v>
          </cell>
          <cell r="L299">
            <v>42</v>
          </cell>
          <cell r="M299">
            <v>41</v>
          </cell>
        </row>
        <row r="300">
          <cell r="A300" t="str">
            <v>DQ9046B1</v>
          </cell>
          <cell r="B300">
            <v>492</v>
          </cell>
          <cell r="C300">
            <v>24.6378137454546</v>
          </cell>
          <cell r="D300">
            <v>0</v>
          </cell>
          <cell r="E300">
            <v>24.6378137454546</v>
          </cell>
          <cell r="F300" t="str">
            <v>自制</v>
          </cell>
          <cell r="G300" t="str">
            <v>吉利美日 2.0L</v>
          </cell>
          <cell r="H300">
            <v>34</v>
          </cell>
          <cell r="I300">
            <v>33</v>
          </cell>
          <cell r="J300">
            <v>31</v>
          </cell>
          <cell r="K300">
            <v>30</v>
          </cell>
          <cell r="L300">
            <v>29</v>
          </cell>
          <cell r="M300">
            <v>28</v>
          </cell>
        </row>
        <row r="301">
          <cell r="A301" t="str">
            <v>DQ9219C1</v>
          </cell>
          <cell r="B301">
            <v>487</v>
          </cell>
          <cell r="C301">
            <v>25.3614678727273</v>
          </cell>
          <cell r="D301">
            <v>0</v>
          </cell>
          <cell r="E301">
            <v>25.3614678727273</v>
          </cell>
          <cell r="F301" t="str">
            <v>自制</v>
          </cell>
          <cell r="G301" t="str">
            <v>瑞虎5 2.0/瑞虎3 1.6</v>
          </cell>
          <cell r="H301">
            <v>35</v>
          </cell>
          <cell r="I301">
            <v>33</v>
          </cell>
          <cell r="J301">
            <v>32</v>
          </cell>
          <cell r="K301">
            <v>31</v>
          </cell>
          <cell r="L301">
            <v>30</v>
          </cell>
          <cell r="M301">
            <v>28</v>
          </cell>
        </row>
        <row r="302">
          <cell r="A302" t="str">
            <v>DQ9132E1</v>
          </cell>
          <cell r="B302">
            <v>483</v>
          </cell>
          <cell r="C302">
            <v>30.6153144787879</v>
          </cell>
          <cell r="D302">
            <v>0</v>
          </cell>
          <cell r="E302">
            <v>30.6153144787879</v>
          </cell>
          <cell r="F302" t="str">
            <v>自制</v>
          </cell>
          <cell r="G302" t="str">
            <v>大发 米拉</v>
          </cell>
          <cell r="H302">
            <v>42</v>
          </cell>
          <cell r="I302">
            <v>40</v>
          </cell>
          <cell r="J302">
            <v>39</v>
          </cell>
          <cell r="K302">
            <v>37</v>
          </cell>
          <cell r="L302">
            <v>36</v>
          </cell>
          <cell r="M302">
            <v>34</v>
          </cell>
        </row>
        <row r="303">
          <cell r="A303" t="str">
            <v>DQ9212</v>
          </cell>
          <cell r="B303">
            <v>482</v>
          </cell>
          <cell r="C303">
            <v>26.8260826727273</v>
          </cell>
          <cell r="D303">
            <v>0</v>
          </cell>
          <cell r="E303">
            <v>26.8260826727273</v>
          </cell>
          <cell r="F303" t="str">
            <v>自制</v>
          </cell>
          <cell r="G303" t="str">
            <v>中华4G94</v>
          </cell>
          <cell r="H303">
            <v>37</v>
          </cell>
          <cell r="I303">
            <v>35</v>
          </cell>
          <cell r="J303">
            <v>34</v>
          </cell>
          <cell r="K303">
            <v>33</v>
          </cell>
          <cell r="L303">
            <v>31</v>
          </cell>
          <cell r="M303">
            <v>30</v>
          </cell>
        </row>
        <row r="304">
          <cell r="A304" t="str">
            <v>DQ9132J1</v>
          </cell>
          <cell r="B304">
            <v>476</v>
          </cell>
          <cell r="C304">
            <v>36.8005079454545</v>
          </cell>
          <cell r="D304">
            <v>0</v>
          </cell>
          <cell r="E304">
            <v>36.8005079454545</v>
          </cell>
          <cell r="F304" t="str">
            <v>自制</v>
          </cell>
          <cell r="G304" t="str">
            <v>大发B2050</v>
          </cell>
          <cell r="H304">
            <v>50</v>
          </cell>
          <cell r="I304">
            <v>48</v>
          </cell>
          <cell r="J304">
            <v>47</v>
          </cell>
          <cell r="K304">
            <v>45</v>
          </cell>
          <cell r="L304">
            <v>43</v>
          </cell>
          <cell r="M304">
            <v>41</v>
          </cell>
        </row>
        <row r="305">
          <cell r="A305" t="str">
            <v>DQ9219B1</v>
          </cell>
          <cell r="B305">
            <v>466</v>
          </cell>
          <cell r="C305">
            <v>25.8100002460606</v>
          </cell>
          <cell r="D305">
            <v>0</v>
          </cell>
          <cell r="E305">
            <v>25.8100002460606</v>
          </cell>
          <cell r="F305" t="str">
            <v>自制</v>
          </cell>
          <cell r="G305" t="str">
            <v>瑞风M3/M4</v>
          </cell>
          <cell r="H305">
            <v>35</v>
          </cell>
          <cell r="I305">
            <v>34</v>
          </cell>
          <cell r="J305">
            <v>33</v>
          </cell>
          <cell r="K305">
            <v>31</v>
          </cell>
          <cell r="L305">
            <v>30</v>
          </cell>
          <cell r="M305">
            <v>29</v>
          </cell>
        </row>
        <row r="306">
          <cell r="A306" t="str">
            <v>DQ9209S</v>
          </cell>
          <cell r="B306">
            <v>460</v>
          </cell>
          <cell r="C306">
            <v>25.6039452727273</v>
          </cell>
          <cell r="D306">
            <v>0</v>
          </cell>
          <cell r="E306">
            <v>25.6039452727273</v>
          </cell>
          <cell r="F306" t="str">
            <v>自制</v>
          </cell>
          <cell r="G306" t="str">
            <v>比亚迪S6</v>
          </cell>
          <cell r="H306">
            <v>35</v>
          </cell>
          <cell r="I306">
            <v>34</v>
          </cell>
          <cell r="J306">
            <v>33</v>
          </cell>
          <cell r="K306">
            <v>31</v>
          </cell>
          <cell r="L306">
            <v>30</v>
          </cell>
          <cell r="M306">
            <v>29</v>
          </cell>
        </row>
        <row r="307">
          <cell r="A307" t="str">
            <v>DQ9219A5</v>
          </cell>
          <cell r="B307">
            <v>460</v>
          </cell>
          <cell r="C307">
            <v>20.9414357727273</v>
          </cell>
          <cell r="D307">
            <v>0</v>
          </cell>
          <cell r="E307">
            <v>20.9414357727273</v>
          </cell>
          <cell r="F307" t="str">
            <v>自制</v>
          </cell>
          <cell r="G307" t="str">
            <v>哈飞骏意</v>
          </cell>
          <cell r="H307">
            <v>29</v>
          </cell>
          <cell r="I307">
            <v>28</v>
          </cell>
          <cell r="J307">
            <v>27</v>
          </cell>
          <cell r="K307">
            <v>26</v>
          </cell>
          <cell r="L307">
            <v>25</v>
          </cell>
          <cell r="M307">
            <v>24</v>
          </cell>
        </row>
        <row r="308">
          <cell r="A308" t="str">
            <v>DQ9130C1</v>
          </cell>
          <cell r="B308">
            <v>456</v>
          </cell>
          <cell r="C308">
            <v>26.6432638654545</v>
          </cell>
          <cell r="D308">
            <v>0</v>
          </cell>
          <cell r="E308">
            <v>26.6432638654545</v>
          </cell>
          <cell r="F308" t="str">
            <v>自制</v>
          </cell>
          <cell r="G308" t="str">
            <v>福特翼虎(美规)3.0L</v>
          </cell>
          <cell r="H308">
            <v>36</v>
          </cell>
          <cell r="I308">
            <v>35</v>
          </cell>
          <cell r="J308">
            <v>34</v>
          </cell>
          <cell r="K308">
            <v>32</v>
          </cell>
          <cell r="L308">
            <v>31</v>
          </cell>
          <cell r="M308">
            <v>30</v>
          </cell>
        </row>
        <row r="309">
          <cell r="A309" t="str">
            <v>DQ910829</v>
          </cell>
          <cell r="B309">
            <v>454</v>
          </cell>
          <cell r="C309">
            <v>29.5545598654545</v>
          </cell>
          <cell r="D309">
            <v>0</v>
          </cell>
          <cell r="E309">
            <v>29.5545598654545</v>
          </cell>
          <cell r="F309" t="str">
            <v>自制</v>
          </cell>
          <cell r="G309" t="str">
            <v>丰田02229</v>
          </cell>
          <cell r="H309">
            <v>40</v>
          </cell>
          <cell r="I309">
            <v>39</v>
          </cell>
          <cell r="J309">
            <v>37</v>
          </cell>
          <cell r="K309">
            <v>36</v>
          </cell>
          <cell r="L309">
            <v>34</v>
          </cell>
          <cell r="M309">
            <v>33</v>
          </cell>
        </row>
        <row r="310">
          <cell r="A310" t="str">
            <v>DQ9217B</v>
          </cell>
          <cell r="B310">
            <v>452</v>
          </cell>
          <cell r="C310">
            <v>32.4335812727273</v>
          </cell>
          <cell r="D310">
            <v>0</v>
          </cell>
          <cell r="E310">
            <v>32.4335812727273</v>
          </cell>
          <cell r="F310" t="str">
            <v>自制</v>
          </cell>
          <cell r="G310" t="str">
            <v>福美来短杆（国外）</v>
          </cell>
          <cell r="H310">
            <v>44</v>
          </cell>
          <cell r="I310">
            <v>43</v>
          </cell>
          <cell r="J310">
            <v>41</v>
          </cell>
          <cell r="K310">
            <v>39</v>
          </cell>
          <cell r="L310">
            <v>38</v>
          </cell>
          <cell r="M310">
            <v>36</v>
          </cell>
        </row>
        <row r="311">
          <cell r="A311" t="str">
            <v>DQ9036B1</v>
          </cell>
          <cell r="B311">
            <v>450</v>
          </cell>
          <cell r="C311">
            <v>28.5919551454546</v>
          </cell>
          <cell r="D311">
            <v>0</v>
          </cell>
          <cell r="E311">
            <v>28.5919551454546</v>
          </cell>
          <cell r="F311" t="str">
            <v>自制</v>
          </cell>
          <cell r="G311" t="str">
            <v>菲亚特</v>
          </cell>
          <cell r="H311">
            <v>39</v>
          </cell>
          <cell r="I311">
            <v>38</v>
          </cell>
          <cell r="J311">
            <v>36</v>
          </cell>
          <cell r="K311">
            <v>35</v>
          </cell>
          <cell r="L311">
            <v>33</v>
          </cell>
          <cell r="M311">
            <v>32</v>
          </cell>
        </row>
        <row r="312">
          <cell r="A312" t="str">
            <v>DQ9026A2</v>
          </cell>
          <cell r="B312">
            <v>449</v>
          </cell>
          <cell r="C312">
            <v>36</v>
          </cell>
          <cell r="D312">
            <v>3.8511090545454</v>
          </cell>
          <cell r="E312">
            <v>32.1488909454546</v>
          </cell>
          <cell r="F312" t="str">
            <v>自制</v>
          </cell>
          <cell r="G312" t="str">
            <v>捷豹 XJL(进口) 5.0L/5.0T</v>
          </cell>
          <cell r="H312">
            <v>49</v>
          </cell>
          <cell r="I312">
            <v>47</v>
          </cell>
          <cell r="J312">
            <v>45</v>
          </cell>
          <cell r="K312">
            <v>44</v>
          </cell>
          <cell r="L312">
            <v>42</v>
          </cell>
          <cell r="M312">
            <v>40</v>
          </cell>
        </row>
        <row r="313">
          <cell r="A313" t="str">
            <v>DQ9026A1</v>
          </cell>
          <cell r="B313">
            <v>448</v>
          </cell>
          <cell r="C313">
            <v>36</v>
          </cell>
          <cell r="D313">
            <v>3.1901028</v>
          </cell>
          <cell r="E313">
            <v>32.8098972</v>
          </cell>
          <cell r="F313" t="str">
            <v>自制</v>
          </cell>
          <cell r="G313" t="str">
            <v>路虎5.0T</v>
          </cell>
          <cell r="H313">
            <v>49</v>
          </cell>
          <cell r="I313">
            <v>47</v>
          </cell>
          <cell r="J313">
            <v>45</v>
          </cell>
          <cell r="K313">
            <v>44</v>
          </cell>
          <cell r="L313">
            <v>42</v>
          </cell>
          <cell r="M313">
            <v>40</v>
          </cell>
        </row>
        <row r="314">
          <cell r="A314" t="str">
            <v>DQ9062A3</v>
          </cell>
          <cell r="B314">
            <v>448</v>
          </cell>
          <cell r="C314">
            <v>43.659</v>
          </cell>
          <cell r="D314">
            <v>0</v>
          </cell>
          <cell r="E314">
            <v>43.659</v>
          </cell>
          <cell r="F314" t="str">
            <v>调货</v>
          </cell>
          <cell r="G314" t="str">
            <v>长城风骏5 2.4L</v>
          </cell>
          <cell r="H314">
            <v>52</v>
          </cell>
          <cell r="I314">
            <v>52</v>
          </cell>
          <cell r="J314">
            <v>51</v>
          </cell>
          <cell r="K314">
            <v>50</v>
          </cell>
          <cell r="L314">
            <v>49</v>
          </cell>
          <cell r="M314">
            <v>49</v>
          </cell>
        </row>
        <row r="315">
          <cell r="A315" t="str">
            <v>DQ9101C2</v>
          </cell>
          <cell r="B315">
            <v>447</v>
          </cell>
          <cell r="C315">
            <v>20.8168045151515</v>
          </cell>
          <cell r="D315">
            <v>0</v>
          </cell>
          <cell r="E315">
            <v>20.8168045151515</v>
          </cell>
          <cell r="F315" t="str">
            <v>自制</v>
          </cell>
          <cell r="G315" t="str">
            <v>现代ix35</v>
          </cell>
          <cell r="H315">
            <v>29</v>
          </cell>
          <cell r="I315">
            <v>28</v>
          </cell>
          <cell r="J315">
            <v>27</v>
          </cell>
          <cell r="K315">
            <v>25</v>
          </cell>
          <cell r="L315">
            <v>24</v>
          </cell>
          <cell r="M315">
            <v>23</v>
          </cell>
        </row>
        <row r="316">
          <cell r="A316" t="str">
            <v>DQ9209J</v>
          </cell>
          <cell r="B316">
            <v>446</v>
          </cell>
          <cell r="C316">
            <v>23.3581302727273</v>
          </cell>
          <cell r="D316">
            <v>0</v>
          </cell>
          <cell r="E316">
            <v>23.3581302727273</v>
          </cell>
          <cell r="F316" t="str">
            <v>自制</v>
          </cell>
          <cell r="G316" t="str">
            <v>吉利远景</v>
          </cell>
          <cell r="H316">
            <v>32</v>
          </cell>
          <cell r="I316">
            <v>31</v>
          </cell>
          <cell r="J316">
            <v>30</v>
          </cell>
          <cell r="K316">
            <v>29</v>
          </cell>
          <cell r="L316">
            <v>27</v>
          </cell>
          <cell r="M316">
            <v>26</v>
          </cell>
        </row>
        <row r="317">
          <cell r="A317" t="str">
            <v>DQ9010D</v>
          </cell>
          <cell r="B317">
            <v>441</v>
          </cell>
          <cell r="C317">
            <v>27.2869005454545</v>
          </cell>
          <cell r="D317">
            <v>0</v>
          </cell>
          <cell r="E317">
            <v>27.2869005454545</v>
          </cell>
          <cell r="F317" t="str">
            <v>自制</v>
          </cell>
          <cell r="G317" t="str">
            <v>新飞度</v>
          </cell>
          <cell r="H317">
            <v>37</v>
          </cell>
          <cell r="I317">
            <v>36</v>
          </cell>
          <cell r="J317">
            <v>35</v>
          </cell>
          <cell r="K317">
            <v>33</v>
          </cell>
          <cell r="L317">
            <v>32</v>
          </cell>
          <cell r="M317">
            <v>31</v>
          </cell>
        </row>
        <row r="318">
          <cell r="A318" t="str">
            <v>DQ4201A1</v>
          </cell>
          <cell r="B318">
            <v>440</v>
          </cell>
          <cell r="C318">
            <v>49.535325</v>
          </cell>
          <cell r="D318">
            <v>0</v>
          </cell>
          <cell r="E318">
            <v>49.535325</v>
          </cell>
          <cell r="F318" t="str">
            <v>调货</v>
          </cell>
          <cell r="G318" t="str">
            <v>奔驰210</v>
          </cell>
          <cell r="H318">
            <v>59</v>
          </cell>
          <cell r="I318">
            <v>58</v>
          </cell>
          <cell r="J318">
            <v>57</v>
          </cell>
          <cell r="K318">
            <v>56</v>
          </cell>
          <cell r="L318">
            <v>56</v>
          </cell>
          <cell r="M318">
            <v>55</v>
          </cell>
        </row>
        <row r="319">
          <cell r="A319" t="str">
            <v>DQ9045D1</v>
          </cell>
          <cell r="B319">
            <v>435</v>
          </cell>
          <cell r="C319">
            <v>51.3765</v>
          </cell>
          <cell r="D319">
            <v>0</v>
          </cell>
          <cell r="E319">
            <v>51.3765</v>
          </cell>
          <cell r="F319" t="str">
            <v>调货</v>
          </cell>
          <cell r="G319" t="str">
            <v>斯巴鲁森林人2.0L</v>
          </cell>
          <cell r="H319">
            <v>62</v>
          </cell>
          <cell r="I319">
            <v>61</v>
          </cell>
          <cell r="J319">
            <v>60</v>
          </cell>
          <cell r="K319">
            <v>59</v>
          </cell>
          <cell r="L319">
            <v>58</v>
          </cell>
          <cell r="M319">
            <v>57</v>
          </cell>
        </row>
        <row r="320">
          <cell r="A320" t="str">
            <v>DQ9103F</v>
          </cell>
          <cell r="B320">
            <v>434</v>
          </cell>
          <cell r="C320">
            <v>43.9321505454546</v>
          </cell>
          <cell r="D320">
            <v>0</v>
          </cell>
          <cell r="E320">
            <v>43.9321505454546</v>
          </cell>
          <cell r="F320" t="str">
            <v>自制</v>
          </cell>
          <cell r="G320" t="str">
            <v>途观 1.8T</v>
          </cell>
          <cell r="H320">
            <v>60</v>
          </cell>
          <cell r="I320">
            <v>58</v>
          </cell>
          <cell r="J320">
            <v>55</v>
          </cell>
          <cell r="K320">
            <v>53</v>
          </cell>
          <cell r="L320">
            <v>51</v>
          </cell>
          <cell r="M320">
            <v>49</v>
          </cell>
        </row>
        <row r="321">
          <cell r="A321" t="str">
            <v>DQ910804</v>
          </cell>
          <cell r="B321">
            <v>434</v>
          </cell>
          <cell r="C321">
            <v>32</v>
          </cell>
          <cell r="D321">
            <v>2.1105742878788</v>
          </cell>
          <cell r="E321">
            <v>29.8894257121212</v>
          </cell>
          <cell r="F321" t="str">
            <v>自制</v>
          </cell>
          <cell r="G321" t="str">
            <v>锐志</v>
          </cell>
          <cell r="H321">
            <v>44</v>
          </cell>
          <cell r="I321">
            <v>42</v>
          </cell>
          <cell r="J321">
            <v>40</v>
          </cell>
          <cell r="K321">
            <v>39</v>
          </cell>
          <cell r="L321">
            <v>37</v>
          </cell>
          <cell r="M321">
            <v>36</v>
          </cell>
        </row>
        <row r="322">
          <cell r="A322" t="str">
            <v>DQ9003F1</v>
          </cell>
          <cell r="B322">
            <v>425</v>
          </cell>
          <cell r="C322">
            <v>30</v>
          </cell>
          <cell r="D322">
            <v>1.3242402545455</v>
          </cell>
          <cell r="E322">
            <v>28.6757597454545</v>
          </cell>
          <cell r="F322" t="str">
            <v>自制</v>
          </cell>
          <cell r="G322" t="str">
            <v>日产 370Z  V6 3.7L/英菲尼迪</v>
          </cell>
          <cell r="H322">
            <v>41</v>
          </cell>
          <cell r="I322">
            <v>39</v>
          </cell>
          <cell r="J322">
            <v>38</v>
          </cell>
          <cell r="K322">
            <v>36</v>
          </cell>
          <cell r="L322">
            <v>35</v>
          </cell>
          <cell r="M322">
            <v>33</v>
          </cell>
        </row>
        <row r="323">
          <cell r="A323" t="str">
            <v>DQ9064A1</v>
          </cell>
          <cell r="B323">
            <v>422</v>
          </cell>
          <cell r="C323">
            <v>35.5</v>
          </cell>
          <cell r="D323">
            <v>0.516624654545403</v>
          </cell>
          <cell r="E323">
            <v>34.9833753454546</v>
          </cell>
          <cell r="F323" t="str">
            <v>自制</v>
          </cell>
          <cell r="G323" t="str">
            <v>上汽MAXUS G10</v>
          </cell>
          <cell r="H323">
            <v>48</v>
          </cell>
          <cell r="I323">
            <v>47</v>
          </cell>
          <cell r="J323">
            <v>45</v>
          </cell>
          <cell r="K323">
            <v>43</v>
          </cell>
          <cell r="L323">
            <v>41</v>
          </cell>
          <cell r="M323">
            <v>40</v>
          </cell>
        </row>
        <row r="324">
          <cell r="A324" t="str">
            <v>DQ9062A2</v>
          </cell>
          <cell r="B324">
            <v>422</v>
          </cell>
          <cell r="C324">
            <v>43.659</v>
          </cell>
          <cell r="D324">
            <v>0</v>
          </cell>
          <cell r="E324">
            <v>43.659</v>
          </cell>
          <cell r="F324" t="str">
            <v>调货</v>
          </cell>
          <cell r="G324" t="str">
            <v>新款东风柳汽</v>
          </cell>
          <cell r="H324">
            <v>52</v>
          </cell>
          <cell r="I324">
            <v>52</v>
          </cell>
          <cell r="J324">
            <v>51</v>
          </cell>
          <cell r="K324">
            <v>50</v>
          </cell>
          <cell r="L324">
            <v>49</v>
          </cell>
          <cell r="M324">
            <v>49</v>
          </cell>
        </row>
        <row r="325">
          <cell r="A325" t="str">
            <v>DQ9046A2</v>
          </cell>
          <cell r="B325">
            <v>421</v>
          </cell>
          <cell r="C325">
            <v>23.8568137454546</v>
          </cell>
          <cell r="D325">
            <v>0</v>
          </cell>
          <cell r="E325">
            <v>23.8568137454546</v>
          </cell>
          <cell r="F325" t="str">
            <v>自制</v>
          </cell>
          <cell r="G325" t="str">
            <v>力帆330 1.3L</v>
          </cell>
          <cell r="H325">
            <v>33</v>
          </cell>
          <cell r="I325">
            <v>32</v>
          </cell>
          <cell r="J325">
            <v>30</v>
          </cell>
          <cell r="K325">
            <v>29</v>
          </cell>
          <cell r="L325">
            <v>28</v>
          </cell>
          <cell r="M325">
            <v>27</v>
          </cell>
        </row>
        <row r="326">
          <cell r="A326" t="str">
            <v>DQ9132K1</v>
          </cell>
          <cell r="B326">
            <v>415</v>
          </cell>
          <cell r="C326">
            <v>37.3541238654546</v>
          </cell>
          <cell r="D326">
            <v>0</v>
          </cell>
          <cell r="E326">
            <v>37.3541238654546</v>
          </cell>
          <cell r="F326" t="str">
            <v>自制</v>
          </cell>
          <cell r="G326" t="str">
            <v>大发B2040</v>
          </cell>
          <cell r="H326">
            <v>51</v>
          </cell>
          <cell r="I326">
            <v>49</v>
          </cell>
          <cell r="J326">
            <v>47</v>
          </cell>
          <cell r="K326">
            <v>45</v>
          </cell>
          <cell r="L326">
            <v>43</v>
          </cell>
          <cell r="M326">
            <v>42</v>
          </cell>
        </row>
        <row r="327">
          <cell r="A327" t="str">
            <v>DQ9025K1</v>
          </cell>
          <cell r="B327">
            <v>407</v>
          </cell>
          <cell r="C327">
            <v>51</v>
          </cell>
          <cell r="D327">
            <v>9.6616679272727</v>
          </cell>
          <cell r="E327">
            <v>41.3383320727273</v>
          </cell>
          <cell r="F327" t="str">
            <v>自制</v>
          </cell>
          <cell r="G327" t="str">
            <v>奔驰1.3T</v>
          </cell>
          <cell r="H327">
            <v>69</v>
          </cell>
          <cell r="I327">
            <v>67</v>
          </cell>
          <cell r="J327">
            <v>64</v>
          </cell>
          <cell r="K327">
            <v>62</v>
          </cell>
          <cell r="L327">
            <v>59</v>
          </cell>
          <cell r="M327">
            <v>57</v>
          </cell>
        </row>
        <row r="328">
          <cell r="A328" t="str">
            <v>DQ9113E1</v>
          </cell>
          <cell r="B328">
            <v>403</v>
          </cell>
          <cell r="C328">
            <v>34.2093260484849</v>
          </cell>
          <cell r="D328">
            <v>0</v>
          </cell>
          <cell r="E328">
            <v>34.2093260484849</v>
          </cell>
          <cell r="F328" t="str">
            <v>自制</v>
          </cell>
          <cell r="G328" t="str">
            <v>6Y02 奔驰</v>
          </cell>
          <cell r="H328">
            <v>47</v>
          </cell>
          <cell r="I328">
            <v>45</v>
          </cell>
          <cell r="J328">
            <v>43</v>
          </cell>
          <cell r="K328">
            <v>42</v>
          </cell>
          <cell r="L328">
            <v>40</v>
          </cell>
          <cell r="M328">
            <v>38</v>
          </cell>
        </row>
        <row r="329">
          <cell r="A329" t="str">
            <v>DQ9105L</v>
          </cell>
          <cell r="B329">
            <v>396</v>
          </cell>
          <cell r="C329">
            <v>22.9525680351515</v>
          </cell>
          <cell r="D329">
            <v>0</v>
          </cell>
          <cell r="E329">
            <v>22.9525680351515</v>
          </cell>
          <cell r="F329" t="str">
            <v>自制</v>
          </cell>
          <cell r="G329" t="str">
            <v>奇瑞QQ 0.8L</v>
          </cell>
          <cell r="H329">
            <v>31</v>
          </cell>
          <cell r="I329">
            <v>30</v>
          </cell>
          <cell r="J329">
            <v>29</v>
          </cell>
          <cell r="K329">
            <v>28</v>
          </cell>
          <cell r="L329">
            <v>27</v>
          </cell>
          <cell r="M329">
            <v>26</v>
          </cell>
        </row>
        <row r="330">
          <cell r="A330" t="str">
            <v>DQ133A</v>
          </cell>
          <cell r="B330">
            <v>393</v>
          </cell>
          <cell r="C330">
            <v>49</v>
          </cell>
          <cell r="D330">
            <v>-0.853161818181803</v>
          </cell>
          <cell r="E330">
            <v>49.8531618181818</v>
          </cell>
          <cell r="F330" t="str">
            <v>自制</v>
          </cell>
          <cell r="G330" t="str">
            <v>福特(四头)</v>
          </cell>
          <cell r="H330">
            <v>67</v>
          </cell>
          <cell r="I330">
            <v>64</v>
          </cell>
          <cell r="J330">
            <v>62</v>
          </cell>
          <cell r="K330">
            <v>59</v>
          </cell>
          <cell r="L330">
            <v>57</v>
          </cell>
          <cell r="M330">
            <v>54</v>
          </cell>
        </row>
        <row r="331">
          <cell r="A331" t="str">
            <v>DQ9103H</v>
          </cell>
          <cell r="B331">
            <v>388</v>
          </cell>
          <cell r="C331">
            <v>32.7726279454545</v>
          </cell>
          <cell r="D331">
            <v>0</v>
          </cell>
          <cell r="E331">
            <v>32.7726279454545</v>
          </cell>
          <cell r="F331" t="str">
            <v>自制</v>
          </cell>
          <cell r="G331" t="str">
            <v>辉腾</v>
          </cell>
          <cell r="H331">
            <v>45</v>
          </cell>
          <cell r="I331">
            <v>43</v>
          </cell>
          <cell r="J331">
            <v>41</v>
          </cell>
          <cell r="K331">
            <v>40</v>
          </cell>
          <cell r="L331">
            <v>38</v>
          </cell>
          <cell r="M331">
            <v>37</v>
          </cell>
        </row>
        <row r="332">
          <cell r="A332" t="str">
            <v>DQ9060A1</v>
          </cell>
          <cell r="B332">
            <v>386</v>
          </cell>
          <cell r="C332">
            <v>28.5940671454546</v>
          </cell>
          <cell r="D332">
            <v>0</v>
          </cell>
          <cell r="E332">
            <v>28.5940671454546</v>
          </cell>
          <cell r="F332" t="str">
            <v>自制</v>
          </cell>
          <cell r="G332" t="str">
            <v>东风风光Ixi5</v>
          </cell>
          <cell r="H332">
            <v>39</v>
          </cell>
          <cell r="I332">
            <v>38</v>
          </cell>
          <cell r="J332">
            <v>36</v>
          </cell>
          <cell r="K332">
            <v>35</v>
          </cell>
          <cell r="L332">
            <v>33</v>
          </cell>
          <cell r="M332">
            <v>32</v>
          </cell>
        </row>
        <row r="333">
          <cell r="A333" t="str">
            <v>DQ9003A5</v>
          </cell>
          <cell r="B333">
            <v>385</v>
          </cell>
          <cell r="C333">
            <v>27.0809797454545</v>
          </cell>
          <cell r="D333">
            <v>0</v>
          </cell>
          <cell r="E333">
            <v>27.0809797454545</v>
          </cell>
          <cell r="F333" t="str">
            <v>自制</v>
          </cell>
          <cell r="G333" t="str">
            <v>SM3</v>
          </cell>
          <cell r="H333">
            <v>37</v>
          </cell>
          <cell r="I333">
            <v>36</v>
          </cell>
          <cell r="J333">
            <v>34</v>
          </cell>
          <cell r="K333">
            <v>33</v>
          </cell>
          <cell r="L333">
            <v>32</v>
          </cell>
          <cell r="M333">
            <v>30</v>
          </cell>
        </row>
        <row r="334">
          <cell r="A334" t="str">
            <v>DQ9023C2</v>
          </cell>
          <cell r="B334">
            <v>384</v>
          </cell>
          <cell r="C334">
            <v>33.3397748121212</v>
          </cell>
          <cell r="D334">
            <v>0</v>
          </cell>
          <cell r="E334">
            <v>33.3397748121212</v>
          </cell>
          <cell r="F334" t="str">
            <v>自制</v>
          </cell>
          <cell r="G334" t="str">
            <v>大众斯柯达</v>
          </cell>
          <cell r="H334">
            <v>46</v>
          </cell>
          <cell r="I334">
            <v>44</v>
          </cell>
          <cell r="J334">
            <v>42</v>
          </cell>
          <cell r="K334">
            <v>41</v>
          </cell>
          <cell r="L334">
            <v>39</v>
          </cell>
          <cell r="M334">
            <v>37</v>
          </cell>
        </row>
        <row r="335">
          <cell r="A335" t="str">
            <v>DQ9057A1</v>
          </cell>
          <cell r="B335">
            <v>376</v>
          </cell>
          <cell r="C335">
            <v>44.5</v>
          </cell>
          <cell r="D335">
            <v>0.841000000000001</v>
          </cell>
          <cell r="E335">
            <v>43.659</v>
          </cell>
          <cell r="F335" t="str">
            <v>调货</v>
          </cell>
          <cell r="G335" t="str">
            <v>比速T5</v>
          </cell>
          <cell r="H335">
            <v>53</v>
          </cell>
          <cell r="I335">
            <v>53</v>
          </cell>
          <cell r="J335">
            <v>52</v>
          </cell>
          <cell r="K335">
            <v>51</v>
          </cell>
          <cell r="L335">
            <v>50</v>
          </cell>
          <cell r="M335">
            <v>49</v>
          </cell>
        </row>
        <row r="336">
          <cell r="A336" t="str">
            <v>DQ6206</v>
          </cell>
          <cell r="B336">
            <v>375</v>
          </cell>
          <cell r="C336">
            <v>26.1765</v>
          </cell>
          <cell r="D336">
            <v>0</v>
          </cell>
          <cell r="E336">
            <v>26.1765</v>
          </cell>
          <cell r="F336" t="str">
            <v>调货</v>
          </cell>
          <cell r="G336" t="str">
            <v>三菱帕杰罗二代</v>
          </cell>
          <cell r="H336">
            <v>32</v>
          </cell>
          <cell r="I336">
            <v>31</v>
          </cell>
          <cell r="J336">
            <v>31</v>
          </cell>
          <cell r="K336">
            <v>30</v>
          </cell>
          <cell r="L336">
            <v>30</v>
          </cell>
          <cell r="M336">
            <v>29</v>
          </cell>
        </row>
        <row r="337">
          <cell r="A337" t="str">
            <v>DQ9113A</v>
          </cell>
          <cell r="B337">
            <v>371</v>
          </cell>
          <cell r="C337">
            <v>20.0746375151515</v>
          </cell>
          <cell r="D337">
            <v>0</v>
          </cell>
          <cell r="E337">
            <v>20.0746375151515</v>
          </cell>
          <cell r="F337" t="str">
            <v>自制</v>
          </cell>
          <cell r="G337" t="str">
            <v>长城嘉誉无模块</v>
          </cell>
          <cell r="H337">
            <v>28</v>
          </cell>
          <cell r="I337">
            <v>27</v>
          </cell>
          <cell r="J337">
            <v>26</v>
          </cell>
          <cell r="K337">
            <v>25</v>
          </cell>
          <cell r="L337">
            <v>24</v>
          </cell>
          <cell r="M337">
            <v>23</v>
          </cell>
        </row>
        <row r="338">
          <cell r="A338" t="str">
            <v>DQ6209</v>
          </cell>
          <cell r="B338">
            <v>371</v>
          </cell>
          <cell r="C338">
            <v>47.9115</v>
          </cell>
          <cell r="D338">
            <v>0</v>
          </cell>
          <cell r="E338">
            <v>47.9115</v>
          </cell>
          <cell r="F338" t="str">
            <v>调货</v>
          </cell>
          <cell r="G338" t="str">
            <v>丰田霸道2700</v>
          </cell>
          <cell r="H338">
            <v>58</v>
          </cell>
          <cell r="I338">
            <v>57</v>
          </cell>
          <cell r="J338">
            <v>56</v>
          </cell>
          <cell r="K338">
            <v>55</v>
          </cell>
          <cell r="L338">
            <v>54</v>
          </cell>
          <cell r="M338">
            <v>53</v>
          </cell>
        </row>
        <row r="339">
          <cell r="A339" t="str">
            <v>DQ9121A1</v>
          </cell>
          <cell r="B339">
            <v>368</v>
          </cell>
          <cell r="C339">
            <v>35.709868439394</v>
          </cell>
          <cell r="D339">
            <v>0</v>
          </cell>
          <cell r="E339">
            <v>35.709868439394</v>
          </cell>
          <cell r="F339" t="str">
            <v>自制</v>
          </cell>
          <cell r="G339" t="str">
            <v>凯迪拉克</v>
          </cell>
          <cell r="H339">
            <v>49</v>
          </cell>
          <cell r="I339">
            <v>47</v>
          </cell>
          <cell r="J339">
            <v>45</v>
          </cell>
          <cell r="K339">
            <v>43</v>
          </cell>
          <cell r="L339">
            <v>42</v>
          </cell>
          <cell r="M339">
            <v>40</v>
          </cell>
        </row>
        <row r="340">
          <cell r="A340" t="str">
            <v>DQ9150D1</v>
          </cell>
          <cell r="B340">
            <v>367</v>
          </cell>
          <cell r="C340">
            <v>52.28055</v>
          </cell>
          <cell r="D340">
            <v>0</v>
          </cell>
          <cell r="E340">
            <v>52.28055</v>
          </cell>
          <cell r="F340" t="str">
            <v>调货</v>
          </cell>
          <cell r="G340" t="str">
            <v>捷豹</v>
          </cell>
          <cell r="H340">
            <v>63</v>
          </cell>
          <cell r="I340">
            <v>62</v>
          </cell>
          <cell r="J340">
            <v>61</v>
          </cell>
          <cell r="K340">
            <v>60</v>
          </cell>
          <cell r="L340">
            <v>59</v>
          </cell>
          <cell r="M340">
            <v>58</v>
          </cell>
        </row>
        <row r="341">
          <cell r="A341" t="str">
            <v>DQ901872</v>
          </cell>
          <cell r="B341">
            <v>366</v>
          </cell>
          <cell r="C341">
            <v>50</v>
          </cell>
          <cell r="D341">
            <v>1.43267</v>
          </cell>
          <cell r="E341">
            <v>48.56733</v>
          </cell>
          <cell r="F341" t="str">
            <v>调货</v>
          </cell>
          <cell r="G341" t="str">
            <v>丰田02272</v>
          </cell>
          <cell r="H341">
            <v>60</v>
          </cell>
          <cell r="I341">
            <v>59</v>
          </cell>
          <cell r="J341">
            <v>58</v>
          </cell>
          <cell r="K341">
            <v>57</v>
          </cell>
          <cell r="L341">
            <v>56</v>
          </cell>
          <cell r="M341">
            <v>55</v>
          </cell>
        </row>
        <row r="342">
          <cell r="A342" t="str">
            <v>DQ9154A1</v>
          </cell>
          <cell r="B342">
            <v>360</v>
          </cell>
          <cell r="C342">
            <v>48.069</v>
          </cell>
          <cell r="D342">
            <v>0</v>
          </cell>
          <cell r="E342">
            <v>48.069</v>
          </cell>
          <cell r="F342" t="str">
            <v>调货</v>
          </cell>
          <cell r="G342" t="str">
            <v>斯巴鲁</v>
          </cell>
          <cell r="H342">
            <v>58</v>
          </cell>
          <cell r="I342">
            <v>57</v>
          </cell>
          <cell r="J342">
            <v>56</v>
          </cell>
          <cell r="K342">
            <v>55</v>
          </cell>
          <cell r="L342">
            <v>54</v>
          </cell>
          <cell r="M342">
            <v>53</v>
          </cell>
        </row>
        <row r="343">
          <cell r="A343" t="str">
            <v>DQ134</v>
          </cell>
          <cell r="B343">
            <v>356</v>
          </cell>
          <cell r="C343">
            <v>46.935</v>
          </cell>
          <cell r="D343">
            <v>0</v>
          </cell>
          <cell r="E343">
            <v>46.935</v>
          </cell>
          <cell r="F343" t="str">
            <v>调货</v>
          </cell>
          <cell r="G343" t="str">
            <v>蒙迪欧新款（小头）2.0</v>
          </cell>
          <cell r="H343">
            <v>56</v>
          </cell>
          <cell r="I343">
            <v>55</v>
          </cell>
          <cell r="J343">
            <v>54</v>
          </cell>
          <cell r="K343">
            <v>54</v>
          </cell>
          <cell r="L343">
            <v>53</v>
          </cell>
          <cell r="M343">
            <v>52</v>
          </cell>
        </row>
        <row r="344">
          <cell r="A344" t="str">
            <v>DQ9007K1</v>
          </cell>
          <cell r="B344">
            <v>345</v>
          </cell>
          <cell r="C344">
            <v>35.3791432454546</v>
          </cell>
          <cell r="D344">
            <v>0</v>
          </cell>
          <cell r="E344">
            <v>35.3791432454546</v>
          </cell>
          <cell r="F344" t="str">
            <v>自制</v>
          </cell>
          <cell r="G344" t="str">
            <v>现代起亚</v>
          </cell>
          <cell r="H344">
            <v>48</v>
          </cell>
          <cell r="I344">
            <v>46</v>
          </cell>
          <cell r="J344">
            <v>45</v>
          </cell>
          <cell r="K344">
            <v>43</v>
          </cell>
          <cell r="L344">
            <v>41</v>
          </cell>
          <cell r="M344">
            <v>39</v>
          </cell>
        </row>
        <row r="345">
          <cell r="A345" t="str">
            <v>DQ9102</v>
          </cell>
          <cell r="B345">
            <v>337</v>
          </cell>
          <cell r="C345">
            <v>38.6548814582445</v>
          </cell>
          <cell r="D345">
            <v>0</v>
          </cell>
          <cell r="E345">
            <v>38.6548814582445</v>
          </cell>
          <cell r="F345" t="str">
            <v>自制</v>
          </cell>
          <cell r="G345" t="str">
            <v>帕萨特1.8</v>
          </cell>
          <cell r="H345">
            <v>53</v>
          </cell>
          <cell r="I345">
            <v>51</v>
          </cell>
          <cell r="J345">
            <v>49</v>
          </cell>
          <cell r="K345">
            <v>47</v>
          </cell>
          <cell r="L345">
            <v>45</v>
          </cell>
          <cell r="M345">
            <v>43</v>
          </cell>
        </row>
        <row r="346">
          <cell r="A346" t="str">
            <v>DQ9209</v>
          </cell>
          <cell r="B346">
            <v>329</v>
          </cell>
          <cell r="C346">
            <v>25.0521302727273</v>
          </cell>
          <cell r="D346">
            <v>0</v>
          </cell>
          <cell r="E346">
            <v>25.0521302727273</v>
          </cell>
          <cell r="F346" t="str">
            <v>自制</v>
          </cell>
          <cell r="G346" t="str">
            <v>五菱杨光</v>
          </cell>
          <cell r="H346">
            <v>34</v>
          </cell>
          <cell r="I346">
            <v>33</v>
          </cell>
          <cell r="J346">
            <v>32</v>
          </cell>
          <cell r="K346">
            <v>31</v>
          </cell>
          <cell r="L346">
            <v>29</v>
          </cell>
          <cell r="M346">
            <v>28</v>
          </cell>
        </row>
        <row r="347">
          <cell r="A347" t="str">
            <v>DQ9016D1</v>
          </cell>
          <cell r="B347">
            <v>329</v>
          </cell>
          <cell r="C347">
            <v>43.659</v>
          </cell>
          <cell r="D347">
            <v>0</v>
          </cell>
          <cell r="E347">
            <v>43.659</v>
          </cell>
          <cell r="F347" t="str">
            <v>调货</v>
          </cell>
          <cell r="G347" t="str">
            <v>全新凯越1.3L 2018-</v>
          </cell>
          <cell r="H347">
            <v>52</v>
          </cell>
          <cell r="I347">
            <v>52</v>
          </cell>
          <cell r="J347">
            <v>51</v>
          </cell>
          <cell r="K347">
            <v>50</v>
          </cell>
          <cell r="L347">
            <v>49</v>
          </cell>
          <cell r="M347">
            <v>49</v>
          </cell>
        </row>
        <row r="348">
          <cell r="A348" t="str">
            <v>DQ9050B1</v>
          </cell>
          <cell r="B348">
            <v>324</v>
          </cell>
          <cell r="C348">
            <v>51.3765</v>
          </cell>
          <cell r="D348">
            <v>0</v>
          </cell>
          <cell r="E348">
            <v>51.3765</v>
          </cell>
          <cell r="F348" t="str">
            <v>调货</v>
          </cell>
          <cell r="G348" t="str">
            <v>三菱 伊柯丽斯3.8L</v>
          </cell>
          <cell r="H348">
            <v>62</v>
          </cell>
          <cell r="I348">
            <v>61</v>
          </cell>
          <cell r="J348">
            <v>60</v>
          </cell>
          <cell r="K348">
            <v>59</v>
          </cell>
          <cell r="L348">
            <v>58</v>
          </cell>
          <cell r="M348">
            <v>57</v>
          </cell>
        </row>
        <row r="349">
          <cell r="A349" t="str">
            <v>DQ9065A1</v>
          </cell>
          <cell r="B349">
            <v>320</v>
          </cell>
          <cell r="C349">
            <v>41.454</v>
          </cell>
          <cell r="D349">
            <v>0</v>
          </cell>
          <cell r="E349">
            <v>41.454</v>
          </cell>
          <cell r="F349" t="str">
            <v>调货</v>
          </cell>
          <cell r="G349" t="str">
            <v>JEEP 牧马人 Sahara 2.0T</v>
          </cell>
          <cell r="H349">
            <v>50</v>
          </cell>
          <cell r="I349">
            <v>49</v>
          </cell>
          <cell r="J349">
            <v>48</v>
          </cell>
          <cell r="K349">
            <v>47</v>
          </cell>
          <cell r="L349">
            <v>47</v>
          </cell>
          <cell r="M349">
            <v>46</v>
          </cell>
        </row>
        <row r="350">
          <cell r="A350" t="str">
            <v>DQ9113B</v>
          </cell>
          <cell r="B350">
            <v>315</v>
          </cell>
          <cell r="C350">
            <v>31.9017633818182</v>
          </cell>
          <cell r="D350">
            <v>0</v>
          </cell>
          <cell r="E350">
            <v>31.9017633818182</v>
          </cell>
          <cell r="F350" t="str">
            <v>自制</v>
          </cell>
          <cell r="G350" t="str">
            <v>三菱欧蓝德</v>
          </cell>
          <cell r="H350">
            <v>44</v>
          </cell>
          <cell r="I350">
            <v>42</v>
          </cell>
          <cell r="J350">
            <v>40</v>
          </cell>
          <cell r="K350">
            <v>39</v>
          </cell>
          <cell r="L350">
            <v>37</v>
          </cell>
          <cell r="M350">
            <v>36</v>
          </cell>
        </row>
        <row r="351">
          <cell r="A351" t="str">
            <v>DQ6208</v>
          </cell>
          <cell r="B351">
            <v>313</v>
          </cell>
          <cell r="C351">
            <v>60.648</v>
          </cell>
          <cell r="D351">
            <v>0</v>
          </cell>
          <cell r="E351">
            <v>60.648</v>
          </cell>
          <cell r="F351" t="str">
            <v>调货</v>
          </cell>
          <cell r="G351" t="str">
            <v>千里马1.6L</v>
          </cell>
          <cell r="H351">
            <v>73</v>
          </cell>
          <cell r="I351">
            <v>71</v>
          </cell>
          <cell r="J351">
            <v>70</v>
          </cell>
          <cell r="K351">
            <v>69</v>
          </cell>
          <cell r="L351">
            <v>68</v>
          </cell>
          <cell r="M351">
            <v>67</v>
          </cell>
        </row>
        <row r="352">
          <cell r="A352" t="str">
            <v>DQ9034A2</v>
          </cell>
          <cell r="B352">
            <v>310</v>
          </cell>
          <cell r="C352">
            <v>29.0660552727273</v>
          </cell>
          <cell r="D352">
            <v>0</v>
          </cell>
          <cell r="E352">
            <v>29.0660552727273</v>
          </cell>
          <cell r="F352" t="str">
            <v>自制</v>
          </cell>
          <cell r="G352" t="str">
            <v>东风纳智捷</v>
          </cell>
          <cell r="H352">
            <v>40</v>
          </cell>
          <cell r="I352">
            <v>38</v>
          </cell>
          <cell r="J352">
            <v>37</v>
          </cell>
          <cell r="K352">
            <v>35</v>
          </cell>
          <cell r="L352">
            <v>34</v>
          </cell>
          <cell r="M352">
            <v>32</v>
          </cell>
        </row>
        <row r="353">
          <cell r="A353" t="str">
            <v>DQ9035A2</v>
          </cell>
          <cell r="B353">
            <v>310</v>
          </cell>
          <cell r="C353">
            <v>34.3124762060606</v>
          </cell>
          <cell r="D353">
            <v>0</v>
          </cell>
          <cell r="E353">
            <v>34.3124762060606</v>
          </cell>
          <cell r="F353" t="str">
            <v>自制</v>
          </cell>
          <cell r="G353" t="str">
            <v>奔腾 1.8T</v>
          </cell>
          <cell r="H353">
            <v>47</v>
          </cell>
          <cell r="I353">
            <v>45</v>
          </cell>
          <cell r="J353">
            <v>43</v>
          </cell>
          <cell r="K353">
            <v>42</v>
          </cell>
          <cell r="L353">
            <v>40</v>
          </cell>
          <cell r="M353">
            <v>38</v>
          </cell>
        </row>
        <row r="354">
          <cell r="A354" t="str">
            <v>DQ9039A2</v>
          </cell>
          <cell r="B354">
            <v>310</v>
          </cell>
          <cell r="C354">
            <v>25.5654512121212</v>
          </cell>
          <cell r="D354">
            <v>0</v>
          </cell>
          <cell r="E354">
            <v>25.5654512121212</v>
          </cell>
          <cell r="F354" t="str">
            <v>自制</v>
          </cell>
          <cell r="G354" t="str">
            <v>力帆迈威 1.8L</v>
          </cell>
          <cell r="H354">
            <v>35</v>
          </cell>
          <cell r="I354">
            <v>34</v>
          </cell>
          <cell r="J354">
            <v>32</v>
          </cell>
          <cell r="K354">
            <v>31</v>
          </cell>
          <cell r="L354">
            <v>30</v>
          </cell>
          <cell r="M354">
            <v>29</v>
          </cell>
        </row>
        <row r="355">
          <cell r="A355" t="str">
            <v>DQ9135A1</v>
          </cell>
          <cell r="B355">
            <v>301</v>
          </cell>
          <cell r="C355">
            <v>28.5898175454545</v>
          </cell>
          <cell r="D355">
            <v>0</v>
          </cell>
          <cell r="E355">
            <v>28.5898175454545</v>
          </cell>
          <cell r="F355" t="str">
            <v>自制</v>
          </cell>
          <cell r="G355" t="str">
            <v>标致 1.2T</v>
          </cell>
          <cell r="H355">
            <v>39</v>
          </cell>
          <cell r="I355">
            <v>38</v>
          </cell>
          <cell r="J355">
            <v>36</v>
          </cell>
          <cell r="K355">
            <v>35</v>
          </cell>
          <cell r="L355">
            <v>33</v>
          </cell>
          <cell r="M355">
            <v>32</v>
          </cell>
        </row>
        <row r="356">
          <cell r="A356" t="str">
            <v>DQ9209D</v>
          </cell>
          <cell r="B356">
            <v>299</v>
          </cell>
          <cell r="C356">
            <v>24.0621302727273</v>
          </cell>
          <cell r="D356">
            <v>0</v>
          </cell>
          <cell r="E356">
            <v>24.0621302727273</v>
          </cell>
          <cell r="F356" t="str">
            <v>自制</v>
          </cell>
          <cell r="G356" t="str">
            <v>哈飞赛马 比亚迪 菱帅</v>
          </cell>
          <cell r="H356">
            <v>33</v>
          </cell>
          <cell r="I356">
            <v>32</v>
          </cell>
          <cell r="J356">
            <v>31</v>
          </cell>
          <cell r="K356">
            <v>29</v>
          </cell>
          <cell r="L356">
            <v>28</v>
          </cell>
          <cell r="M356">
            <v>27</v>
          </cell>
        </row>
        <row r="357">
          <cell r="A357" t="str">
            <v>DQ9056A1</v>
          </cell>
          <cell r="B357">
            <v>299</v>
          </cell>
          <cell r="C357">
            <v>26.6275201454546</v>
          </cell>
          <cell r="D357">
            <v>0</v>
          </cell>
          <cell r="E357">
            <v>26.6275201454546</v>
          </cell>
          <cell r="F357" t="str">
            <v>自制</v>
          </cell>
          <cell r="G357" t="str">
            <v>东方小康</v>
          </cell>
          <cell r="H357">
            <v>36</v>
          </cell>
          <cell r="I357">
            <v>35</v>
          </cell>
          <cell r="J357">
            <v>34</v>
          </cell>
          <cell r="K357">
            <v>32</v>
          </cell>
          <cell r="L357">
            <v>31</v>
          </cell>
          <cell r="M357">
            <v>30</v>
          </cell>
        </row>
        <row r="358">
          <cell r="A358" t="str">
            <v>DQ9040C1</v>
          </cell>
          <cell r="B358">
            <v>296</v>
          </cell>
          <cell r="C358">
            <v>26.3009140721212</v>
          </cell>
          <cell r="D358">
            <v>0</v>
          </cell>
          <cell r="E358">
            <v>26.3009140721212</v>
          </cell>
          <cell r="F358" t="str">
            <v>自制</v>
          </cell>
          <cell r="G358" t="str">
            <v>长安CS35</v>
          </cell>
          <cell r="H358">
            <v>36</v>
          </cell>
          <cell r="I358">
            <v>35</v>
          </cell>
          <cell r="J358">
            <v>33</v>
          </cell>
          <cell r="K358">
            <v>32</v>
          </cell>
          <cell r="L358">
            <v>31</v>
          </cell>
          <cell r="M358">
            <v>29</v>
          </cell>
        </row>
        <row r="359">
          <cell r="A359" t="str">
            <v>DQ9068A2</v>
          </cell>
          <cell r="B359">
            <v>284</v>
          </cell>
          <cell r="C359">
            <v>45.864</v>
          </cell>
          <cell r="D359">
            <v>0</v>
          </cell>
          <cell r="E359">
            <v>45.864</v>
          </cell>
          <cell r="F359" t="str">
            <v>调货</v>
          </cell>
          <cell r="G359" t="str">
            <v>宝沃BX5</v>
          </cell>
          <cell r="H359">
            <v>55</v>
          </cell>
          <cell r="I359">
            <v>54</v>
          </cell>
          <cell r="J359">
            <v>53</v>
          </cell>
          <cell r="K359">
            <v>52</v>
          </cell>
          <cell r="L359">
            <v>52</v>
          </cell>
          <cell r="M359">
            <v>51</v>
          </cell>
        </row>
        <row r="360">
          <cell r="A360" t="str">
            <v>DQ9007Q1</v>
          </cell>
          <cell r="B360">
            <v>284</v>
          </cell>
          <cell r="C360">
            <v>36.2069130454545</v>
          </cell>
          <cell r="D360">
            <v>0</v>
          </cell>
          <cell r="E360">
            <v>36.2069130454545</v>
          </cell>
          <cell r="F360" t="str">
            <v>自制</v>
          </cell>
          <cell r="G360" t="str">
            <v>现代起亚</v>
          </cell>
          <cell r="H360">
            <v>49</v>
          </cell>
          <cell r="I360">
            <v>48</v>
          </cell>
          <cell r="J360">
            <v>46</v>
          </cell>
          <cell r="K360">
            <v>44</v>
          </cell>
          <cell r="L360">
            <v>42</v>
          </cell>
          <cell r="M360">
            <v>40</v>
          </cell>
        </row>
        <row r="361">
          <cell r="A361" t="str">
            <v>DQ9003K1</v>
          </cell>
          <cell r="B361">
            <v>280</v>
          </cell>
          <cell r="C361">
            <v>45.864</v>
          </cell>
          <cell r="D361">
            <v>0</v>
          </cell>
          <cell r="E361">
            <v>45.864</v>
          </cell>
          <cell r="F361" t="str">
            <v>调货</v>
          </cell>
          <cell r="G361">
            <v>0</v>
          </cell>
          <cell r="H361">
            <v>55</v>
          </cell>
          <cell r="I361">
            <v>54</v>
          </cell>
          <cell r="J361">
            <v>53</v>
          </cell>
          <cell r="K361">
            <v>52</v>
          </cell>
          <cell r="L361">
            <v>52</v>
          </cell>
          <cell r="M361">
            <v>51</v>
          </cell>
        </row>
        <row r="362">
          <cell r="A362" t="str">
            <v>DQ6108A</v>
          </cell>
          <cell r="B362">
            <v>274</v>
          </cell>
          <cell r="C362">
            <v>29.361675</v>
          </cell>
          <cell r="D362">
            <v>0</v>
          </cell>
          <cell r="E362">
            <v>29.361675</v>
          </cell>
          <cell r="F362" t="str">
            <v>调货</v>
          </cell>
          <cell r="G362" t="str">
            <v>丰田</v>
          </cell>
          <cell r="H362">
            <v>35</v>
          </cell>
          <cell r="I362">
            <v>35</v>
          </cell>
          <cell r="J362">
            <v>34</v>
          </cell>
          <cell r="K362">
            <v>34</v>
          </cell>
          <cell r="L362">
            <v>33</v>
          </cell>
          <cell r="M362">
            <v>33</v>
          </cell>
        </row>
        <row r="363">
          <cell r="A363" t="str">
            <v>DQ6109</v>
          </cell>
          <cell r="B363">
            <v>269</v>
          </cell>
          <cell r="C363">
            <v>23.9243385909091</v>
          </cell>
          <cell r="D363">
            <v>0</v>
          </cell>
          <cell r="E363">
            <v>23.9243385909091</v>
          </cell>
          <cell r="F363" t="str">
            <v>自制</v>
          </cell>
          <cell r="G363" t="str">
            <v>奇瑞QQ0.8（老）</v>
          </cell>
          <cell r="H363">
            <v>33</v>
          </cell>
          <cell r="I363">
            <v>32</v>
          </cell>
          <cell r="J363">
            <v>30</v>
          </cell>
          <cell r="K363">
            <v>29</v>
          </cell>
          <cell r="L363">
            <v>28</v>
          </cell>
          <cell r="M363">
            <v>27</v>
          </cell>
        </row>
        <row r="364">
          <cell r="A364" t="str">
            <v>DQ6206A</v>
          </cell>
          <cell r="B364">
            <v>262</v>
          </cell>
          <cell r="C364">
            <v>28.2765</v>
          </cell>
          <cell r="D364">
            <v>0</v>
          </cell>
          <cell r="E364">
            <v>28.2765</v>
          </cell>
          <cell r="F364" t="str">
            <v>调货</v>
          </cell>
          <cell r="G364" t="str">
            <v>三菱 速跑 猎豹</v>
          </cell>
          <cell r="H364">
            <v>34</v>
          </cell>
          <cell r="I364">
            <v>34</v>
          </cell>
          <cell r="J364">
            <v>33</v>
          </cell>
          <cell r="K364">
            <v>32</v>
          </cell>
          <cell r="L364">
            <v>32</v>
          </cell>
          <cell r="M364">
            <v>32</v>
          </cell>
        </row>
        <row r="365">
          <cell r="A365" t="str">
            <v>DQ9007C3</v>
          </cell>
          <cell r="B365">
            <v>260</v>
          </cell>
          <cell r="C365">
            <v>33.4158797454546</v>
          </cell>
          <cell r="D365">
            <v>0</v>
          </cell>
          <cell r="E365">
            <v>33.4158797454546</v>
          </cell>
          <cell r="F365" t="str">
            <v>自制</v>
          </cell>
          <cell r="G365" t="str">
            <v>起亚K3极睿</v>
          </cell>
          <cell r="H365">
            <v>46</v>
          </cell>
          <cell r="I365">
            <v>44</v>
          </cell>
          <cell r="J365">
            <v>42</v>
          </cell>
          <cell r="K365">
            <v>41</v>
          </cell>
          <cell r="L365">
            <v>39</v>
          </cell>
          <cell r="M365">
            <v>37</v>
          </cell>
        </row>
        <row r="366">
          <cell r="A366" t="str">
            <v>DQ9003J2</v>
          </cell>
          <cell r="B366">
            <v>260</v>
          </cell>
          <cell r="C366">
            <v>36</v>
          </cell>
          <cell r="D366">
            <v>6.3838348545455</v>
          </cell>
          <cell r="E366">
            <v>29.6161651454545</v>
          </cell>
          <cell r="F366" t="str">
            <v>自制</v>
          </cell>
          <cell r="G366" t="str">
            <v>途乐4.0L</v>
          </cell>
          <cell r="H366">
            <v>49</v>
          </cell>
          <cell r="I366">
            <v>47</v>
          </cell>
          <cell r="J366">
            <v>45</v>
          </cell>
          <cell r="K366">
            <v>44</v>
          </cell>
          <cell r="L366">
            <v>42</v>
          </cell>
          <cell r="M366">
            <v>40</v>
          </cell>
        </row>
        <row r="367">
          <cell r="A367" t="str">
            <v>DQ9101W1</v>
          </cell>
          <cell r="B367">
            <v>260</v>
          </cell>
          <cell r="C367">
            <v>20.0702346787879</v>
          </cell>
          <cell r="D367">
            <v>0</v>
          </cell>
          <cell r="E367">
            <v>20.0702346787879</v>
          </cell>
          <cell r="F367" t="str">
            <v>自制</v>
          </cell>
          <cell r="G367" t="str">
            <v>PICANTO(TA)1.2</v>
          </cell>
          <cell r="H367">
            <v>28</v>
          </cell>
          <cell r="I367">
            <v>27</v>
          </cell>
          <cell r="J367">
            <v>26</v>
          </cell>
          <cell r="K367">
            <v>25</v>
          </cell>
          <cell r="L367">
            <v>24</v>
          </cell>
          <cell r="M367">
            <v>23</v>
          </cell>
        </row>
        <row r="368">
          <cell r="A368" t="str">
            <v>DQ9070A1</v>
          </cell>
          <cell r="B368">
            <v>257</v>
          </cell>
          <cell r="C368">
            <v>43.659</v>
          </cell>
          <cell r="D368">
            <v>0</v>
          </cell>
          <cell r="E368">
            <v>43.659</v>
          </cell>
          <cell r="F368" t="str">
            <v>调货</v>
          </cell>
          <cell r="G368" t="str">
            <v>北汽BJ40 PLUS</v>
          </cell>
          <cell r="H368">
            <v>52</v>
          </cell>
          <cell r="I368">
            <v>52</v>
          </cell>
          <cell r="J368">
            <v>51</v>
          </cell>
          <cell r="K368">
            <v>50</v>
          </cell>
          <cell r="L368">
            <v>49</v>
          </cell>
          <cell r="M368">
            <v>49</v>
          </cell>
        </row>
        <row r="369">
          <cell r="A369" t="str">
            <v>DQ9026A3</v>
          </cell>
          <cell r="B369">
            <v>255</v>
          </cell>
          <cell r="C369">
            <v>36</v>
          </cell>
          <cell r="D369">
            <v>4.3461090545455</v>
          </cell>
          <cell r="E369">
            <v>31.6538909454545</v>
          </cell>
          <cell r="F369" t="str">
            <v>自制</v>
          </cell>
          <cell r="G369" t="str">
            <v>捷豹/路虎 2.0T</v>
          </cell>
          <cell r="H369">
            <v>49</v>
          </cell>
          <cell r="I369">
            <v>47</v>
          </cell>
          <cell r="J369">
            <v>45</v>
          </cell>
          <cell r="K369">
            <v>44</v>
          </cell>
          <cell r="L369">
            <v>42</v>
          </cell>
          <cell r="M369">
            <v>40</v>
          </cell>
        </row>
        <row r="370">
          <cell r="A370" t="str">
            <v>DQ9204</v>
          </cell>
          <cell r="B370">
            <v>248</v>
          </cell>
          <cell r="C370">
            <v>35.5689398727273</v>
          </cell>
          <cell r="D370">
            <v>0</v>
          </cell>
          <cell r="E370">
            <v>35.5689398727273</v>
          </cell>
          <cell r="F370" t="str">
            <v>自制</v>
          </cell>
          <cell r="G370" t="str">
            <v>嘉华3.5</v>
          </cell>
          <cell r="H370">
            <v>49</v>
          </cell>
          <cell r="I370">
            <v>47</v>
          </cell>
          <cell r="J370">
            <v>45</v>
          </cell>
          <cell r="K370">
            <v>43</v>
          </cell>
          <cell r="L370">
            <v>41</v>
          </cell>
          <cell r="M370">
            <v>40</v>
          </cell>
        </row>
        <row r="371">
          <cell r="A371" t="str">
            <v>DQ9029A1</v>
          </cell>
          <cell r="B371">
            <v>247</v>
          </cell>
          <cell r="C371">
            <v>45</v>
          </cell>
          <cell r="D371">
            <v>1.23075</v>
          </cell>
          <cell r="E371">
            <v>43.76925</v>
          </cell>
          <cell r="F371" t="str">
            <v>调货</v>
          </cell>
          <cell r="G371" t="str">
            <v>宝马BMW</v>
          </cell>
          <cell r="H371">
            <v>54</v>
          </cell>
          <cell r="I371">
            <v>53</v>
          </cell>
          <cell r="J371">
            <v>52</v>
          </cell>
          <cell r="K371">
            <v>51</v>
          </cell>
          <cell r="L371">
            <v>51</v>
          </cell>
          <cell r="M371">
            <v>50</v>
          </cell>
        </row>
        <row r="372">
          <cell r="A372" t="str">
            <v>DQ9103HR</v>
          </cell>
          <cell r="B372">
            <v>245</v>
          </cell>
          <cell r="C372">
            <v>32.7836279454545</v>
          </cell>
          <cell r="D372">
            <v>0</v>
          </cell>
          <cell r="E372">
            <v>32.7836279454545</v>
          </cell>
          <cell r="F372" t="str">
            <v>自制</v>
          </cell>
          <cell r="G372" t="str">
            <v>奥迪A8</v>
          </cell>
          <cell r="H372">
            <v>45</v>
          </cell>
          <cell r="I372">
            <v>43</v>
          </cell>
          <cell r="J372">
            <v>41</v>
          </cell>
          <cell r="K372">
            <v>40</v>
          </cell>
          <cell r="L372">
            <v>38</v>
          </cell>
          <cell r="M372">
            <v>37</v>
          </cell>
        </row>
        <row r="373">
          <cell r="A373" t="str">
            <v>DQ9219B2</v>
          </cell>
          <cell r="B373">
            <v>242</v>
          </cell>
          <cell r="C373">
            <v>24.3338002460606</v>
          </cell>
          <cell r="D373">
            <v>0</v>
          </cell>
          <cell r="E373">
            <v>24.3338002460606</v>
          </cell>
          <cell r="F373" t="str">
            <v>自制</v>
          </cell>
          <cell r="G373" t="str">
            <v>江淮RIII2.0T</v>
          </cell>
          <cell r="H373">
            <v>33</v>
          </cell>
          <cell r="I373">
            <v>32</v>
          </cell>
          <cell r="J373">
            <v>31</v>
          </cell>
          <cell r="K373">
            <v>30</v>
          </cell>
          <cell r="L373">
            <v>28</v>
          </cell>
          <cell r="M373">
            <v>27</v>
          </cell>
        </row>
        <row r="374">
          <cell r="A374" t="str">
            <v>DQ9219A9</v>
          </cell>
          <cell r="B374">
            <v>233</v>
          </cell>
          <cell r="C374">
            <v>21.7994357727273</v>
          </cell>
          <cell r="D374">
            <v>0</v>
          </cell>
          <cell r="E374">
            <v>21.7994357727273</v>
          </cell>
          <cell r="F374" t="str">
            <v>自制</v>
          </cell>
          <cell r="G374" t="str">
            <v>东风风神A60 1.4T</v>
          </cell>
          <cell r="H374">
            <v>30</v>
          </cell>
          <cell r="I374">
            <v>29</v>
          </cell>
          <cell r="J374">
            <v>28</v>
          </cell>
          <cell r="K374">
            <v>27</v>
          </cell>
          <cell r="L374">
            <v>26</v>
          </cell>
          <cell r="M374">
            <v>24</v>
          </cell>
        </row>
        <row r="375">
          <cell r="A375" t="str">
            <v>DQ9030C1</v>
          </cell>
          <cell r="B375">
            <v>232</v>
          </cell>
          <cell r="C375">
            <v>38.1725745454546</v>
          </cell>
          <cell r="D375">
            <v>0</v>
          </cell>
          <cell r="E375">
            <v>38.1725745454546</v>
          </cell>
          <cell r="F375" t="str">
            <v>自制</v>
          </cell>
          <cell r="G375" t="str">
            <v>长安福特  金牛座2.7T</v>
          </cell>
          <cell r="H375">
            <v>52</v>
          </cell>
          <cell r="I375">
            <v>50</v>
          </cell>
          <cell r="J375">
            <v>48</v>
          </cell>
          <cell r="K375">
            <v>46</v>
          </cell>
          <cell r="L375">
            <v>44</v>
          </cell>
          <cell r="M375">
            <v>42</v>
          </cell>
        </row>
        <row r="376">
          <cell r="A376" t="str">
            <v>DQ493</v>
          </cell>
          <cell r="B376">
            <v>231</v>
          </cell>
          <cell r="C376">
            <v>58</v>
          </cell>
          <cell r="D376">
            <v>0.623679336363601</v>
          </cell>
          <cell r="E376">
            <v>57.3763206636364</v>
          </cell>
          <cell r="F376" t="str">
            <v>自制</v>
          </cell>
          <cell r="G376" t="str">
            <v>德尔福一代</v>
          </cell>
          <cell r="H376">
            <v>79</v>
          </cell>
          <cell r="I376">
            <v>76</v>
          </cell>
          <cell r="J376">
            <v>73</v>
          </cell>
          <cell r="K376">
            <v>70</v>
          </cell>
          <cell r="L376">
            <v>67</v>
          </cell>
          <cell r="M376">
            <v>64</v>
          </cell>
        </row>
        <row r="377">
          <cell r="A377" t="str">
            <v>DQ9113B3</v>
          </cell>
          <cell r="B377">
            <v>225</v>
          </cell>
          <cell r="C377">
            <v>31.7257633818182</v>
          </cell>
          <cell r="D377">
            <v>0</v>
          </cell>
          <cell r="E377">
            <v>31.7257633818182</v>
          </cell>
          <cell r="F377" t="str">
            <v>自制</v>
          </cell>
          <cell r="G377" t="str">
            <v>帕杰罗3.8L</v>
          </cell>
          <cell r="H377">
            <v>43</v>
          </cell>
          <cell r="I377">
            <v>42</v>
          </cell>
          <cell r="J377">
            <v>40</v>
          </cell>
          <cell r="K377">
            <v>39</v>
          </cell>
          <cell r="L377">
            <v>37</v>
          </cell>
          <cell r="M377">
            <v>35</v>
          </cell>
        </row>
        <row r="378">
          <cell r="A378" t="str">
            <v>DQ921813</v>
          </cell>
          <cell r="B378">
            <v>223</v>
          </cell>
          <cell r="C378">
            <v>27.5400827727273</v>
          </cell>
          <cell r="D378">
            <v>0</v>
          </cell>
          <cell r="E378">
            <v>27.5400827727273</v>
          </cell>
          <cell r="F378" t="str">
            <v>自制</v>
          </cell>
          <cell r="G378" t="str">
            <v>汉兰达 普拉多</v>
          </cell>
          <cell r="H378">
            <v>38</v>
          </cell>
          <cell r="I378">
            <v>36</v>
          </cell>
          <cell r="J378">
            <v>35</v>
          </cell>
          <cell r="K378">
            <v>34</v>
          </cell>
          <cell r="L378">
            <v>32</v>
          </cell>
          <cell r="M378">
            <v>31</v>
          </cell>
        </row>
        <row r="379">
          <cell r="A379" t="str">
            <v>DQ9007B2</v>
          </cell>
          <cell r="B379">
            <v>222</v>
          </cell>
          <cell r="C379">
            <v>34.3895198727273</v>
          </cell>
          <cell r="D379">
            <v>0</v>
          </cell>
          <cell r="E379">
            <v>34.3895198727273</v>
          </cell>
          <cell r="F379" t="str">
            <v>自制</v>
          </cell>
          <cell r="G379" t="str">
            <v>名图1.8L</v>
          </cell>
          <cell r="H379">
            <v>47</v>
          </cell>
          <cell r="I379">
            <v>45</v>
          </cell>
          <cell r="J379">
            <v>43</v>
          </cell>
          <cell r="K379">
            <v>42</v>
          </cell>
          <cell r="L379">
            <v>40</v>
          </cell>
          <cell r="M379">
            <v>38</v>
          </cell>
        </row>
        <row r="380">
          <cell r="A380" t="str">
            <v>DQ9015B1</v>
          </cell>
          <cell r="B380">
            <v>215</v>
          </cell>
          <cell r="C380">
            <v>27.7295695393939</v>
          </cell>
          <cell r="D380">
            <v>0</v>
          </cell>
          <cell r="E380">
            <v>27.7295695393939</v>
          </cell>
          <cell r="F380" t="str">
            <v>自制</v>
          </cell>
          <cell r="G380" t="str">
            <v>长城腾翼C30/1.5L 西门子系统</v>
          </cell>
          <cell r="H380">
            <v>38</v>
          </cell>
          <cell r="I380">
            <v>37</v>
          </cell>
          <cell r="J380">
            <v>35</v>
          </cell>
          <cell r="K380">
            <v>34</v>
          </cell>
          <cell r="L380">
            <v>32</v>
          </cell>
          <cell r="M380">
            <v>31</v>
          </cell>
        </row>
        <row r="381">
          <cell r="A381" t="str">
            <v>DQ9013B1</v>
          </cell>
          <cell r="B381">
            <v>212</v>
          </cell>
          <cell r="C381">
            <v>33.13233</v>
          </cell>
          <cell r="D381">
            <v>0</v>
          </cell>
          <cell r="E381">
            <v>33.13233</v>
          </cell>
          <cell r="F381" t="str">
            <v>调货</v>
          </cell>
          <cell r="G381" t="str">
            <v>grand vitara</v>
          </cell>
          <cell r="H381">
            <v>40</v>
          </cell>
          <cell r="I381">
            <v>39</v>
          </cell>
          <cell r="J381">
            <v>39</v>
          </cell>
          <cell r="K381">
            <v>38</v>
          </cell>
          <cell r="L381">
            <v>38</v>
          </cell>
          <cell r="M381">
            <v>37</v>
          </cell>
        </row>
        <row r="382">
          <cell r="A382" t="str">
            <v>DQ9225A1</v>
          </cell>
          <cell r="B382">
            <v>210</v>
          </cell>
          <cell r="C382">
            <v>41.751675</v>
          </cell>
          <cell r="D382">
            <v>0</v>
          </cell>
          <cell r="E382">
            <v>41.751675</v>
          </cell>
          <cell r="F382" t="str">
            <v>调货</v>
          </cell>
          <cell r="G382" t="str">
            <v>奔驰W140发动机</v>
          </cell>
          <cell r="H382">
            <v>50</v>
          </cell>
          <cell r="I382">
            <v>49</v>
          </cell>
          <cell r="J382">
            <v>49</v>
          </cell>
          <cell r="K382">
            <v>48</v>
          </cell>
          <cell r="L382">
            <v>47</v>
          </cell>
          <cell r="M382">
            <v>46</v>
          </cell>
        </row>
        <row r="383">
          <cell r="A383" t="str">
            <v>DQ4107A1</v>
          </cell>
          <cell r="B383">
            <v>210</v>
          </cell>
          <cell r="C383">
            <v>33.4277269909091</v>
          </cell>
          <cell r="D383">
            <v>0</v>
          </cell>
          <cell r="E383">
            <v>33.4277269909091</v>
          </cell>
          <cell r="F383" t="str">
            <v>自制</v>
          </cell>
          <cell r="G383" t="str">
            <v>雪佛兰GMC</v>
          </cell>
          <cell r="H383">
            <v>46</v>
          </cell>
          <cell r="I383">
            <v>44</v>
          </cell>
          <cell r="J383">
            <v>42</v>
          </cell>
          <cell r="K383">
            <v>41</v>
          </cell>
          <cell r="L383">
            <v>39</v>
          </cell>
          <cell r="M383">
            <v>37</v>
          </cell>
        </row>
        <row r="384">
          <cell r="A384" t="str">
            <v>DQ9219A2</v>
          </cell>
          <cell r="B384">
            <v>208</v>
          </cell>
          <cell r="C384">
            <v>21.4694357727273</v>
          </cell>
          <cell r="D384">
            <v>0</v>
          </cell>
          <cell r="E384">
            <v>21.4694357727273</v>
          </cell>
          <cell r="F384" t="str">
            <v>自制</v>
          </cell>
          <cell r="G384" t="str">
            <v>广汽传祺GS5</v>
          </cell>
          <cell r="H384">
            <v>29</v>
          </cell>
          <cell r="I384">
            <v>28</v>
          </cell>
          <cell r="J384">
            <v>27</v>
          </cell>
          <cell r="K384">
            <v>26</v>
          </cell>
          <cell r="L384">
            <v>25</v>
          </cell>
          <cell r="M384">
            <v>24</v>
          </cell>
        </row>
        <row r="385">
          <cell r="A385" t="str">
            <v>DQ9041A2</v>
          </cell>
          <cell r="B385">
            <v>207</v>
          </cell>
          <cell r="C385">
            <v>31.5315</v>
          </cell>
          <cell r="D385">
            <v>0</v>
          </cell>
          <cell r="E385">
            <v>31.5315</v>
          </cell>
          <cell r="F385" t="str">
            <v>调货</v>
          </cell>
          <cell r="G385" t="str">
            <v>东风风行T5L1.5T</v>
          </cell>
          <cell r="H385">
            <v>38</v>
          </cell>
          <cell r="I385">
            <v>37</v>
          </cell>
          <cell r="J385">
            <v>37</v>
          </cell>
          <cell r="K385">
            <v>36</v>
          </cell>
          <cell r="L385">
            <v>36</v>
          </cell>
          <cell r="M385">
            <v>35</v>
          </cell>
        </row>
        <row r="386">
          <cell r="A386" t="str">
            <v>DQ6402</v>
          </cell>
          <cell r="B386">
            <v>201</v>
          </cell>
          <cell r="C386">
            <v>66</v>
          </cell>
          <cell r="D386">
            <v>1.4081911818182</v>
          </cell>
          <cell r="E386">
            <v>64.5918088181818</v>
          </cell>
          <cell r="F386" t="str">
            <v>自制</v>
          </cell>
          <cell r="G386" t="str">
            <v>斯巴鲁</v>
          </cell>
          <cell r="H386">
            <v>90</v>
          </cell>
          <cell r="I386">
            <v>86</v>
          </cell>
          <cell r="J386">
            <v>83</v>
          </cell>
          <cell r="K386">
            <v>80</v>
          </cell>
          <cell r="L386">
            <v>76</v>
          </cell>
          <cell r="M386">
            <v>73</v>
          </cell>
        </row>
        <row r="387">
          <cell r="A387" t="str">
            <v>DQ9157A1</v>
          </cell>
          <cell r="B387">
            <v>201</v>
          </cell>
          <cell r="C387">
            <v>27.1215</v>
          </cell>
          <cell r="D387">
            <v>0</v>
          </cell>
          <cell r="E387">
            <v>27.1215</v>
          </cell>
          <cell r="F387" t="str">
            <v>调货</v>
          </cell>
          <cell r="G387" t="str">
            <v>时风风云 1.8L</v>
          </cell>
          <cell r="H387">
            <v>33</v>
          </cell>
          <cell r="I387">
            <v>32</v>
          </cell>
          <cell r="J387">
            <v>32</v>
          </cell>
          <cell r="K387">
            <v>31</v>
          </cell>
          <cell r="L387">
            <v>31</v>
          </cell>
          <cell r="M387">
            <v>30</v>
          </cell>
        </row>
        <row r="388">
          <cell r="A388" t="str">
            <v>DQ1213</v>
          </cell>
          <cell r="B388">
            <v>196</v>
          </cell>
          <cell r="C388">
            <v>60.69</v>
          </cell>
          <cell r="D388">
            <v>0</v>
          </cell>
          <cell r="E388">
            <v>60.69</v>
          </cell>
          <cell r="F388" t="str">
            <v>调货</v>
          </cell>
          <cell r="G388" t="str">
            <v>旗云 宝马发动机</v>
          </cell>
          <cell r="H388">
            <v>73</v>
          </cell>
          <cell r="I388">
            <v>72</v>
          </cell>
          <cell r="J388">
            <v>70</v>
          </cell>
          <cell r="K388">
            <v>69</v>
          </cell>
          <cell r="L388">
            <v>68</v>
          </cell>
          <cell r="M388">
            <v>67</v>
          </cell>
        </row>
        <row r="389">
          <cell r="A389" t="str">
            <v>DQ9128B2</v>
          </cell>
          <cell r="B389">
            <v>192</v>
          </cell>
          <cell r="C389">
            <v>45.78</v>
          </cell>
          <cell r="D389">
            <v>0</v>
          </cell>
          <cell r="E389">
            <v>45.78</v>
          </cell>
          <cell r="F389" t="str">
            <v>调货</v>
          </cell>
          <cell r="G389" t="str">
            <v>凯迪拉克 SLS赛威 4.6L</v>
          </cell>
          <cell r="H389">
            <v>55</v>
          </cell>
          <cell r="I389">
            <v>54</v>
          </cell>
          <cell r="J389">
            <v>53</v>
          </cell>
          <cell r="K389">
            <v>52</v>
          </cell>
          <cell r="L389">
            <v>52</v>
          </cell>
          <cell r="M389">
            <v>51</v>
          </cell>
        </row>
        <row r="390">
          <cell r="A390" t="str">
            <v>DQ9209H</v>
          </cell>
          <cell r="B390">
            <v>191</v>
          </cell>
          <cell r="C390">
            <v>24.9861302727273</v>
          </cell>
          <cell r="D390">
            <v>0</v>
          </cell>
          <cell r="E390">
            <v>24.9861302727273</v>
          </cell>
          <cell r="F390" t="str">
            <v>自制</v>
          </cell>
          <cell r="G390" t="str">
            <v>新普力马1.8</v>
          </cell>
          <cell r="H390">
            <v>34</v>
          </cell>
          <cell r="I390">
            <v>33</v>
          </cell>
          <cell r="J390">
            <v>32</v>
          </cell>
          <cell r="K390">
            <v>30</v>
          </cell>
          <cell r="L390">
            <v>29</v>
          </cell>
          <cell r="M390">
            <v>28</v>
          </cell>
        </row>
        <row r="391">
          <cell r="A391" t="str">
            <v>DQ9072A1</v>
          </cell>
          <cell r="B391">
            <v>191</v>
          </cell>
          <cell r="C391">
            <v>45.97425</v>
          </cell>
          <cell r="D391">
            <v>0</v>
          </cell>
          <cell r="E391">
            <v>45.97425</v>
          </cell>
          <cell r="F391" t="str">
            <v>调货</v>
          </cell>
          <cell r="G391" t="str">
            <v>北汽幻速S51.3T</v>
          </cell>
          <cell r="H391">
            <v>55</v>
          </cell>
          <cell r="I391">
            <v>54</v>
          </cell>
          <cell r="J391">
            <v>53</v>
          </cell>
          <cell r="K391">
            <v>52</v>
          </cell>
          <cell r="L391">
            <v>52</v>
          </cell>
          <cell r="M391">
            <v>51</v>
          </cell>
        </row>
        <row r="392">
          <cell r="A392" t="str">
            <v>DQ9133B1</v>
          </cell>
          <cell r="B392">
            <v>190</v>
          </cell>
          <cell r="C392">
            <v>56.889</v>
          </cell>
          <cell r="D392">
            <v>0</v>
          </cell>
          <cell r="E392">
            <v>56.889</v>
          </cell>
          <cell r="F392" t="str">
            <v>调货</v>
          </cell>
          <cell r="G392" t="str">
            <v>保时捷cayman 2.9L</v>
          </cell>
          <cell r="H392">
            <v>68</v>
          </cell>
          <cell r="I392">
            <v>67</v>
          </cell>
          <cell r="J392">
            <v>66</v>
          </cell>
          <cell r="K392">
            <v>65</v>
          </cell>
          <cell r="L392">
            <v>64</v>
          </cell>
          <cell r="M392">
            <v>63</v>
          </cell>
        </row>
        <row r="393">
          <cell r="A393" t="str">
            <v>DQ9050A3</v>
          </cell>
          <cell r="B393">
            <v>190</v>
          </cell>
          <cell r="C393">
            <v>38</v>
          </cell>
          <cell r="D393">
            <v>2.0028316545455</v>
          </cell>
          <cell r="E393">
            <v>35.9971683454545</v>
          </cell>
          <cell r="F393" t="str">
            <v>自制</v>
          </cell>
          <cell r="G393" t="str">
            <v>铃木 Celerio</v>
          </cell>
          <cell r="H393">
            <v>52</v>
          </cell>
          <cell r="I393">
            <v>50</v>
          </cell>
          <cell r="J393">
            <v>48</v>
          </cell>
          <cell r="K393">
            <v>46</v>
          </cell>
          <cell r="L393">
            <v>44</v>
          </cell>
          <cell r="M393">
            <v>42</v>
          </cell>
        </row>
        <row r="394">
          <cell r="A394" t="str">
            <v>DQ9061A1</v>
          </cell>
          <cell r="B394">
            <v>189</v>
          </cell>
          <cell r="C394">
            <v>45.864</v>
          </cell>
          <cell r="D394">
            <v>0</v>
          </cell>
          <cell r="E394">
            <v>45.864</v>
          </cell>
          <cell r="F394" t="str">
            <v>调货</v>
          </cell>
          <cell r="G394" t="str">
            <v>吉利缤瑞1.0T</v>
          </cell>
          <cell r="H394">
            <v>55</v>
          </cell>
          <cell r="I394">
            <v>54</v>
          </cell>
          <cell r="J394">
            <v>53</v>
          </cell>
          <cell r="K394">
            <v>52</v>
          </cell>
          <cell r="L394">
            <v>52</v>
          </cell>
          <cell r="M394">
            <v>51</v>
          </cell>
        </row>
        <row r="395">
          <cell r="A395" t="str">
            <v>DQ9402A5</v>
          </cell>
          <cell r="B395">
            <v>180</v>
          </cell>
          <cell r="C395">
            <v>99.280125</v>
          </cell>
          <cell r="D395">
            <v>0</v>
          </cell>
          <cell r="E395">
            <v>99.280125</v>
          </cell>
          <cell r="F395" t="str">
            <v>调货</v>
          </cell>
          <cell r="G395" t="str">
            <v>雪铁龙 C3（白插）</v>
          </cell>
          <cell r="H395">
            <v>119</v>
          </cell>
          <cell r="I395">
            <v>117</v>
          </cell>
          <cell r="J395">
            <v>115</v>
          </cell>
          <cell r="K395">
            <v>113</v>
          </cell>
          <cell r="L395">
            <v>112</v>
          </cell>
          <cell r="M395">
            <v>110</v>
          </cell>
        </row>
        <row r="396">
          <cell r="A396" t="str">
            <v>DQ9023E1</v>
          </cell>
          <cell r="B396">
            <v>178</v>
          </cell>
          <cell r="C396">
            <v>54.684</v>
          </cell>
          <cell r="D396">
            <v>0</v>
          </cell>
          <cell r="E396">
            <v>54.684</v>
          </cell>
          <cell r="F396" t="str">
            <v>调货</v>
          </cell>
          <cell r="G396" t="str">
            <v>大众 途昂 4MOTION 奥迪 4.0T</v>
          </cell>
          <cell r="H396">
            <v>66</v>
          </cell>
          <cell r="I396">
            <v>64</v>
          </cell>
          <cell r="J396">
            <v>63</v>
          </cell>
          <cell r="K396">
            <v>62</v>
          </cell>
          <cell r="L396">
            <v>62</v>
          </cell>
          <cell r="M396">
            <v>61</v>
          </cell>
        </row>
        <row r="397">
          <cell r="A397" t="str">
            <v>DQ9003J1</v>
          </cell>
          <cell r="B397">
            <v>170</v>
          </cell>
          <cell r="C397">
            <v>36</v>
          </cell>
          <cell r="D397">
            <v>6.3838348545455</v>
          </cell>
          <cell r="E397">
            <v>29.6161651454545</v>
          </cell>
          <cell r="F397" t="str">
            <v>自制</v>
          </cell>
          <cell r="G397" t="str">
            <v>途乐5.6L</v>
          </cell>
          <cell r="H397">
            <v>49</v>
          </cell>
          <cell r="I397">
            <v>47</v>
          </cell>
          <cell r="J397">
            <v>45</v>
          </cell>
          <cell r="K397">
            <v>44</v>
          </cell>
          <cell r="L397">
            <v>42</v>
          </cell>
          <cell r="M397">
            <v>40</v>
          </cell>
        </row>
        <row r="398">
          <cell r="A398" t="str">
            <v>DQ9226A1</v>
          </cell>
          <cell r="B398">
            <v>170</v>
          </cell>
          <cell r="C398">
            <v>34.7459265527273</v>
          </cell>
          <cell r="D398">
            <v>0</v>
          </cell>
          <cell r="E398">
            <v>34.7459265527273</v>
          </cell>
          <cell r="F398" t="str">
            <v>自制</v>
          </cell>
          <cell r="G398" t="str">
            <v>大切诺基</v>
          </cell>
          <cell r="H398">
            <v>47</v>
          </cell>
          <cell r="I398">
            <v>46</v>
          </cell>
          <cell r="J398">
            <v>44</v>
          </cell>
          <cell r="K398">
            <v>42</v>
          </cell>
          <cell r="L398">
            <v>40</v>
          </cell>
          <cell r="M398">
            <v>39</v>
          </cell>
        </row>
        <row r="399">
          <cell r="A399" t="str">
            <v>DQ9201A2</v>
          </cell>
          <cell r="B399">
            <v>168</v>
          </cell>
          <cell r="C399">
            <v>25.4388572727273</v>
          </cell>
          <cell r="D399">
            <v>0</v>
          </cell>
          <cell r="E399">
            <v>25.4388572727273</v>
          </cell>
          <cell r="F399" t="str">
            <v>自制</v>
          </cell>
          <cell r="G399" t="str">
            <v>新款东风小康465</v>
          </cell>
          <cell r="H399">
            <v>35</v>
          </cell>
          <cell r="I399">
            <v>34</v>
          </cell>
          <cell r="J399">
            <v>32</v>
          </cell>
          <cell r="K399">
            <v>31</v>
          </cell>
          <cell r="L399">
            <v>30</v>
          </cell>
          <cell r="M399">
            <v>28</v>
          </cell>
        </row>
        <row r="400">
          <cell r="A400" t="str">
            <v>DQ9133A2</v>
          </cell>
          <cell r="B400">
            <v>167</v>
          </cell>
          <cell r="C400">
            <v>53.214</v>
          </cell>
          <cell r="D400">
            <v>0</v>
          </cell>
          <cell r="E400">
            <v>53.214</v>
          </cell>
          <cell r="F400" t="str">
            <v>调货</v>
          </cell>
          <cell r="G400" t="str">
            <v>保时捷 卡宴 4.5L/4.5T</v>
          </cell>
          <cell r="H400">
            <v>64</v>
          </cell>
          <cell r="I400">
            <v>63</v>
          </cell>
          <cell r="J400">
            <v>62</v>
          </cell>
          <cell r="K400">
            <v>61</v>
          </cell>
          <cell r="L400">
            <v>60</v>
          </cell>
          <cell r="M400">
            <v>59</v>
          </cell>
        </row>
        <row r="401">
          <cell r="A401" t="str">
            <v>DQ9031A199</v>
          </cell>
          <cell r="B401">
            <v>163</v>
          </cell>
          <cell r="C401">
            <v>38.1444937454546</v>
          </cell>
          <cell r="D401">
            <v>0</v>
          </cell>
          <cell r="E401">
            <v>38.1444937454546</v>
          </cell>
          <cell r="F401" t="str">
            <v>自制</v>
          </cell>
          <cell r="G401" t="str">
            <v>14款科鲁兹（专用）</v>
          </cell>
          <cell r="H401">
            <v>52</v>
          </cell>
          <cell r="I401">
            <v>50</v>
          </cell>
          <cell r="J401">
            <v>48</v>
          </cell>
          <cell r="K401">
            <v>46</v>
          </cell>
          <cell r="L401">
            <v>44</v>
          </cell>
          <cell r="M401">
            <v>42</v>
          </cell>
        </row>
        <row r="402">
          <cell r="A402" t="str">
            <v>DQ9023G1</v>
          </cell>
          <cell r="B402">
            <v>161</v>
          </cell>
          <cell r="C402">
            <v>56.889</v>
          </cell>
          <cell r="D402">
            <v>0</v>
          </cell>
          <cell r="E402">
            <v>56.889</v>
          </cell>
          <cell r="F402" t="str">
            <v>调货</v>
          </cell>
          <cell r="G402" t="str">
            <v>玛莎拉蒂总裁3.0T</v>
          </cell>
          <cell r="H402">
            <v>68</v>
          </cell>
          <cell r="I402">
            <v>67</v>
          </cell>
          <cell r="J402">
            <v>66</v>
          </cell>
          <cell r="K402">
            <v>65</v>
          </cell>
          <cell r="L402">
            <v>64</v>
          </cell>
          <cell r="M402">
            <v>63</v>
          </cell>
        </row>
        <row r="403">
          <cell r="A403" t="str">
            <v>DQ9081A1</v>
          </cell>
          <cell r="B403">
            <v>160</v>
          </cell>
          <cell r="C403">
            <v>23.8005005454546</v>
          </cell>
          <cell r="D403">
            <v>0</v>
          </cell>
          <cell r="E403">
            <v>23.8005005454546</v>
          </cell>
          <cell r="F403" t="str">
            <v>自制</v>
          </cell>
          <cell r="G403" t="str">
            <v>风骏 5</v>
          </cell>
          <cell r="H403">
            <v>33</v>
          </cell>
          <cell r="I403">
            <v>31</v>
          </cell>
          <cell r="J403">
            <v>30</v>
          </cell>
          <cell r="K403">
            <v>29</v>
          </cell>
          <cell r="L403">
            <v>28</v>
          </cell>
          <cell r="M403">
            <v>27</v>
          </cell>
        </row>
        <row r="404">
          <cell r="A404" t="str">
            <v>DQ9132G1</v>
          </cell>
          <cell r="B404">
            <v>160</v>
          </cell>
          <cell r="C404">
            <v>32.2532300121212</v>
          </cell>
          <cell r="D404">
            <v>0</v>
          </cell>
          <cell r="E404">
            <v>32.2532300121212</v>
          </cell>
          <cell r="F404" t="str">
            <v>自制</v>
          </cell>
          <cell r="G404" t="str">
            <v>丰田Agya 2012-2016</v>
          </cell>
          <cell r="H404">
            <v>44</v>
          </cell>
          <cell r="I404">
            <v>42</v>
          </cell>
          <cell r="J404">
            <v>41</v>
          </cell>
          <cell r="K404">
            <v>39</v>
          </cell>
          <cell r="L404">
            <v>38</v>
          </cell>
          <cell r="M404">
            <v>36</v>
          </cell>
        </row>
        <row r="405">
          <cell r="A405" t="str">
            <v>DQ9008A1</v>
          </cell>
          <cell r="B405">
            <v>158</v>
          </cell>
          <cell r="C405">
            <v>39.585</v>
          </cell>
          <cell r="D405">
            <v>0</v>
          </cell>
          <cell r="E405">
            <v>39.585</v>
          </cell>
          <cell r="F405" t="str">
            <v>调货</v>
          </cell>
          <cell r="G405" t="str">
            <v>三菱蓝瑟4G93</v>
          </cell>
          <cell r="H405">
            <v>48</v>
          </cell>
          <cell r="I405">
            <v>47</v>
          </cell>
          <cell r="J405">
            <v>46</v>
          </cell>
          <cell r="K405">
            <v>45</v>
          </cell>
          <cell r="L405">
            <v>45</v>
          </cell>
          <cell r="M405">
            <v>44</v>
          </cell>
        </row>
        <row r="406">
          <cell r="A406" t="str">
            <v>DQ9215</v>
          </cell>
          <cell r="B406">
            <v>152</v>
          </cell>
          <cell r="C406">
            <v>25.4538172727273</v>
          </cell>
          <cell r="D406">
            <v>0</v>
          </cell>
          <cell r="E406">
            <v>25.4538172727273</v>
          </cell>
          <cell r="F406" t="str">
            <v>自制</v>
          </cell>
          <cell r="G406" t="str">
            <v>中华骏捷</v>
          </cell>
          <cell r="H406">
            <v>35</v>
          </cell>
          <cell r="I406">
            <v>34</v>
          </cell>
          <cell r="J406">
            <v>32</v>
          </cell>
          <cell r="K406">
            <v>31</v>
          </cell>
          <cell r="L406">
            <v>30</v>
          </cell>
          <cell r="M406">
            <v>28</v>
          </cell>
        </row>
        <row r="407">
          <cell r="A407" t="str">
            <v>DQ9003B3</v>
          </cell>
          <cell r="B407">
            <v>152</v>
          </cell>
          <cell r="C407">
            <v>29.1851789854545</v>
          </cell>
          <cell r="D407">
            <v>0</v>
          </cell>
          <cell r="E407">
            <v>29.1851789854545</v>
          </cell>
          <cell r="F407" t="str">
            <v>自制</v>
          </cell>
          <cell r="G407" t="str">
            <v>日产</v>
          </cell>
          <cell r="H407">
            <v>40</v>
          </cell>
          <cell r="I407">
            <v>38</v>
          </cell>
          <cell r="J407">
            <v>37</v>
          </cell>
          <cell r="K407">
            <v>36</v>
          </cell>
          <cell r="L407">
            <v>34</v>
          </cell>
          <cell r="M407">
            <v>33</v>
          </cell>
        </row>
        <row r="408">
          <cell r="A408" t="str">
            <v>DQ6607</v>
          </cell>
          <cell r="B408">
            <v>152</v>
          </cell>
          <cell r="C408">
            <v>71</v>
          </cell>
          <cell r="D408">
            <v>0.2452787102727</v>
          </cell>
          <cell r="E408">
            <v>70.7547212897273</v>
          </cell>
          <cell r="F408" t="str">
            <v>自制</v>
          </cell>
          <cell r="G408" t="str">
            <v>蒙迪欧六缸</v>
          </cell>
          <cell r="H408">
            <v>96</v>
          </cell>
          <cell r="I408">
            <v>93</v>
          </cell>
          <cell r="J408">
            <v>89</v>
          </cell>
          <cell r="K408">
            <v>86</v>
          </cell>
          <cell r="L408">
            <v>82</v>
          </cell>
          <cell r="M408">
            <v>79</v>
          </cell>
        </row>
        <row r="409">
          <cell r="A409" t="str">
            <v>DQ910836</v>
          </cell>
          <cell r="B409">
            <v>152</v>
          </cell>
          <cell r="C409">
            <v>43.491</v>
          </cell>
          <cell r="D409">
            <v>0</v>
          </cell>
          <cell r="E409">
            <v>43.491</v>
          </cell>
          <cell r="F409" t="str">
            <v>调货</v>
          </cell>
          <cell r="G409" t="str">
            <v>丰田凌志</v>
          </cell>
          <cell r="H409">
            <v>52</v>
          </cell>
          <cell r="I409">
            <v>51</v>
          </cell>
          <cell r="J409">
            <v>51</v>
          </cell>
          <cell r="K409">
            <v>50</v>
          </cell>
          <cell r="L409">
            <v>49</v>
          </cell>
          <cell r="M409">
            <v>48</v>
          </cell>
        </row>
        <row r="410">
          <cell r="A410" t="str">
            <v>DQ91087402</v>
          </cell>
          <cell r="B410">
            <v>151</v>
          </cell>
          <cell r="C410">
            <v>37.5727338654545</v>
          </cell>
          <cell r="D410">
            <v>0</v>
          </cell>
          <cell r="E410">
            <v>37.5727338654545</v>
          </cell>
          <cell r="F410" t="str">
            <v>自制</v>
          </cell>
          <cell r="G410" t="str">
            <v>丰田02274</v>
          </cell>
          <cell r="H410">
            <v>51</v>
          </cell>
          <cell r="I410">
            <v>49</v>
          </cell>
          <cell r="J410">
            <v>47</v>
          </cell>
          <cell r="K410">
            <v>46</v>
          </cell>
          <cell r="L410">
            <v>44</v>
          </cell>
          <cell r="M410">
            <v>42</v>
          </cell>
        </row>
        <row r="411">
          <cell r="A411" t="str">
            <v>DQ6410A1</v>
          </cell>
          <cell r="B411">
            <v>150</v>
          </cell>
          <cell r="C411">
            <v>44</v>
          </cell>
          <cell r="D411">
            <v>-0.197155951515199</v>
          </cell>
          <cell r="E411">
            <v>44.1971559515152</v>
          </cell>
          <cell r="F411" t="str">
            <v>自制</v>
          </cell>
          <cell r="G411" t="str">
            <v>德尔福四代</v>
          </cell>
          <cell r="H411">
            <v>60</v>
          </cell>
          <cell r="I411">
            <v>58</v>
          </cell>
          <cell r="J411">
            <v>55</v>
          </cell>
          <cell r="K411">
            <v>53</v>
          </cell>
          <cell r="L411">
            <v>51</v>
          </cell>
          <cell r="M411">
            <v>49</v>
          </cell>
        </row>
        <row r="412">
          <cell r="A412" t="str">
            <v>DQ9211B1</v>
          </cell>
          <cell r="B412">
            <v>150</v>
          </cell>
          <cell r="C412">
            <v>42.5565</v>
          </cell>
          <cell r="D412">
            <v>0</v>
          </cell>
          <cell r="E412">
            <v>42.5565</v>
          </cell>
          <cell r="F412" t="str">
            <v>调货</v>
          </cell>
          <cell r="G412" t="str">
            <v>丰田</v>
          </cell>
          <cell r="H412">
            <v>51</v>
          </cell>
          <cell r="I412">
            <v>50</v>
          </cell>
          <cell r="J412">
            <v>49</v>
          </cell>
          <cell r="K412">
            <v>49</v>
          </cell>
          <cell r="L412">
            <v>48</v>
          </cell>
          <cell r="M412">
            <v>47</v>
          </cell>
        </row>
        <row r="413">
          <cell r="A413" t="str">
            <v>DQ9117F1</v>
          </cell>
          <cell r="B413">
            <v>150</v>
          </cell>
          <cell r="C413">
            <v>44.15733</v>
          </cell>
          <cell r="D413">
            <v>0</v>
          </cell>
          <cell r="E413">
            <v>44.15733</v>
          </cell>
          <cell r="F413" t="str">
            <v>调货</v>
          </cell>
          <cell r="G413" t="str">
            <v>铃木阿尔托</v>
          </cell>
          <cell r="H413">
            <v>53</v>
          </cell>
          <cell r="I413">
            <v>52</v>
          </cell>
          <cell r="J413">
            <v>51</v>
          </cell>
          <cell r="K413">
            <v>50</v>
          </cell>
          <cell r="L413">
            <v>50</v>
          </cell>
          <cell r="M413">
            <v>49</v>
          </cell>
        </row>
        <row r="414">
          <cell r="A414" t="str">
            <v>DQ9101</v>
          </cell>
          <cell r="B414">
            <v>149</v>
          </cell>
          <cell r="C414">
            <v>20.7025436094044</v>
          </cell>
          <cell r="D414">
            <v>0</v>
          </cell>
          <cell r="E414">
            <v>20.7025436094044</v>
          </cell>
          <cell r="F414" t="str">
            <v>自制</v>
          </cell>
          <cell r="G414" t="str">
            <v>老索纳塔</v>
          </cell>
          <cell r="H414">
            <v>28</v>
          </cell>
          <cell r="I414">
            <v>27</v>
          </cell>
          <cell r="J414">
            <v>26</v>
          </cell>
          <cell r="K414">
            <v>25</v>
          </cell>
          <cell r="L414">
            <v>24</v>
          </cell>
          <cell r="M414">
            <v>23</v>
          </cell>
        </row>
        <row r="415">
          <cell r="A415" t="str">
            <v>DQ6407A</v>
          </cell>
          <cell r="B415">
            <v>146</v>
          </cell>
          <cell r="C415">
            <v>42</v>
          </cell>
          <cell r="D415">
            <v>-0.756907818181801</v>
          </cell>
          <cell r="E415">
            <v>42.7569078181818</v>
          </cell>
          <cell r="F415" t="str">
            <v>自制</v>
          </cell>
          <cell r="G415" t="str">
            <v>马六2.0L</v>
          </cell>
          <cell r="H415">
            <v>57</v>
          </cell>
          <cell r="I415">
            <v>55</v>
          </cell>
          <cell r="J415">
            <v>53</v>
          </cell>
          <cell r="K415">
            <v>51</v>
          </cell>
          <cell r="L415">
            <v>49</v>
          </cell>
          <cell r="M415">
            <v>47</v>
          </cell>
        </row>
        <row r="416">
          <cell r="A416" t="str">
            <v>DQ9036B2</v>
          </cell>
          <cell r="B416">
            <v>145</v>
          </cell>
          <cell r="C416">
            <v>28.5919551454546</v>
          </cell>
          <cell r="D416">
            <v>0</v>
          </cell>
          <cell r="E416">
            <v>28.5919551454546</v>
          </cell>
          <cell r="F416" t="str">
            <v>自制</v>
          </cell>
          <cell r="G416" t="str">
            <v>JEEP（红插）</v>
          </cell>
          <cell r="H416">
            <v>39</v>
          </cell>
          <cell r="I416">
            <v>38</v>
          </cell>
          <cell r="J416">
            <v>36</v>
          </cell>
          <cell r="K416">
            <v>35</v>
          </cell>
          <cell r="L416">
            <v>33</v>
          </cell>
          <cell r="M416">
            <v>32</v>
          </cell>
        </row>
        <row r="417">
          <cell r="A417" t="str">
            <v>DQ9023C1</v>
          </cell>
          <cell r="B417">
            <v>144</v>
          </cell>
          <cell r="C417">
            <v>33.4409748121212</v>
          </cell>
          <cell r="D417">
            <v>0</v>
          </cell>
          <cell r="E417">
            <v>33.4409748121212</v>
          </cell>
          <cell r="F417" t="str">
            <v>自制</v>
          </cell>
          <cell r="G417" t="str">
            <v>新款大众</v>
          </cell>
          <cell r="H417">
            <v>46</v>
          </cell>
          <cell r="I417">
            <v>44</v>
          </cell>
          <cell r="J417">
            <v>42</v>
          </cell>
          <cell r="K417">
            <v>41</v>
          </cell>
          <cell r="L417">
            <v>39</v>
          </cell>
          <cell r="M417">
            <v>37</v>
          </cell>
        </row>
        <row r="418">
          <cell r="A418" t="str">
            <v>DQ9067A1</v>
          </cell>
          <cell r="B418">
            <v>140</v>
          </cell>
          <cell r="C418">
            <v>25.7851071454545</v>
          </cell>
          <cell r="D418">
            <v>0</v>
          </cell>
          <cell r="E418">
            <v>25.7851071454545</v>
          </cell>
          <cell r="F418" t="str">
            <v>自制</v>
          </cell>
          <cell r="G418" t="str">
            <v>鑫源 X30L 1.5L/小海狮X30 1.5L</v>
          </cell>
          <cell r="H418">
            <v>35</v>
          </cell>
          <cell r="I418">
            <v>34</v>
          </cell>
          <cell r="J418">
            <v>33</v>
          </cell>
          <cell r="K418">
            <v>31</v>
          </cell>
          <cell r="L418">
            <v>30</v>
          </cell>
          <cell r="M418">
            <v>29</v>
          </cell>
        </row>
        <row r="419">
          <cell r="A419" t="str">
            <v>DQ9211A1</v>
          </cell>
          <cell r="B419">
            <v>136</v>
          </cell>
          <cell r="C419">
            <v>35.7468259454546</v>
          </cell>
          <cell r="D419">
            <v>0</v>
          </cell>
          <cell r="E419">
            <v>35.7468259454546</v>
          </cell>
          <cell r="F419" t="str">
            <v>自制</v>
          </cell>
          <cell r="G419" t="str">
            <v>丰田大发</v>
          </cell>
          <cell r="H419">
            <v>49</v>
          </cell>
          <cell r="I419">
            <v>47</v>
          </cell>
          <cell r="J419">
            <v>45</v>
          </cell>
          <cell r="K419">
            <v>43</v>
          </cell>
          <cell r="L419">
            <v>42</v>
          </cell>
          <cell r="M419">
            <v>40</v>
          </cell>
        </row>
        <row r="420">
          <cell r="A420" t="str">
            <v>DQ9156A1</v>
          </cell>
          <cell r="B420">
            <v>131</v>
          </cell>
          <cell r="C420">
            <v>38.1465</v>
          </cell>
          <cell r="D420">
            <v>0</v>
          </cell>
          <cell r="E420">
            <v>38.1465</v>
          </cell>
          <cell r="F420" t="str">
            <v>调货</v>
          </cell>
          <cell r="G420" t="str">
            <v>福特、福克斯</v>
          </cell>
          <cell r="H420">
            <v>46</v>
          </cell>
          <cell r="I420">
            <v>45</v>
          </cell>
          <cell r="J420">
            <v>44</v>
          </cell>
          <cell r="K420">
            <v>44</v>
          </cell>
          <cell r="L420">
            <v>43</v>
          </cell>
          <cell r="M420">
            <v>42</v>
          </cell>
        </row>
        <row r="421">
          <cell r="A421" t="str">
            <v>DQ9021F1</v>
          </cell>
          <cell r="B421">
            <v>130</v>
          </cell>
          <cell r="C421">
            <v>24.5273517454545</v>
          </cell>
          <cell r="D421">
            <v>0</v>
          </cell>
          <cell r="E421">
            <v>24.5273517454545</v>
          </cell>
          <cell r="F421" t="str">
            <v>自制</v>
          </cell>
          <cell r="G421" t="str">
            <v>新款奇瑞 1.0L</v>
          </cell>
          <cell r="H421">
            <v>34</v>
          </cell>
          <cell r="I421">
            <v>32</v>
          </cell>
          <cell r="J421">
            <v>31</v>
          </cell>
          <cell r="K421">
            <v>30</v>
          </cell>
          <cell r="L421">
            <v>29</v>
          </cell>
          <cell r="M421">
            <v>27</v>
          </cell>
        </row>
        <row r="422">
          <cell r="A422" t="str">
            <v>DQ9089A1</v>
          </cell>
          <cell r="B422">
            <v>129</v>
          </cell>
          <cell r="C422">
            <v>49.4076555</v>
          </cell>
          <cell r="D422">
            <v>0</v>
          </cell>
          <cell r="E422">
            <v>49.4076555</v>
          </cell>
          <cell r="F422" t="str">
            <v>调货</v>
          </cell>
          <cell r="G422" t="str">
            <v>风神、奕炫</v>
          </cell>
          <cell r="H422">
            <v>59</v>
          </cell>
          <cell r="I422">
            <v>58</v>
          </cell>
          <cell r="J422">
            <v>57</v>
          </cell>
          <cell r="K422">
            <v>56</v>
          </cell>
          <cell r="L422">
            <v>56</v>
          </cell>
          <cell r="M422">
            <v>55</v>
          </cell>
        </row>
        <row r="423">
          <cell r="A423" t="str">
            <v>DQ9017E1</v>
          </cell>
          <cell r="B423">
            <v>122</v>
          </cell>
          <cell r="C423">
            <v>43.68</v>
          </cell>
          <cell r="D423">
            <v>0</v>
          </cell>
          <cell r="E423">
            <v>43.68</v>
          </cell>
          <cell r="F423" t="str">
            <v>调货</v>
          </cell>
          <cell r="G423" t="str">
            <v>沃尔沃</v>
          </cell>
          <cell r="H423">
            <v>52</v>
          </cell>
          <cell r="I423">
            <v>52</v>
          </cell>
          <cell r="J423">
            <v>51</v>
          </cell>
          <cell r="K423">
            <v>50</v>
          </cell>
          <cell r="L423">
            <v>49</v>
          </cell>
          <cell r="M423">
            <v>49</v>
          </cell>
        </row>
        <row r="424">
          <cell r="A424" t="str">
            <v>DQ9005A</v>
          </cell>
          <cell r="B424">
            <v>121</v>
          </cell>
          <cell r="C424">
            <v>16.6143972018182</v>
          </cell>
          <cell r="D424">
            <v>0</v>
          </cell>
          <cell r="E424">
            <v>16.6143972018182</v>
          </cell>
          <cell r="F424" t="str">
            <v>自制</v>
          </cell>
          <cell r="G424" t="str">
            <v>江南奥拓</v>
          </cell>
          <cell r="H424">
            <v>23</v>
          </cell>
          <cell r="I424">
            <v>22</v>
          </cell>
          <cell r="J424">
            <v>21</v>
          </cell>
          <cell r="K424">
            <v>20</v>
          </cell>
          <cell r="L424">
            <v>20</v>
          </cell>
          <cell r="M424">
            <v>19</v>
          </cell>
        </row>
        <row r="425">
          <cell r="A425" t="str">
            <v>DQ9077A1</v>
          </cell>
          <cell r="B425">
            <v>120</v>
          </cell>
          <cell r="C425">
            <v>43.76925</v>
          </cell>
          <cell r="D425">
            <v>0</v>
          </cell>
          <cell r="E425">
            <v>43.76925</v>
          </cell>
          <cell r="F425" t="str">
            <v>调货</v>
          </cell>
          <cell r="G425" t="str">
            <v>上汽通用雪佛兰 科沃兹</v>
          </cell>
          <cell r="H425">
            <v>53</v>
          </cell>
          <cell r="I425">
            <v>52</v>
          </cell>
          <cell r="J425">
            <v>51</v>
          </cell>
          <cell r="K425">
            <v>50</v>
          </cell>
          <cell r="L425">
            <v>50</v>
          </cell>
          <cell r="M425">
            <v>49</v>
          </cell>
        </row>
        <row r="426">
          <cell r="A426" t="str">
            <v>DQ9037B1</v>
          </cell>
          <cell r="B426">
            <v>119</v>
          </cell>
          <cell r="C426">
            <v>24.7530577454545</v>
          </cell>
          <cell r="D426">
            <v>0</v>
          </cell>
          <cell r="E426">
            <v>24.7530577454545</v>
          </cell>
          <cell r="F426" t="str">
            <v>自制</v>
          </cell>
          <cell r="G426" t="str">
            <v>长城腾翼C30</v>
          </cell>
          <cell r="H426">
            <v>34</v>
          </cell>
          <cell r="I426">
            <v>33</v>
          </cell>
          <cell r="J426">
            <v>31</v>
          </cell>
          <cell r="K426">
            <v>30</v>
          </cell>
          <cell r="L426">
            <v>29</v>
          </cell>
          <cell r="M426">
            <v>28</v>
          </cell>
        </row>
        <row r="427">
          <cell r="A427" t="str">
            <v>DQ9107C1</v>
          </cell>
          <cell r="B427">
            <v>117</v>
          </cell>
          <cell r="C427">
            <v>23.2420289151515</v>
          </cell>
          <cell r="D427">
            <v>0</v>
          </cell>
          <cell r="E427">
            <v>23.2420289151515</v>
          </cell>
          <cell r="F427" t="str">
            <v>自制</v>
          </cell>
          <cell r="G427" t="str">
            <v>一汽森雅S80</v>
          </cell>
          <cell r="H427">
            <v>32</v>
          </cell>
          <cell r="I427">
            <v>31</v>
          </cell>
          <cell r="J427">
            <v>30</v>
          </cell>
          <cell r="K427">
            <v>28</v>
          </cell>
          <cell r="L427">
            <v>27</v>
          </cell>
          <cell r="M427">
            <v>26</v>
          </cell>
        </row>
        <row r="428">
          <cell r="A428" t="str">
            <v>DQ9153A2</v>
          </cell>
          <cell r="B428">
            <v>117</v>
          </cell>
          <cell r="C428">
            <v>23.0803289151515</v>
          </cell>
          <cell r="D428">
            <v>0</v>
          </cell>
          <cell r="E428">
            <v>23.0803289151515</v>
          </cell>
          <cell r="F428" t="str">
            <v>自制</v>
          </cell>
          <cell r="G428" t="str">
            <v>长城 自动挡 H6 2.4L</v>
          </cell>
          <cell r="H428">
            <v>32</v>
          </cell>
          <cell r="I428">
            <v>31</v>
          </cell>
          <cell r="J428">
            <v>29</v>
          </cell>
          <cell r="K428">
            <v>28</v>
          </cell>
          <cell r="L428">
            <v>27</v>
          </cell>
          <cell r="M428">
            <v>26</v>
          </cell>
        </row>
        <row r="429">
          <cell r="A429" t="str">
            <v>DQ9003G4</v>
          </cell>
          <cell r="B429">
            <v>113</v>
          </cell>
          <cell r="C429">
            <v>29.0145597454546</v>
          </cell>
          <cell r="D429">
            <v>0</v>
          </cell>
          <cell r="E429">
            <v>29.0145597454546</v>
          </cell>
          <cell r="F429" t="str">
            <v>自制</v>
          </cell>
          <cell r="G429" t="str">
            <v>奇骏2.0L</v>
          </cell>
          <cell r="H429">
            <v>40</v>
          </cell>
          <cell r="I429">
            <v>38</v>
          </cell>
          <cell r="J429">
            <v>37</v>
          </cell>
          <cell r="K429">
            <v>35</v>
          </cell>
          <cell r="L429">
            <v>34</v>
          </cell>
          <cell r="M429">
            <v>32</v>
          </cell>
        </row>
        <row r="430">
          <cell r="A430" t="str">
            <v>DQ9114A</v>
          </cell>
          <cell r="B430">
            <v>112</v>
          </cell>
          <cell r="C430">
            <v>34.0967060309718</v>
          </cell>
          <cell r="D430">
            <v>0</v>
          </cell>
          <cell r="E430">
            <v>34.0967060309718</v>
          </cell>
          <cell r="F430" t="str">
            <v>自制</v>
          </cell>
          <cell r="G430" t="str">
            <v>途锐长杆</v>
          </cell>
          <cell r="H430">
            <v>47</v>
          </cell>
          <cell r="I430">
            <v>45</v>
          </cell>
          <cell r="J430">
            <v>43</v>
          </cell>
          <cell r="K430">
            <v>41</v>
          </cell>
          <cell r="L430">
            <v>40</v>
          </cell>
          <cell r="M430">
            <v>38</v>
          </cell>
        </row>
        <row r="431">
          <cell r="A431" t="str">
            <v>DQ9005B</v>
          </cell>
          <cell r="B431">
            <v>112</v>
          </cell>
          <cell r="C431">
            <v>17.2608135654545</v>
          </cell>
          <cell r="D431">
            <v>0</v>
          </cell>
          <cell r="E431">
            <v>17.2608135654545</v>
          </cell>
          <cell r="F431" t="str">
            <v>自制</v>
          </cell>
          <cell r="G431" t="str">
            <v>福特水星03-05</v>
          </cell>
          <cell r="H431">
            <v>24</v>
          </cell>
          <cell r="I431">
            <v>23</v>
          </cell>
          <cell r="J431">
            <v>22</v>
          </cell>
          <cell r="K431">
            <v>21</v>
          </cell>
          <cell r="L431">
            <v>20</v>
          </cell>
          <cell r="M431">
            <v>19</v>
          </cell>
        </row>
        <row r="432">
          <cell r="A432" t="str">
            <v>DQ9007H1</v>
          </cell>
          <cell r="B432">
            <v>111</v>
          </cell>
          <cell r="C432">
            <v>35.4784171454546</v>
          </cell>
          <cell r="D432">
            <v>0</v>
          </cell>
          <cell r="E432">
            <v>35.4784171454546</v>
          </cell>
          <cell r="F432" t="str">
            <v>自制</v>
          </cell>
          <cell r="G432" t="str">
            <v>2019 Kia Cadenza 3.3l</v>
          </cell>
          <cell r="H432">
            <v>48</v>
          </cell>
          <cell r="I432">
            <v>47</v>
          </cell>
          <cell r="J432">
            <v>45</v>
          </cell>
          <cell r="K432">
            <v>43</v>
          </cell>
          <cell r="L432">
            <v>41</v>
          </cell>
          <cell r="M432">
            <v>40</v>
          </cell>
        </row>
        <row r="433">
          <cell r="A433" t="str">
            <v>DQ9038A3</v>
          </cell>
          <cell r="B433">
            <v>108</v>
          </cell>
          <cell r="C433">
            <v>24.6971112121212</v>
          </cell>
          <cell r="D433">
            <v>0</v>
          </cell>
          <cell r="E433">
            <v>24.6971112121212</v>
          </cell>
          <cell r="F433" t="str">
            <v>自制</v>
          </cell>
          <cell r="G433" t="str">
            <v>力帆</v>
          </cell>
          <cell r="H433">
            <v>34</v>
          </cell>
          <cell r="I433">
            <v>33</v>
          </cell>
          <cell r="J433">
            <v>31</v>
          </cell>
          <cell r="K433">
            <v>30</v>
          </cell>
          <cell r="L433">
            <v>29</v>
          </cell>
          <cell r="M433">
            <v>28</v>
          </cell>
        </row>
        <row r="434">
          <cell r="A434" t="str">
            <v>DQ9130A1</v>
          </cell>
          <cell r="B434">
            <v>108</v>
          </cell>
          <cell r="C434">
            <v>52.8759</v>
          </cell>
          <cell r="D434">
            <v>0</v>
          </cell>
          <cell r="E434">
            <v>52.8759</v>
          </cell>
          <cell r="F434" t="str">
            <v>调货</v>
          </cell>
          <cell r="G434" t="str">
            <v>福特</v>
          </cell>
          <cell r="H434">
            <v>63</v>
          </cell>
          <cell r="I434">
            <v>62</v>
          </cell>
          <cell r="J434">
            <v>61</v>
          </cell>
          <cell r="K434">
            <v>60</v>
          </cell>
          <cell r="L434">
            <v>60</v>
          </cell>
          <cell r="M434">
            <v>59</v>
          </cell>
        </row>
        <row r="435">
          <cell r="A435" t="str">
            <v>DQ9071A1</v>
          </cell>
          <cell r="B435">
            <v>108</v>
          </cell>
          <cell r="C435">
            <v>34.839</v>
          </cell>
          <cell r="D435">
            <v>0</v>
          </cell>
          <cell r="E435">
            <v>34.839</v>
          </cell>
          <cell r="F435" t="str">
            <v>调货</v>
          </cell>
          <cell r="G435" t="str">
            <v>东风小康C31</v>
          </cell>
          <cell r="H435">
            <v>42</v>
          </cell>
          <cell r="I435">
            <v>41</v>
          </cell>
          <cell r="J435">
            <v>41</v>
          </cell>
          <cell r="K435">
            <v>40</v>
          </cell>
          <cell r="L435">
            <v>40</v>
          </cell>
          <cell r="M435">
            <v>39</v>
          </cell>
        </row>
        <row r="436">
          <cell r="A436" t="str">
            <v>DQ9206A</v>
          </cell>
          <cell r="B436">
            <v>106</v>
          </cell>
          <cell r="C436">
            <v>34.4995572727273</v>
          </cell>
          <cell r="D436">
            <v>0</v>
          </cell>
          <cell r="E436">
            <v>34.4995572727273</v>
          </cell>
          <cell r="F436" t="str">
            <v>自制</v>
          </cell>
          <cell r="G436" t="str">
            <v>三菱兰瑟</v>
          </cell>
          <cell r="H436">
            <v>47</v>
          </cell>
          <cell r="I436">
            <v>45</v>
          </cell>
          <cell r="J436">
            <v>44</v>
          </cell>
          <cell r="K436">
            <v>42</v>
          </cell>
          <cell r="L436">
            <v>40</v>
          </cell>
          <cell r="M436">
            <v>38</v>
          </cell>
        </row>
        <row r="437">
          <cell r="A437" t="str">
            <v>DQ9074A2</v>
          </cell>
          <cell r="B437">
            <v>102</v>
          </cell>
          <cell r="C437">
            <v>46.36233</v>
          </cell>
          <cell r="D437">
            <v>0</v>
          </cell>
          <cell r="E437">
            <v>46.36233</v>
          </cell>
          <cell r="F437" t="str">
            <v>调货</v>
          </cell>
          <cell r="G437" t="str">
            <v>东风小康D71</v>
          </cell>
          <cell r="H437">
            <v>56</v>
          </cell>
          <cell r="I437">
            <v>55</v>
          </cell>
          <cell r="J437">
            <v>54</v>
          </cell>
          <cell r="K437">
            <v>53</v>
          </cell>
          <cell r="L437">
            <v>52</v>
          </cell>
          <cell r="M437">
            <v>51</v>
          </cell>
        </row>
        <row r="438">
          <cell r="A438" t="str">
            <v>DQ9128A2</v>
          </cell>
          <cell r="B438">
            <v>100</v>
          </cell>
          <cell r="C438">
            <v>34.6084798060606</v>
          </cell>
          <cell r="D438">
            <v>0</v>
          </cell>
          <cell r="E438">
            <v>34.6084798060606</v>
          </cell>
          <cell r="F438" t="str">
            <v>自制</v>
          </cell>
          <cell r="G438" t="str">
            <v>林荫大道</v>
          </cell>
          <cell r="H438">
            <v>47</v>
          </cell>
          <cell r="I438">
            <v>45</v>
          </cell>
          <cell r="J438">
            <v>44</v>
          </cell>
          <cell r="K438">
            <v>42</v>
          </cell>
          <cell r="L438">
            <v>40</v>
          </cell>
          <cell r="M438">
            <v>39</v>
          </cell>
        </row>
        <row r="439">
          <cell r="A439" t="str">
            <v>DQ6207</v>
          </cell>
          <cell r="B439">
            <v>99</v>
          </cell>
          <cell r="C439">
            <v>98</v>
          </cell>
          <cell r="D439">
            <v>-0.563500000000005</v>
          </cell>
          <cell r="E439">
            <v>98.5635</v>
          </cell>
          <cell r="F439" t="str">
            <v>调货</v>
          </cell>
          <cell r="G439" t="str">
            <v>圣达菲2.7</v>
          </cell>
          <cell r="H439">
            <v>117</v>
          </cell>
          <cell r="I439">
            <v>115</v>
          </cell>
          <cell r="J439">
            <v>113</v>
          </cell>
          <cell r="K439">
            <v>111</v>
          </cell>
          <cell r="L439">
            <v>110</v>
          </cell>
          <cell r="M439">
            <v>108</v>
          </cell>
        </row>
        <row r="440">
          <cell r="A440" t="str">
            <v>DQ9021A</v>
          </cell>
          <cell r="B440">
            <v>98</v>
          </cell>
          <cell r="C440">
            <v>21.3062483909091</v>
          </cell>
          <cell r="D440">
            <v>0</v>
          </cell>
          <cell r="E440">
            <v>21.3062483909091</v>
          </cell>
          <cell r="F440" t="str">
            <v>自制</v>
          </cell>
          <cell r="G440" t="str">
            <v>天津夏利</v>
          </cell>
          <cell r="H440">
            <v>29</v>
          </cell>
          <cell r="I440">
            <v>28</v>
          </cell>
          <cell r="J440">
            <v>27</v>
          </cell>
          <cell r="K440">
            <v>26</v>
          </cell>
          <cell r="L440">
            <v>25</v>
          </cell>
          <cell r="M440">
            <v>24</v>
          </cell>
        </row>
        <row r="441">
          <cell r="A441" t="str">
            <v>DQ9010L1</v>
          </cell>
          <cell r="B441">
            <v>97</v>
          </cell>
          <cell r="C441">
            <v>26.7537451454545</v>
          </cell>
          <cell r="D441">
            <v>0</v>
          </cell>
          <cell r="E441">
            <v>26.7537451454545</v>
          </cell>
          <cell r="F441" t="str">
            <v>自制</v>
          </cell>
          <cell r="G441" t="str">
            <v>本田飞度混动2013款</v>
          </cell>
          <cell r="H441">
            <v>37</v>
          </cell>
          <cell r="I441">
            <v>35</v>
          </cell>
          <cell r="J441">
            <v>34</v>
          </cell>
          <cell r="K441">
            <v>33</v>
          </cell>
          <cell r="L441">
            <v>31</v>
          </cell>
          <cell r="M441">
            <v>30</v>
          </cell>
        </row>
        <row r="442">
          <cell r="A442" t="str">
            <v>DQ9050A2</v>
          </cell>
          <cell r="B442">
            <v>96</v>
          </cell>
          <cell r="C442">
            <v>36.5</v>
          </cell>
          <cell r="D442">
            <v>1.8250316545454</v>
          </cell>
          <cell r="E442">
            <v>34.6749683454546</v>
          </cell>
          <cell r="F442" t="str">
            <v>自制</v>
          </cell>
          <cell r="G442" t="str">
            <v>三菱欧蓝德2.4L</v>
          </cell>
          <cell r="H442">
            <v>50</v>
          </cell>
          <cell r="I442">
            <v>48</v>
          </cell>
          <cell r="J442">
            <v>46</v>
          </cell>
          <cell r="K442">
            <v>44</v>
          </cell>
          <cell r="L442">
            <v>42</v>
          </cell>
          <cell r="M442">
            <v>41</v>
          </cell>
        </row>
        <row r="443">
          <cell r="A443" t="str">
            <v>DQ6402C1</v>
          </cell>
          <cell r="B443">
            <v>94</v>
          </cell>
          <cell r="C443">
            <v>65.9030418181818</v>
          </cell>
          <cell r="D443">
            <v>0</v>
          </cell>
          <cell r="E443">
            <v>65.9030418181818</v>
          </cell>
          <cell r="F443" t="str">
            <v>自制</v>
          </cell>
          <cell r="G443" t="str">
            <v>斯巴鲁</v>
          </cell>
          <cell r="H443">
            <v>89</v>
          </cell>
          <cell r="I443">
            <v>86</v>
          </cell>
          <cell r="J443">
            <v>83</v>
          </cell>
          <cell r="K443">
            <v>80</v>
          </cell>
          <cell r="L443">
            <v>76</v>
          </cell>
          <cell r="M443">
            <v>73</v>
          </cell>
        </row>
        <row r="444">
          <cell r="A444" t="str">
            <v>DQ4202A1</v>
          </cell>
          <cell r="B444">
            <v>94</v>
          </cell>
          <cell r="C444">
            <v>52.776675</v>
          </cell>
          <cell r="D444">
            <v>0</v>
          </cell>
          <cell r="E444">
            <v>52.776675</v>
          </cell>
          <cell r="F444" t="str">
            <v>调货</v>
          </cell>
          <cell r="G444" t="str">
            <v>丰田SR40</v>
          </cell>
          <cell r="H444">
            <v>63</v>
          </cell>
          <cell r="I444">
            <v>62</v>
          </cell>
          <cell r="J444">
            <v>61</v>
          </cell>
          <cell r="K444">
            <v>60</v>
          </cell>
          <cell r="L444">
            <v>60</v>
          </cell>
          <cell r="M444">
            <v>59</v>
          </cell>
        </row>
        <row r="445">
          <cell r="A445" t="str">
            <v>DQ9003G7</v>
          </cell>
          <cell r="B445">
            <v>92</v>
          </cell>
          <cell r="C445">
            <v>40.84983</v>
          </cell>
          <cell r="D445">
            <v>0</v>
          </cell>
          <cell r="E445">
            <v>40.84983</v>
          </cell>
          <cell r="F445" t="str">
            <v>调货</v>
          </cell>
          <cell r="G445" t="str">
            <v>22448-6LBOA</v>
          </cell>
          <cell r="H445">
            <v>49</v>
          </cell>
          <cell r="I445">
            <v>48</v>
          </cell>
          <cell r="J445">
            <v>47</v>
          </cell>
          <cell r="K445">
            <v>47</v>
          </cell>
          <cell r="L445">
            <v>46</v>
          </cell>
          <cell r="M445">
            <v>45</v>
          </cell>
        </row>
        <row r="446">
          <cell r="A446" t="str">
            <v>DQ9033A1</v>
          </cell>
          <cell r="B446">
            <v>90</v>
          </cell>
          <cell r="C446">
            <v>31.0660050060606</v>
          </cell>
          <cell r="D446">
            <v>0</v>
          </cell>
          <cell r="E446">
            <v>31.0660050060606</v>
          </cell>
          <cell r="F446" t="str">
            <v>自制</v>
          </cell>
          <cell r="G446" t="str">
            <v>青年莲花</v>
          </cell>
          <cell r="H446">
            <v>42</v>
          </cell>
          <cell r="I446">
            <v>41</v>
          </cell>
          <cell r="J446">
            <v>39</v>
          </cell>
          <cell r="K446">
            <v>38</v>
          </cell>
          <cell r="L446">
            <v>36</v>
          </cell>
          <cell r="M446">
            <v>35</v>
          </cell>
        </row>
        <row r="447">
          <cell r="A447" t="str">
            <v>DQ6211</v>
          </cell>
          <cell r="B447">
            <v>90</v>
          </cell>
          <cell r="C447">
            <v>61.32</v>
          </cell>
          <cell r="D447">
            <v>0</v>
          </cell>
          <cell r="E447">
            <v>61.32</v>
          </cell>
          <cell r="F447" t="str">
            <v>调货</v>
          </cell>
          <cell r="G447" t="str">
            <v>现代</v>
          </cell>
          <cell r="H447">
            <v>73</v>
          </cell>
          <cell r="I447">
            <v>72</v>
          </cell>
          <cell r="J447">
            <v>71</v>
          </cell>
          <cell r="K447">
            <v>70</v>
          </cell>
          <cell r="L447">
            <v>69</v>
          </cell>
          <cell r="M447">
            <v>68</v>
          </cell>
        </row>
        <row r="448">
          <cell r="A448" t="str">
            <v>DQ9004D2</v>
          </cell>
          <cell r="B448">
            <v>90</v>
          </cell>
          <cell r="C448">
            <v>30.0104645454545</v>
          </cell>
          <cell r="D448">
            <v>0</v>
          </cell>
          <cell r="E448">
            <v>30.0104645454545</v>
          </cell>
          <cell r="F448" t="str">
            <v>自制</v>
          </cell>
          <cell r="G448" t="str">
            <v>尼桑</v>
          </cell>
          <cell r="H448">
            <v>41</v>
          </cell>
          <cell r="I448">
            <v>40</v>
          </cell>
          <cell r="J448">
            <v>38</v>
          </cell>
          <cell r="K448">
            <v>37</v>
          </cell>
          <cell r="L448">
            <v>35</v>
          </cell>
          <cell r="M448">
            <v>34</v>
          </cell>
        </row>
        <row r="449">
          <cell r="A449" t="str">
            <v>DQ9085A1</v>
          </cell>
          <cell r="B449">
            <v>90</v>
          </cell>
          <cell r="C449">
            <v>49.557375</v>
          </cell>
          <cell r="D449">
            <v>0</v>
          </cell>
          <cell r="E449">
            <v>49.557375</v>
          </cell>
          <cell r="F449" t="str">
            <v>调货</v>
          </cell>
          <cell r="G449" t="str">
            <v>福特福克斯</v>
          </cell>
          <cell r="H449">
            <v>59</v>
          </cell>
          <cell r="I449">
            <v>58</v>
          </cell>
          <cell r="J449">
            <v>57</v>
          </cell>
          <cell r="K449">
            <v>56</v>
          </cell>
          <cell r="L449">
            <v>56</v>
          </cell>
          <cell r="M449">
            <v>55</v>
          </cell>
        </row>
        <row r="450">
          <cell r="A450" t="str">
            <v>DQ9120A</v>
          </cell>
          <cell r="B450">
            <v>89</v>
          </cell>
          <cell r="C450">
            <v>32.991</v>
          </cell>
          <cell r="D450">
            <v>0</v>
          </cell>
          <cell r="E450">
            <v>32.991</v>
          </cell>
          <cell r="F450" t="str">
            <v>调货</v>
          </cell>
          <cell r="G450" t="str">
            <v>荣威 750 2.5L（黑色铁管）</v>
          </cell>
          <cell r="H450">
            <v>40</v>
          </cell>
          <cell r="I450">
            <v>39</v>
          </cell>
          <cell r="J450">
            <v>38</v>
          </cell>
          <cell r="K450">
            <v>38</v>
          </cell>
          <cell r="L450">
            <v>37</v>
          </cell>
          <cell r="M450">
            <v>37</v>
          </cell>
        </row>
        <row r="451">
          <cell r="A451" t="str">
            <v>DQ6407</v>
          </cell>
          <cell r="B451">
            <v>88</v>
          </cell>
          <cell r="C451">
            <v>42</v>
          </cell>
          <cell r="D451">
            <v>-0.532507818181799</v>
          </cell>
          <cell r="E451">
            <v>42.5325078181818</v>
          </cell>
          <cell r="F451" t="str">
            <v>自制</v>
          </cell>
          <cell r="G451" t="str">
            <v>蒙迪欧</v>
          </cell>
          <cell r="H451">
            <v>57</v>
          </cell>
          <cell r="I451">
            <v>55</v>
          </cell>
          <cell r="J451">
            <v>53</v>
          </cell>
          <cell r="K451">
            <v>51</v>
          </cell>
          <cell r="L451">
            <v>49</v>
          </cell>
          <cell r="M451">
            <v>47</v>
          </cell>
        </row>
        <row r="452">
          <cell r="A452" t="str">
            <v>DQ9130B1</v>
          </cell>
          <cell r="B452">
            <v>87</v>
          </cell>
          <cell r="C452">
            <v>52.8759</v>
          </cell>
          <cell r="D452">
            <v>0</v>
          </cell>
          <cell r="E452">
            <v>52.8759</v>
          </cell>
          <cell r="F452" t="str">
            <v>调货</v>
          </cell>
          <cell r="G452" t="str">
            <v>福特猛禽F-150(右排)</v>
          </cell>
          <cell r="H452">
            <v>63</v>
          </cell>
          <cell r="I452">
            <v>62</v>
          </cell>
          <cell r="J452">
            <v>61</v>
          </cell>
          <cell r="K452">
            <v>60</v>
          </cell>
          <cell r="L452">
            <v>60</v>
          </cell>
          <cell r="M452">
            <v>59</v>
          </cell>
        </row>
        <row r="453">
          <cell r="A453" t="str">
            <v>DQ9210A4</v>
          </cell>
          <cell r="B453">
            <v>86</v>
          </cell>
          <cell r="C453">
            <v>23.2415588727273</v>
          </cell>
          <cell r="D453">
            <v>0</v>
          </cell>
          <cell r="E453">
            <v>23.2415588727273</v>
          </cell>
          <cell r="F453" t="str">
            <v>自制</v>
          </cell>
          <cell r="G453" t="str">
            <v>比亚迪G3</v>
          </cell>
          <cell r="H453">
            <v>32</v>
          </cell>
          <cell r="I453">
            <v>31</v>
          </cell>
          <cell r="J453">
            <v>30</v>
          </cell>
          <cell r="K453">
            <v>28</v>
          </cell>
          <cell r="L453">
            <v>27</v>
          </cell>
          <cell r="M453">
            <v>26</v>
          </cell>
        </row>
        <row r="454">
          <cell r="A454" t="str">
            <v>DQ9036D1</v>
          </cell>
          <cell r="B454">
            <v>82</v>
          </cell>
          <cell r="C454">
            <v>40.84983</v>
          </cell>
          <cell r="D454">
            <v>0</v>
          </cell>
          <cell r="E454">
            <v>40.84983</v>
          </cell>
          <cell r="F454" t="str">
            <v>调货</v>
          </cell>
          <cell r="G454" t="str">
            <v>指南者</v>
          </cell>
          <cell r="H454">
            <v>49</v>
          </cell>
          <cell r="I454">
            <v>48</v>
          </cell>
          <cell r="J454">
            <v>47</v>
          </cell>
          <cell r="K454">
            <v>47</v>
          </cell>
          <cell r="L454">
            <v>46</v>
          </cell>
          <cell r="M454">
            <v>45</v>
          </cell>
        </row>
        <row r="455">
          <cell r="A455" t="str">
            <v>DQ9034A6</v>
          </cell>
          <cell r="B455">
            <v>81</v>
          </cell>
          <cell r="C455">
            <v>37.15425</v>
          </cell>
          <cell r="D455">
            <v>0</v>
          </cell>
          <cell r="E455">
            <v>37.15425</v>
          </cell>
          <cell r="F455" t="str">
            <v>调货</v>
          </cell>
          <cell r="G455" t="str">
            <v>北汽绅宝</v>
          </cell>
          <cell r="H455">
            <v>45</v>
          </cell>
          <cell r="I455">
            <v>44</v>
          </cell>
          <cell r="J455">
            <v>43</v>
          </cell>
          <cell r="K455">
            <v>42</v>
          </cell>
          <cell r="L455">
            <v>42</v>
          </cell>
          <cell r="M455">
            <v>41</v>
          </cell>
        </row>
        <row r="456">
          <cell r="A456" t="str">
            <v>DQ9039F1</v>
          </cell>
          <cell r="B456">
            <v>81</v>
          </cell>
          <cell r="C456">
            <v>25.5294041818182</v>
          </cell>
          <cell r="D456">
            <v>0</v>
          </cell>
          <cell r="E456">
            <v>25.5294041818182</v>
          </cell>
          <cell r="F456" t="str">
            <v>自制</v>
          </cell>
          <cell r="G456" t="str">
            <v>福瑞达M50S 1.4L</v>
          </cell>
          <cell r="H456">
            <v>35</v>
          </cell>
          <cell r="I456">
            <v>34</v>
          </cell>
          <cell r="J456">
            <v>32</v>
          </cell>
          <cell r="K456">
            <v>31</v>
          </cell>
          <cell r="L456">
            <v>30</v>
          </cell>
          <cell r="M456">
            <v>29</v>
          </cell>
        </row>
        <row r="457">
          <cell r="A457" t="str">
            <v>DQ9209K</v>
          </cell>
          <cell r="B457">
            <v>79</v>
          </cell>
          <cell r="C457">
            <v>28.3072172727273</v>
          </cell>
          <cell r="D457">
            <v>0</v>
          </cell>
          <cell r="E457">
            <v>28.3072172727273</v>
          </cell>
          <cell r="F457" t="str">
            <v>自制</v>
          </cell>
          <cell r="G457" t="str">
            <v>新羚羊</v>
          </cell>
          <cell r="H457">
            <v>39</v>
          </cell>
          <cell r="I457">
            <v>37</v>
          </cell>
          <cell r="J457">
            <v>36</v>
          </cell>
          <cell r="K457">
            <v>34</v>
          </cell>
          <cell r="L457">
            <v>33</v>
          </cell>
          <cell r="M457">
            <v>32</v>
          </cell>
        </row>
        <row r="458">
          <cell r="A458" t="str">
            <v>DQ9135B1</v>
          </cell>
          <cell r="B458">
            <v>79</v>
          </cell>
          <cell r="C458">
            <v>38.241</v>
          </cell>
          <cell r="D458">
            <v>0</v>
          </cell>
          <cell r="E458">
            <v>38.241</v>
          </cell>
          <cell r="F458" t="str">
            <v>调货</v>
          </cell>
          <cell r="G458" t="str">
            <v>标致 3.0L</v>
          </cell>
          <cell r="H458">
            <v>46</v>
          </cell>
          <cell r="I458">
            <v>45</v>
          </cell>
          <cell r="J458">
            <v>44</v>
          </cell>
          <cell r="K458">
            <v>44</v>
          </cell>
          <cell r="L458">
            <v>43</v>
          </cell>
          <cell r="M458">
            <v>43</v>
          </cell>
        </row>
        <row r="459">
          <cell r="A459" t="str">
            <v>DQ9402A2</v>
          </cell>
          <cell r="B459">
            <v>78</v>
          </cell>
          <cell r="C459">
            <v>110</v>
          </cell>
          <cell r="D459">
            <v>-0.670000000000002</v>
          </cell>
          <cell r="E459">
            <v>110.67</v>
          </cell>
          <cell r="F459" t="str">
            <v>调货</v>
          </cell>
          <cell r="G459" t="str">
            <v>标致2.0L 老款</v>
          </cell>
          <cell r="H459">
            <v>131</v>
          </cell>
          <cell r="I459">
            <v>129</v>
          </cell>
          <cell r="J459">
            <v>127</v>
          </cell>
          <cell r="K459">
            <v>125</v>
          </cell>
          <cell r="L459">
            <v>124</v>
          </cell>
          <cell r="M459">
            <v>121</v>
          </cell>
        </row>
        <row r="460">
          <cell r="A460" t="str">
            <v>DQ6409</v>
          </cell>
          <cell r="B460">
            <v>76</v>
          </cell>
          <cell r="C460">
            <v>152.355</v>
          </cell>
          <cell r="D460">
            <v>0</v>
          </cell>
          <cell r="E460">
            <v>152.355</v>
          </cell>
          <cell r="F460" t="str">
            <v>调货</v>
          </cell>
          <cell r="G460" t="str">
            <v>通用别克陆尊</v>
          </cell>
          <cell r="H460">
            <v>182</v>
          </cell>
          <cell r="I460">
            <v>179</v>
          </cell>
          <cell r="J460">
            <v>176</v>
          </cell>
          <cell r="K460">
            <v>173</v>
          </cell>
          <cell r="L460">
            <v>171</v>
          </cell>
          <cell r="M460">
            <v>168</v>
          </cell>
        </row>
        <row r="461">
          <cell r="A461" t="str">
            <v>DQ9106LR</v>
          </cell>
          <cell r="B461">
            <v>76</v>
          </cell>
          <cell r="C461">
            <v>29.6966187151515</v>
          </cell>
          <cell r="D461">
            <v>0</v>
          </cell>
          <cell r="E461">
            <v>29.6966187151515</v>
          </cell>
          <cell r="F461" t="str">
            <v>自制</v>
          </cell>
          <cell r="G461" t="str">
            <v>波罗 红头</v>
          </cell>
          <cell r="H461">
            <v>41</v>
          </cell>
          <cell r="I461">
            <v>39</v>
          </cell>
          <cell r="J461">
            <v>38</v>
          </cell>
          <cell r="K461">
            <v>36</v>
          </cell>
          <cell r="L461">
            <v>35</v>
          </cell>
          <cell r="M461">
            <v>33</v>
          </cell>
        </row>
        <row r="462">
          <cell r="A462" t="str">
            <v>DQ9063A1</v>
          </cell>
          <cell r="B462">
            <v>75</v>
          </cell>
          <cell r="C462">
            <v>54.79425</v>
          </cell>
          <cell r="D462">
            <v>0</v>
          </cell>
          <cell r="E462">
            <v>54.79425</v>
          </cell>
          <cell r="F462" t="str">
            <v>调货</v>
          </cell>
          <cell r="G462" t="str">
            <v>凯迪拉克 CT6 3.0T</v>
          </cell>
          <cell r="H462">
            <v>66</v>
          </cell>
          <cell r="I462">
            <v>65</v>
          </cell>
          <cell r="J462">
            <v>64</v>
          </cell>
          <cell r="K462">
            <v>62</v>
          </cell>
          <cell r="L462">
            <v>62</v>
          </cell>
          <cell r="M462">
            <v>61</v>
          </cell>
        </row>
        <row r="463">
          <cell r="A463" t="str">
            <v>DQ9080A1</v>
          </cell>
          <cell r="B463">
            <v>75</v>
          </cell>
          <cell r="C463">
            <v>73.92483</v>
          </cell>
          <cell r="D463">
            <v>0</v>
          </cell>
          <cell r="E463">
            <v>73.92483</v>
          </cell>
          <cell r="F463" t="str">
            <v>调货</v>
          </cell>
          <cell r="G463" t="str">
            <v>标致308</v>
          </cell>
          <cell r="H463">
            <v>88</v>
          </cell>
          <cell r="I463">
            <v>87</v>
          </cell>
          <cell r="J463">
            <v>86</v>
          </cell>
          <cell r="K463">
            <v>84</v>
          </cell>
          <cell r="L463">
            <v>83</v>
          </cell>
          <cell r="M463">
            <v>82</v>
          </cell>
        </row>
        <row r="464">
          <cell r="A464" t="str">
            <v>DQ9132L1</v>
          </cell>
          <cell r="B464">
            <v>72</v>
          </cell>
          <cell r="C464">
            <v>51.3765</v>
          </cell>
          <cell r="D464">
            <v>0</v>
          </cell>
          <cell r="E464">
            <v>51.3765</v>
          </cell>
          <cell r="F464" t="str">
            <v>调货</v>
          </cell>
          <cell r="G464" t="str">
            <v>大发97204</v>
          </cell>
          <cell r="H464">
            <v>62</v>
          </cell>
          <cell r="I464">
            <v>61</v>
          </cell>
          <cell r="J464">
            <v>60</v>
          </cell>
          <cell r="K464">
            <v>59</v>
          </cell>
          <cell r="L464">
            <v>58</v>
          </cell>
          <cell r="M464">
            <v>57</v>
          </cell>
        </row>
        <row r="465">
          <cell r="A465" t="str">
            <v>DQ1212Y</v>
          </cell>
          <cell r="B465">
            <v>72</v>
          </cell>
          <cell r="C465">
            <v>55.01475</v>
          </cell>
          <cell r="D465">
            <v>0</v>
          </cell>
          <cell r="E465">
            <v>55.01475</v>
          </cell>
          <cell r="F465" t="str">
            <v>调货</v>
          </cell>
          <cell r="G465" t="str">
            <v>标致</v>
          </cell>
          <cell r="H465">
            <v>66</v>
          </cell>
          <cell r="I465">
            <v>65</v>
          </cell>
          <cell r="J465">
            <v>64</v>
          </cell>
          <cell r="K465">
            <v>63</v>
          </cell>
          <cell r="L465">
            <v>62</v>
          </cell>
          <cell r="M465">
            <v>61</v>
          </cell>
        </row>
        <row r="466">
          <cell r="A466" t="str">
            <v>DQ132</v>
          </cell>
          <cell r="B466">
            <v>71</v>
          </cell>
          <cell r="C466">
            <v>26.1975</v>
          </cell>
          <cell r="D466">
            <v>0</v>
          </cell>
          <cell r="E466">
            <v>26.1975</v>
          </cell>
          <cell r="F466" t="str">
            <v>调货</v>
          </cell>
          <cell r="G466" t="str">
            <v>99新秀</v>
          </cell>
          <cell r="H466">
            <v>32</v>
          </cell>
          <cell r="I466">
            <v>31</v>
          </cell>
          <cell r="J466">
            <v>31</v>
          </cell>
          <cell r="K466">
            <v>30</v>
          </cell>
          <cell r="L466">
            <v>30</v>
          </cell>
          <cell r="M466">
            <v>29</v>
          </cell>
        </row>
        <row r="467">
          <cell r="A467" t="str">
            <v>DQ6210</v>
          </cell>
          <cell r="B467">
            <v>70</v>
          </cell>
          <cell r="C467">
            <v>61.698</v>
          </cell>
          <cell r="D467">
            <v>0</v>
          </cell>
          <cell r="E467">
            <v>61.698</v>
          </cell>
          <cell r="F467" t="str">
            <v>调货</v>
          </cell>
          <cell r="G467" t="str">
            <v>千里马1.3L</v>
          </cell>
          <cell r="H467">
            <v>74</v>
          </cell>
          <cell r="I467">
            <v>73</v>
          </cell>
          <cell r="J467">
            <v>71</v>
          </cell>
          <cell r="K467">
            <v>70</v>
          </cell>
          <cell r="L467">
            <v>70</v>
          </cell>
          <cell r="M467">
            <v>68</v>
          </cell>
        </row>
        <row r="468">
          <cell r="A468" t="str">
            <v>DQ9003G3</v>
          </cell>
          <cell r="B468">
            <v>70</v>
          </cell>
          <cell r="C468">
            <v>28.9265597454546</v>
          </cell>
          <cell r="D468">
            <v>0</v>
          </cell>
          <cell r="E468">
            <v>28.9265597454546</v>
          </cell>
          <cell r="F468" t="str">
            <v>自制</v>
          </cell>
          <cell r="G468" t="str">
            <v>国外版日产楼兰15-19款/英菲尼迪</v>
          </cell>
          <cell r="H468">
            <v>40</v>
          </cell>
          <cell r="I468">
            <v>38</v>
          </cell>
          <cell r="J468">
            <v>37</v>
          </cell>
          <cell r="K468">
            <v>35</v>
          </cell>
          <cell r="L468">
            <v>34</v>
          </cell>
          <cell r="M468">
            <v>32</v>
          </cell>
        </row>
        <row r="469">
          <cell r="A469" t="str">
            <v>DQ6401B1</v>
          </cell>
          <cell r="B469">
            <v>70</v>
          </cell>
          <cell r="C469">
            <v>63.2835</v>
          </cell>
          <cell r="D469">
            <v>0</v>
          </cell>
          <cell r="E469">
            <v>63.2835</v>
          </cell>
          <cell r="F469" t="str">
            <v>调货</v>
          </cell>
          <cell r="G469" t="str">
            <v>雷诺Dacia</v>
          </cell>
          <cell r="H469">
            <v>76</v>
          </cell>
          <cell r="I469">
            <v>75</v>
          </cell>
          <cell r="J469">
            <v>73</v>
          </cell>
          <cell r="K469">
            <v>72</v>
          </cell>
          <cell r="L469">
            <v>71</v>
          </cell>
          <cell r="M469">
            <v>70</v>
          </cell>
        </row>
        <row r="470">
          <cell r="A470" t="str">
            <v>DQ9210B1</v>
          </cell>
          <cell r="B470">
            <v>69</v>
          </cell>
          <cell r="C470">
            <v>25.0197088727273</v>
          </cell>
          <cell r="D470">
            <v>0</v>
          </cell>
          <cell r="E470">
            <v>25.0197088727273</v>
          </cell>
          <cell r="F470" t="str">
            <v>自制</v>
          </cell>
          <cell r="G470" t="str">
            <v>铃木 雨燕1.3L</v>
          </cell>
          <cell r="H470">
            <v>34</v>
          </cell>
          <cell r="I470">
            <v>33</v>
          </cell>
          <cell r="J470">
            <v>32</v>
          </cell>
          <cell r="K470">
            <v>31</v>
          </cell>
          <cell r="L470">
            <v>29</v>
          </cell>
          <cell r="M470">
            <v>28</v>
          </cell>
        </row>
        <row r="471">
          <cell r="A471" t="str">
            <v>DQ9035A4</v>
          </cell>
          <cell r="B471">
            <v>68</v>
          </cell>
          <cell r="C471">
            <v>33.3560262060606</v>
          </cell>
          <cell r="D471">
            <v>0</v>
          </cell>
          <cell r="E471">
            <v>33.3560262060606</v>
          </cell>
          <cell r="F471" t="str">
            <v>自制</v>
          </cell>
          <cell r="G471" t="str">
            <v>长城H7</v>
          </cell>
          <cell r="H471">
            <v>46</v>
          </cell>
          <cell r="I471">
            <v>44</v>
          </cell>
          <cell r="J471">
            <v>42</v>
          </cell>
          <cell r="K471">
            <v>41</v>
          </cell>
          <cell r="L471">
            <v>39</v>
          </cell>
          <cell r="M471">
            <v>37</v>
          </cell>
        </row>
        <row r="472">
          <cell r="A472" t="str">
            <v>DQ9112</v>
          </cell>
          <cell r="B472">
            <v>68</v>
          </cell>
          <cell r="C472">
            <v>43.68</v>
          </cell>
          <cell r="D472">
            <v>0</v>
          </cell>
          <cell r="E472">
            <v>43.68</v>
          </cell>
          <cell r="F472" t="str">
            <v>调货</v>
          </cell>
          <cell r="G472" t="str">
            <v>金杯格瑞斯</v>
          </cell>
          <cell r="H472">
            <v>52</v>
          </cell>
          <cell r="I472">
            <v>52</v>
          </cell>
          <cell r="J472">
            <v>51</v>
          </cell>
          <cell r="K472">
            <v>50</v>
          </cell>
          <cell r="L472">
            <v>49</v>
          </cell>
          <cell r="M472">
            <v>49</v>
          </cell>
        </row>
        <row r="473">
          <cell r="A473" t="str">
            <v>DQ6108B</v>
          </cell>
          <cell r="B473">
            <v>67</v>
          </cell>
          <cell r="C473">
            <v>33.4635</v>
          </cell>
          <cell r="D473">
            <v>0</v>
          </cell>
          <cell r="E473">
            <v>33.4635</v>
          </cell>
          <cell r="F473" t="str">
            <v>调货</v>
          </cell>
          <cell r="G473" t="str">
            <v>丰田</v>
          </cell>
          <cell r="H473">
            <v>40</v>
          </cell>
          <cell r="I473">
            <v>40</v>
          </cell>
          <cell r="J473">
            <v>39</v>
          </cell>
          <cell r="K473">
            <v>38</v>
          </cell>
          <cell r="L473">
            <v>38</v>
          </cell>
          <cell r="M473">
            <v>37</v>
          </cell>
        </row>
        <row r="474">
          <cell r="A474" t="str">
            <v>DQ6408</v>
          </cell>
          <cell r="B474">
            <v>66</v>
          </cell>
          <cell r="C474">
            <v>151</v>
          </cell>
          <cell r="D474">
            <v>-5.991545681818</v>
          </cell>
          <cell r="E474">
            <v>156.991545681818</v>
          </cell>
          <cell r="F474" t="str">
            <v>自制</v>
          </cell>
          <cell r="G474" t="str">
            <v>桑塔纳3000</v>
          </cell>
          <cell r="H474">
            <v>204</v>
          </cell>
          <cell r="I474">
            <v>197</v>
          </cell>
          <cell r="J474">
            <v>189</v>
          </cell>
          <cell r="K474">
            <v>182</v>
          </cell>
          <cell r="L474">
            <v>174</v>
          </cell>
          <cell r="M474">
            <v>167</v>
          </cell>
        </row>
        <row r="475">
          <cell r="A475" t="str">
            <v>DQ9091A1</v>
          </cell>
          <cell r="B475">
            <v>66</v>
          </cell>
          <cell r="C475">
            <v>46.1001555</v>
          </cell>
          <cell r="D475">
            <v>0</v>
          </cell>
          <cell r="E475">
            <v>46.1001555</v>
          </cell>
          <cell r="F475" t="str">
            <v>调货</v>
          </cell>
          <cell r="G475" t="str">
            <v>红旗HS5 2.0T</v>
          </cell>
          <cell r="H475">
            <v>55</v>
          </cell>
          <cell r="I475">
            <v>54</v>
          </cell>
          <cell r="J475">
            <v>54</v>
          </cell>
          <cell r="K475">
            <v>53</v>
          </cell>
          <cell r="L475">
            <v>52</v>
          </cell>
          <cell r="M475">
            <v>51</v>
          </cell>
        </row>
        <row r="476">
          <cell r="A476" t="str">
            <v>DQ9206A4</v>
          </cell>
          <cell r="B476">
            <v>65</v>
          </cell>
          <cell r="C476">
            <v>34.5759522727273</v>
          </cell>
          <cell r="D476">
            <v>0</v>
          </cell>
          <cell r="E476">
            <v>34.5759522727273</v>
          </cell>
          <cell r="F476" t="str">
            <v>自制</v>
          </cell>
          <cell r="G476" t="str">
            <v>三菱帕杰罗3.8V6</v>
          </cell>
          <cell r="H476">
            <v>47</v>
          </cell>
          <cell r="I476">
            <v>45</v>
          </cell>
          <cell r="J476">
            <v>44</v>
          </cell>
          <cell r="K476">
            <v>42</v>
          </cell>
          <cell r="L476">
            <v>40</v>
          </cell>
          <cell r="M476">
            <v>39</v>
          </cell>
        </row>
        <row r="477">
          <cell r="A477" t="str">
            <v>DQ9005F</v>
          </cell>
          <cell r="B477">
            <v>64</v>
          </cell>
          <cell r="C477">
            <v>19.1187265454545</v>
          </cell>
          <cell r="D477">
            <v>0</v>
          </cell>
          <cell r="E477">
            <v>19.1187265454545</v>
          </cell>
          <cell r="F477" t="str">
            <v>自制</v>
          </cell>
          <cell r="G477" t="str">
            <v>福特 捷豹</v>
          </cell>
          <cell r="H477">
            <v>26</v>
          </cell>
          <cell r="I477">
            <v>25</v>
          </cell>
          <cell r="J477">
            <v>24</v>
          </cell>
          <cell r="K477">
            <v>23</v>
          </cell>
          <cell r="L477">
            <v>22</v>
          </cell>
          <cell r="M477">
            <v>22</v>
          </cell>
        </row>
        <row r="478">
          <cell r="A478" t="str">
            <v>DQ9034A7</v>
          </cell>
          <cell r="B478">
            <v>62</v>
          </cell>
          <cell r="C478">
            <v>37.15425</v>
          </cell>
          <cell r="D478">
            <v>0</v>
          </cell>
          <cell r="E478">
            <v>37.15425</v>
          </cell>
          <cell r="F478" t="str">
            <v>调货</v>
          </cell>
          <cell r="G478" t="str">
            <v>北汽绅宝</v>
          </cell>
          <cell r="H478">
            <v>45</v>
          </cell>
          <cell r="I478">
            <v>44</v>
          </cell>
          <cell r="J478">
            <v>43</v>
          </cell>
          <cell r="K478">
            <v>42</v>
          </cell>
          <cell r="L478">
            <v>42</v>
          </cell>
          <cell r="M478">
            <v>41</v>
          </cell>
        </row>
        <row r="479">
          <cell r="A479" t="str">
            <v>DQ9030D1</v>
          </cell>
          <cell r="B479">
            <v>62</v>
          </cell>
          <cell r="C479">
            <v>49.4076555</v>
          </cell>
          <cell r="D479">
            <v>0</v>
          </cell>
          <cell r="E479">
            <v>49.4076555</v>
          </cell>
          <cell r="F479" t="str">
            <v>调货</v>
          </cell>
          <cell r="G479" t="str">
            <v>福特/林肯</v>
          </cell>
          <cell r="H479">
            <v>59</v>
          </cell>
          <cell r="I479">
            <v>58</v>
          </cell>
          <cell r="J479">
            <v>57</v>
          </cell>
          <cell r="K479">
            <v>56</v>
          </cell>
          <cell r="L479">
            <v>56</v>
          </cell>
          <cell r="M479">
            <v>55</v>
          </cell>
        </row>
        <row r="480">
          <cell r="A480" t="str">
            <v>DQ9201B</v>
          </cell>
          <cell r="B480">
            <v>58</v>
          </cell>
          <cell r="C480">
            <v>24.7392572727273</v>
          </cell>
          <cell r="D480">
            <v>0</v>
          </cell>
          <cell r="E480">
            <v>24.7392572727273</v>
          </cell>
          <cell r="F480" t="str">
            <v>自制</v>
          </cell>
          <cell r="G480" t="str">
            <v>中华尊驰</v>
          </cell>
          <cell r="H480">
            <v>34</v>
          </cell>
          <cell r="I480">
            <v>33</v>
          </cell>
          <cell r="J480">
            <v>31</v>
          </cell>
          <cell r="K480">
            <v>30</v>
          </cell>
          <cell r="L480">
            <v>29</v>
          </cell>
          <cell r="M480">
            <v>28</v>
          </cell>
        </row>
        <row r="481">
          <cell r="A481" t="str">
            <v>DQ9149B1</v>
          </cell>
          <cell r="B481">
            <v>58</v>
          </cell>
          <cell r="C481">
            <v>59.43</v>
          </cell>
          <cell r="D481">
            <v>0</v>
          </cell>
          <cell r="E481">
            <v>59.43</v>
          </cell>
          <cell r="F481" t="str">
            <v>调货</v>
          </cell>
          <cell r="G481" t="str">
            <v>沃尔沃S80</v>
          </cell>
          <cell r="H481">
            <v>71</v>
          </cell>
          <cell r="I481">
            <v>70</v>
          </cell>
          <cell r="J481">
            <v>69</v>
          </cell>
          <cell r="K481">
            <v>68</v>
          </cell>
          <cell r="L481">
            <v>67</v>
          </cell>
          <cell r="M481">
            <v>66</v>
          </cell>
        </row>
        <row r="482">
          <cell r="A482" t="str">
            <v>DQ6492</v>
          </cell>
          <cell r="B482">
            <v>57</v>
          </cell>
          <cell r="C482">
            <v>50</v>
          </cell>
          <cell r="D482">
            <v>-3.4368851515151</v>
          </cell>
          <cell r="E482">
            <v>53.4368851515151</v>
          </cell>
          <cell r="F482" t="str">
            <v>自制</v>
          </cell>
          <cell r="G482" t="str">
            <v>奇瑞多点</v>
          </cell>
          <cell r="H482">
            <v>68</v>
          </cell>
          <cell r="I482">
            <v>65</v>
          </cell>
          <cell r="J482">
            <v>63</v>
          </cell>
          <cell r="K482">
            <v>60</v>
          </cell>
          <cell r="L482">
            <v>58</v>
          </cell>
          <cell r="M482">
            <v>55</v>
          </cell>
        </row>
        <row r="483">
          <cell r="A483" t="str">
            <v>DQ6106A</v>
          </cell>
          <cell r="B483">
            <v>56</v>
          </cell>
          <cell r="C483">
            <v>25.9882135909091</v>
          </cell>
          <cell r="D483">
            <v>0</v>
          </cell>
          <cell r="E483">
            <v>25.9882135909091</v>
          </cell>
          <cell r="F483" t="str">
            <v>自制</v>
          </cell>
          <cell r="G483" t="str">
            <v>猎豹（化油器）</v>
          </cell>
          <cell r="H483">
            <v>36</v>
          </cell>
          <cell r="I483">
            <v>34</v>
          </cell>
          <cell r="J483">
            <v>33</v>
          </cell>
          <cell r="K483">
            <v>32</v>
          </cell>
          <cell r="L483">
            <v>30</v>
          </cell>
          <cell r="M483">
            <v>29</v>
          </cell>
        </row>
        <row r="484">
          <cell r="A484" t="str">
            <v>DQ9101AR</v>
          </cell>
          <cell r="B484">
            <v>54</v>
          </cell>
          <cell r="C484">
            <v>19.0667613427377</v>
          </cell>
          <cell r="D484">
            <v>0</v>
          </cell>
          <cell r="E484">
            <v>19.0667613427377</v>
          </cell>
          <cell r="F484" t="str">
            <v>自制</v>
          </cell>
          <cell r="G484" t="str">
            <v>伊兰特 VVT 圆头</v>
          </cell>
          <cell r="H484">
            <v>26</v>
          </cell>
          <cell r="I484">
            <v>25</v>
          </cell>
          <cell r="J484">
            <v>24</v>
          </cell>
          <cell r="K484">
            <v>23</v>
          </cell>
          <cell r="L484">
            <v>22</v>
          </cell>
          <cell r="M484">
            <v>21</v>
          </cell>
        </row>
        <row r="485">
          <cell r="A485" t="str">
            <v>DQ9025B1</v>
          </cell>
          <cell r="B485">
            <v>53</v>
          </cell>
          <cell r="C485">
            <v>40.37355</v>
          </cell>
          <cell r="D485">
            <v>0</v>
          </cell>
          <cell r="E485">
            <v>40.37355</v>
          </cell>
          <cell r="F485" t="str">
            <v>调货</v>
          </cell>
          <cell r="G485" t="str">
            <v>奔驰S320/ML350</v>
          </cell>
          <cell r="H485">
            <v>49</v>
          </cell>
          <cell r="I485">
            <v>48</v>
          </cell>
          <cell r="J485">
            <v>47</v>
          </cell>
          <cell r="K485">
            <v>46</v>
          </cell>
          <cell r="L485">
            <v>46</v>
          </cell>
          <cell r="M485">
            <v>45</v>
          </cell>
        </row>
        <row r="486">
          <cell r="A486" t="str">
            <v>DQ6201</v>
          </cell>
          <cell r="B486">
            <v>52</v>
          </cell>
          <cell r="C486">
            <v>24.8240285909091</v>
          </cell>
          <cell r="D486">
            <v>0</v>
          </cell>
          <cell r="E486">
            <v>24.8240285909091</v>
          </cell>
          <cell r="F486" t="str">
            <v>自制</v>
          </cell>
          <cell r="G486" t="str">
            <v>金杯单点</v>
          </cell>
          <cell r="H486">
            <v>34</v>
          </cell>
          <cell r="I486">
            <v>33</v>
          </cell>
          <cell r="J486">
            <v>32</v>
          </cell>
          <cell r="K486">
            <v>30</v>
          </cell>
          <cell r="L486">
            <v>29</v>
          </cell>
          <cell r="M486">
            <v>28</v>
          </cell>
        </row>
        <row r="487">
          <cell r="A487" t="str">
            <v>DQ9034A5</v>
          </cell>
          <cell r="B487">
            <v>50</v>
          </cell>
          <cell r="C487">
            <v>37.15425</v>
          </cell>
          <cell r="D487">
            <v>0</v>
          </cell>
          <cell r="E487">
            <v>37.15425</v>
          </cell>
          <cell r="F487" t="str">
            <v>调货</v>
          </cell>
          <cell r="G487" t="str">
            <v>北汽绅宝</v>
          </cell>
          <cell r="H487">
            <v>45</v>
          </cell>
          <cell r="I487">
            <v>44</v>
          </cell>
          <cell r="J487">
            <v>43</v>
          </cell>
          <cell r="K487">
            <v>42</v>
          </cell>
          <cell r="L487">
            <v>42</v>
          </cell>
          <cell r="M487">
            <v>41</v>
          </cell>
        </row>
        <row r="488">
          <cell r="A488" t="str">
            <v>DQ9101L1</v>
          </cell>
          <cell r="B488">
            <v>50</v>
          </cell>
          <cell r="C488">
            <v>21.0435746818182</v>
          </cell>
          <cell r="D488">
            <v>0</v>
          </cell>
          <cell r="E488">
            <v>21.0435746818182</v>
          </cell>
          <cell r="F488" t="str">
            <v>自制</v>
          </cell>
          <cell r="G488" t="str">
            <v>起亚LPI</v>
          </cell>
          <cell r="H488">
            <v>29</v>
          </cell>
          <cell r="I488">
            <v>28</v>
          </cell>
          <cell r="J488">
            <v>27</v>
          </cell>
          <cell r="K488">
            <v>26</v>
          </cell>
          <cell r="L488">
            <v>25</v>
          </cell>
          <cell r="M488">
            <v>24</v>
          </cell>
        </row>
        <row r="489">
          <cell r="A489" t="str">
            <v>DQ9402A4</v>
          </cell>
          <cell r="B489">
            <v>49</v>
          </cell>
          <cell r="C489">
            <v>99.280125</v>
          </cell>
          <cell r="D489">
            <v>0</v>
          </cell>
          <cell r="E489">
            <v>99.280125</v>
          </cell>
          <cell r="F489" t="str">
            <v>调货</v>
          </cell>
          <cell r="G489" t="str">
            <v>标致 206 1.4L（黑插）</v>
          </cell>
          <cell r="H489">
            <v>119</v>
          </cell>
          <cell r="I489">
            <v>117</v>
          </cell>
          <cell r="J489">
            <v>115</v>
          </cell>
          <cell r="K489">
            <v>113</v>
          </cell>
          <cell r="L489">
            <v>112</v>
          </cell>
          <cell r="M489">
            <v>110</v>
          </cell>
        </row>
        <row r="490">
          <cell r="A490" t="str">
            <v>DQ9025D1</v>
          </cell>
          <cell r="B490">
            <v>49</v>
          </cell>
          <cell r="C490">
            <v>59.20425</v>
          </cell>
          <cell r="D490">
            <v>0</v>
          </cell>
          <cell r="E490">
            <v>59.20425</v>
          </cell>
          <cell r="F490" t="str">
            <v>调货</v>
          </cell>
          <cell r="G490" t="str">
            <v>奔驰C200K(W203) 2.0T</v>
          </cell>
          <cell r="H490">
            <v>71</v>
          </cell>
          <cell r="I490">
            <v>70</v>
          </cell>
          <cell r="J490">
            <v>69</v>
          </cell>
          <cell r="K490">
            <v>67</v>
          </cell>
          <cell r="L490">
            <v>67</v>
          </cell>
          <cell r="M490">
            <v>66</v>
          </cell>
        </row>
        <row r="491">
          <cell r="A491" t="str">
            <v>DQ9081A2</v>
          </cell>
          <cell r="B491">
            <v>46</v>
          </cell>
          <cell r="C491">
            <v>26.0130051454546</v>
          </cell>
          <cell r="D491">
            <v>0</v>
          </cell>
          <cell r="E491">
            <v>26.0130051454546</v>
          </cell>
          <cell r="F491" t="str">
            <v>自制</v>
          </cell>
          <cell r="G491" t="str">
            <v>哈弗M6</v>
          </cell>
          <cell r="H491">
            <v>36</v>
          </cell>
          <cell r="I491">
            <v>34</v>
          </cell>
          <cell r="J491">
            <v>33</v>
          </cell>
          <cell r="K491">
            <v>32</v>
          </cell>
          <cell r="L491">
            <v>30</v>
          </cell>
          <cell r="M491">
            <v>29</v>
          </cell>
        </row>
        <row r="492">
          <cell r="A492" t="str">
            <v>DQ9082A1</v>
          </cell>
          <cell r="B492">
            <v>44</v>
          </cell>
          <cell r="C492">
            <v>40.84983</v>
          </cell>
          <cell r="D492">
            <v>0</v>
          </cell>
          <cell r="E492">
            <v>40.84983</v>
          </cell>
          <cell r="F492" t="str">
            <v>调货</v>
          </cell>
          <cell r="G492" t="str">
            <v>凯马</v>
          </cell>
          <cell r="H492">
            <v>49</v>
          </cell>
          <cell r="I492">
            <v>48</v>
          </cell>
          <cell r="J492">
            <v>47</v>
          </cell>
          <cell r="K492">
            <v>47</v>
          </cell>
          <cell r="L492">
            <v>46</v>
          </cell>
          <cell r="M492">
            <v>45</v>
          </cell>
        </row>
        <row r="493">
          <cell r="A493" t="str">
            <v>DQ4120A1</v>
          </cell>
          <cell r="B493">
            <v>43</v>
          </cell>
          <cell r="C493">
            <v>51.6126555</v>
          </cell>
          <cell r="D493">
            <v>0</v>
          </cell>
          <cell r="E493">
            <v>51.6126555</v>
          </cell>
          <cell r="F493" t="str">
            <v>调货</v>
          </cell>
          <cell r="G493" t="str">
            <v>雷克萨斯</v>
          </cell>
          <cell r="H493">
            <v>62</v>
          </cell>
          <cell r="I493">
            <v>61</v>
          </cell>
          <cell r="J493">
            <v>60</v>
          </cell>
          <cell r="K493">
            <v>59</v>
          </cell>
          <cell r="L493">
            <v>58</v>
          </cell>
          <cell r="M493">
            <v>57</v>
          </cell>
        </row>
        <row r="494">
          <cell r="A494" t="str">
            <v>DQ9407A</v>
          </cell>
          <cell r="B494">
            <v>42</v>
          </cell>
          <cell r="C494">
            <v>150.2025</v>
          </cell>
          <cell r="D494">
            <v>0</v>
          </cell>
          <cell r="E494">
            <v>150.2025</v>
          </cell>
          <cell r="F494" t="str">
            <v>调货</v>
          </cell>
          <cell r="G494" t="str">
            <v>雪佛兰拉赛蒂1.8</v>
          </cell>
          <cell r="H494">
            <v>179</v>
          </cell>
          <cell r="I494">
            <v>176</v>
          </cell>
          <cell r="J494">
            <v>173</v>
          </cell>
          <cell r="K494">
            <v>170</v>
          </cell>
          <cell r="L494">
            <v>169</v>
          </cell>
          <cell r="M494">
            <v>166</v>
          </cell>
        </row>
        <row r="495">
          <cell r="A495" t="str">
            <v>DQ9155A1</v>
          </cell>
          <cell r="B495">
            <v>42</v>
          </cell>
          <cell r="C495">
            <v>51.3765</v>
          </cell>
          <cell r="D495">
            <v>0</v>
          </cell>
          <cell r="E495">
            <v>51.3765</v>
          </cell>
          <cell r="F495" t="str">
            <v>调货</v>
          </cell>
          <cell r="G495" t="str">
            <v>奇瑞瑞麟G6 2.0T</v>
          </cell>
          <cell r="H495">
            <v>62</v>
          </cell>
          <cell r="I495">
            <v>61</v>
          </cell>
          <cell r="J495">
            <v>60</v>
          </cell>
          <cell r="K495">
            <v>59</v>
          </cell>
          <cell r="L495">
            <v>58</v>
          </cell>
          <cell r="M495">
            <v>57</v>
          </cell>
        </row>
        <row r="496">
          <cell r="A496" t="str">
            <v>DQ9002B2</v>
          </cell>
          <cell r="B496">
            <v>42</v>
          </cell>
          <cell r="C496">
            <v>27.2617189854546</v>
          </cell>
          <cell r="D496">
            <v>0</v>
          </cell>
          <cell r="E496">
            <v>27.2617189854546</v>
          </cell>
          <cell r="F496" t="str">
            <v>自制</v>
          </cell>
          <cell r="G496" t="str">
            <v>Mazda 5 / MX5</v>
          </cell>
          <cell r="H496">
            <v>37</v>
          </cell>
          <cell r="I496">
            <v>36</v>
          </cell>
          <cell r="J496">
            <v>35</v>
          </cell>
          <cell r="K496">
            <v>33</v>
          </cell>
          <cell r="L496">
            <v>32</v>
          </cell>
          <cell r="M496">
            <v>30</v>
          </cell>
        </row>
        <row r="497">
          <cell r="A497" t="str">
            <v>DQ6109A</v>
          </cell>
          <cell r="B497">
            <v>41</v>
          </cell>
          <cell r="C497">
            <v>27.5355338636364</v>
          </cell>
          <cell r="D497">
            <v>0</v>
          </cell>
          <cell r="E497">
            <v>27.5355338636364</v>
          </cell>
          <cell r="F497" t="str">
            <v>自制</v>
          </cell>
          <cell r="G497" t="str">
            <v>乐驰0.8</v>
          </cell>
          <cell r="H497">
            <v>38</v>
          </cell>
          <cell r="I497">
            <v>36</v>
          </cell>
          <cell r="J497">
            <v>35</v>
          </cell>
          <cell r="K497">
            <v>34</v>
          </cell>
          <cell r="L497">
            <v>32</v>
          </cell>
          <cell r="M497">
            <v>31</v>
          </cell>
        </row>
        <row r="498">
          <cell r="A498" t="str">
            <v>DQ9215C</v>
          </cell>
          <cell r="B498">
            <v>40</v>
          </cell>
          <cell r="C498">
            <v>31.8912592727273</v>
          </cell>
          <cell r="D498">
            <v>0</v>
          </cell>
          <cell r="E498">
            <v>31.8912592727273</v>
          </cell>
          <cell r="F498" t="str">
            <v>自制</v>
          </cell>
          <cell r="G498" t="str">
            <v>长城哈弗 H6/H5 2.0L</v>
          </cell>
          <cell r="H498">
            <v>44</v>
          </cell>
          <cell r="I498">
            <v>42</v>
          </cell>
          <cell r="J498">
            <v>40</v>
          </cell>
          <cell r="K498">
            <v>39</v>
          </cell>
          <cell r="L498">
            <v>37</v>
          </cell>
          <cell r="M498">
            <v>36</v>
          </cell>
        </row>
        <row r="499">
          <cell r="A499" t="str">
            <v>DQ9214A</v>
          </cell>
          <cell r="B499">
            <v>40</v>
          </cell>
          <cell r="C499">
            <v>38.535</v>
          </cell>
          <cell r="D499">
            <v>0</v>
          </cell>
          <cell r="E499">
            <v>38.535</v>
          </cell>
          <cell r="F499" t="str">
            <v>调货</v>
          </cell>
          <cell r="G499" t="str">
            <v>现代</v>
          </cell>
          <cell r="H499">
            <v>46</v>
          </cell>
          <cell r="I499">
            <v>46</v>
          </cell>
          <cell r="J499">
            <v>45</v>
          </cell>
          <cell r="K499">
            <v>44</v>
          </cell>
          <cell r="L499">
            <v>44</v>
          </cell>
          <cell r="M499">
            <v>43</v>
          </cell>
        </row>
        <row r="500">
          <cell r="A500" t="str">
            <v>DQ901881</v>
          </cell>
          <cell r="B500">
            <v>40</v>
          </cell>
          <cell r="C500">
            <v>37.8348074454545</v>
          </cell>
          <cell r="D500">
            <v>0</v>
          </cell>
          <cell r="E500">
            <v>37.8348074454545</v>
          </cell>
          <cell r="F500" t="str">
            <v>自制</v>
          </cell>
          <cell r="G500" t="str">
            <v>丰田Aygo2014-2016</v>
          </cell>
          <cell r="H500">
            <v>52</v>
          </cell>
          <cell r="I500">
            <v>50</v>
          </cell>
          <cell r="J500">
            <v>48</v>
          </cell>
          <cell r="K500">
            <v>46</v>
          </cell>
          <cell r="L500">
            <v>44</v>
          </cell>
          <cell r="M500">
            <v>42</v>
          </cell>
        </row>
        <row r="501">
          <cell r="A501" t="str">
            <v>DQ9097A1</v>
          </cell>
          <cell r="B501">
            <v>40</v>
          </cell>
          <cell r="C501">
            <v>36.1776555</v>
          </cell>
          <cell r="D501">
            <v>0</v>
          </cell>
          <cell r="E501">
            <v>36.1776555</v>
          </cell>
          <cell r="F501" t="str">
            <v>调货</v>
          </cell>
          <cell r="G501" t="str">
            <v>奇瑞E3</v>
          </cell>
          <cell r="H501">
            <v>44</v>
          </cell>
          <cell r="I501">
            <v>43</v>
          </cell>
          <cell r="J501">
            <v>42</v>
          </cell>
          <cell r="K501">
            <v>41</v>
          </cell>
          <cell r="L501">
            <v>41</v>
          </cell>
          <cell r="M501">
            <v>40</v>
          </cell>
        </row>
        <row r="502">
          <cell r="A502" t="str">
            <v>DQ6403</v>
          </cell>
          <cell r="B502">
            <v>39</v>
          </cell>
          <cell r="C502">
            <v>113.085</v>
          </cell>
          <cell r="D502">
            <v>0</v>
          </cell>
          <cell r="E502">
            <v>113.085</v>
          </cell>
          <cell r="F502" t="str">
            <v>调货</v>
          </cell>
          <cell r="G502" t="str">
            <v>斯巴鲁</v>
          </cell>
          <cell r="H502">
            <v>135</v>
          </cell>
          <cell r="I502">
            <v>133</v>
          </cell>
          <cell r="J502">
            <v>131</v>
          </cell>
          <cell r="K502">
            <v>128</v>
          </cell>
          <cell r="L502">
            <v>127</v>
          </cell>
          <cell r="M502">
            <v>125</v>
          </cell>
        </row>
        <row r="503">
          <cell r="A503" t="str">
            <v>DQ9078A1</v>
          </cell>
          <cell r="B503">
            <v>39</v>
          </cell>
          <cell r="C503">
            <v>49.1715</v>
          </cell>
          <cell r="D503">
            <v>0</v>
          </cell>
          <cell r="E503">
            <v>49.1715</v>
          </cell>
          <cell r="F503" t="str">
            <v>调货</v>
          </cell>
          <cell r="G503" t="str">
            <v>海马8S 1.6T</v>
          </cell>
          <cell r="H503">
            <v>59</v>
          </cell>
          <cell r="I503">
            <v>58</v>
          </cell>
          <cell r="J503">
            <v>57</v>
          </cell>
          <cell r="K503">
            <v>56</v>
          </cell>
          <cell r="L503">
            <v>56</v>
          </cell>
          <cell r="M503">
            <v>55</v>
          </cell>
        </row>
        <row r="504">
          <cell r="A504" t="str">
            <v>DQ9209C</v>
          </cell>
          <cell r="B504">
            <v>35</v>
          </cell>
          <cell r="C504">
            <v>25.7594302727273</v>
          </cell>
          <cell r="D504">
            <v>0</v>
          </cell>
          <cell r="E504">
            <v>25.7594302727273</v>
          </cell>
          <cell r="F504" t="str">
            <v>自制</v>
          </cell>
          <cell r="G504" t="str">
            <v>比亚迪483</v>
          </cell>
          <cell r="H504">
            <v>35</v>
          </cell>
          <cell r="I504">
            <v>34</v>
          </cell>
          <cell r="J504">
            <v>33</v>
          </cell>
          <cell r="K504">
            <v>31</v>
          </cell>
          <cell r="L504">
            <v>30</v>
          </cell>
          <cell r="M504">
            <v>29</v>
          </cell>
        </row>
        <row r="505">
          <cell r="A505" t="str">
            <v>DQ9008B1</v>
          </cell>
          <cell r="B505">
            <v>35</v>
          </cell>
          <cell r="C505">
            <v>44.541</v>
          </cell>
          <cell r="D505">
            <v>0</v>
          </cell>
          <cell r="E505">
            <v>44.541</v>
          </cell>
          <cell r="F505" t="str">
            <v>调货</v>
          </cell>
          <cell r="G505" t="str">
            <v>三菱蓝瑟08-12  2.0L</v>
          </cell>
          <cell r="H505">
            <v>54</v>
          </cell>
          <cell r="I505">
            <v>53</v>
          </cell>
          <cell r="J505">
            <v>52</v>
          </cell>
          <cell r="K505">
            <v>51</v>
          </cell>
          <cell r="L505">
            <v>50</v>
          </cell>
          <cell r="M505">
            <v>49</v>
          </cell>
        </row>
        <row r="506">
          <cell r="A506" t="str">
            <v>DQ9406B1</v>
          </cell>
          <cell r="B506">
            <v>34</v>
          </cell>
          <cell r="C506">
            <v>120.8025</v>
          </cell>
          <cell r="D506">
            <v>0</v>
          </cell>
          <cell r="E506">
            <v>120.8025</v>
          </cell>
          <cell r="F506" t="str">
            <v>调货</v>
          </cell>
          <cell r="G506" t="str">
            <v>欧宝10458316</v>
          </cell>
          <cell r="H506">
            <v>144</v>
          </cell>
          <cell r="I506">
            <v>142</v>
          </cell>
          <cell r="J506">
            <v>139</v>
          </cell>
          <cell r="K506">
            <v>137</v>
          </cell>
          <cell r="L506">
            <v>136</v>
          </cell>
          <cell r="M506">
            <v>133</v>
          </cell>
        </row>
        <row r="507">
          <cell r="A507" t="str">
            <v>DQ6203</v>
          </cell>
          <cell r="B507">
            <v>34</v>
          </cell>
          <cell r="C507">
            <v>102.165</v>
          </cell>
          <cell r="D507">
            <v>0</v>
          </cell>
          <cell r="E507">
            <v>102.165</v>
          </cell>
          <cell r="F507" t="str">
            <v>调货</v>
          </cell>
          <cell r="G507" t="str">
            <v>特拉卡途胜2.7</v>
          </cell>
          <cell r="H507">
            <v>122</v>
          </cell>
          <cell r="I507">
            <v>120</v>
          </cell>
          <cell r="J507">
            <v>118</v>
          </cell>
          <cell r="K507">
            <v>116</v>
          </cell>
          <cell r="L507">
            <v>115</v>
          </cell>
          <cell r="M507">
            <v>113</v>
          </cell>
        </row>
        <row r="508">
          <cell r="A508" t="str">
            <v>DQ6110</v>
          </cell>
          <cell r="B508">
            <v>33</v>
          </cell>
          <cell r="C508">
            <v>46.709940530303</v>
          </cell>
          <cell r="D508">
            <v>0</v>
          </cell>
          <cell r="E508">
            <v>46.709940530303</v>
          </cell>
          <cell r="F508" t="str">
            <v>自制</v>
          </cell>
          <cell r="G508" t="str">
            <v>红旗世纪星</v>
          </cell>
          <cell r="H508">
            <v>64</v>
          </cell>
          <cell r="I508">
            <v>61</v>
          </cell>
          <cell r="J508">
            <v>59</v>
          </cell>
          <cell r="K508">
            <v>57</v>
          </cell>
          <cell r="L508">
            <v>54</v>
          </cell>
          <cell r="M508">
            <v>52</v>
          </cell>
        </row>
        <row r="509">
          <cell r="A509" t="str">
            <v>DQ9405</v>
          </cell>
          <cell r="B509">
            <v>30</v>
          </cell>
          <cell r="C509">
            <v>131.3025</v>
          </cell>
          <cell r="D509">
            <v>0</v>
          </cell>
          <cell r="E509">
            <v>131.3025</v>
          </cell>
          <cell r="F509" t="str">
            <v>调货</v>
          </cell>
          <cell r="G509" t="str">
            <v>欧宝</v>
          </cell>
          <cell r="H509">
            <v>157</v>
          </cell>
          <cell r="I509">
            <v>154</v>
          </cell>
          <cell r="J509">
            <v>151</v>
          </cell>
          <cell r="K509">
            <v>149</v>
          </cell>
          <cell r="L509">
            <v>148</v>
          </cell>
          <cell r="M509">
            <v>145</v>
          </cell>
        </row>
        <row r="510">
          <cell r="A510" t="str">
            <v>DQ4108A1</v>
          </cell>
          <cell r="B510">
            <v>30</v>
          </cell>
          <cell r="C510">
            <v>46.6578</v>
          </cell>
          <cell r="D510">
            <v>0</v>
          </cell>
          <cell r="E510">
            <v>46.6578</v>
          </cell>
          <cell r="F510" t="str">
            <v>调货</v>
          </cell>
          <cell r="G510" t="str">
            <v>雪佛兰罗德</v>
          </cell>
          <cell r="H510">
            <v>56</v>
          </cell>
          <cell r="I510">
            <v>55</v>
          </cell>
          <cell r="J510">
            <v>54</v>
          </cell>
          <cell r="K510">
            <v>53</v>
          </cell>
          <cell r="L510">
            <v>53</v>
          </cell>
          <cell r="M510">
            <v>52</v>
          </cell>
        </row>
        <row r="511">
          <cell r="A511" t="str">
            <v>DQ4110A1</v>
          </cell>
          <cell r="B511">
            <v>30</v>
          </cell>
          <cell r="C511">
            <v>46.6578</v>
          </cell>
          <cell r="D511">
            <v>0</v>
          </cell>
          <cell r="E511">
            <v>46.6578</v>
          </cell>
          <cell r="F511" t="str">
            <v>调货</v>
          </cell>
          <cell r="G511" t="str">
            <v>雪佛兰英帕拉</v>
          </cell>
          <cell r="H511">
            <v>56</v>
          </cell>
          <cell r="I511">
            <v>55</v>
          </cell>
          <cell r="J511">
            <v>54</v>
          </cell>
          <cell r="K511">
            <v>53</v>
          </cell>
          <cell r="L511">
            <v>53</v>
          </cell>
          <cell r="M511">
            <v>52</v>
          </cell>
        </row>
        <row r="512">
          <cell r="A512" t="str">
            <v>DQ9017B1</v>
          </cell>
          <cell r="B512">
            <v>28</v>
          </cell>
          <cell r="C512">
            <v>35</v>
          </cell>
          <cell r="D512">
            <v>0.512153801212101</v>
          </cell>
          <cell r="E512">
            <v>34.4878461987879</v>
          </cell>
          <cell r="F512" t="str">
            <v>自制</v>
          </cell>
          <cell r="G512" t="str">
            <v>沃尔沃 S80 (长杆)</v>
          </cell>
          <cell r="H512">
            <v>48</v>
          </cell>
          <cell r="I512">
            <v>46</v>
          </cell>
          <cell r="J512">
            <v>44</v>
          </cell>
          <cell r="K512">
            <v>42</v>
          </cell>
          <cell r="L512">
            <v>41</v>
          </cell>
          <cell r="M512">
            <v>39</v>
          </cell>
        </row>
        <row r="513">
          <cell r="A513" t="str">
            <v>DQ4102B1</v>
          </cell>
          <cell r="B513">
            <v>26</v>
          </cell>
          <cell r="C513">
            <v>32.65605</v>
          </cell>
          <cell r="D513">
            <v>0</v>
          </cell>
          <cell r="E513">
            <v>32.65605</v>
          </cell>
          <cell r="F513" t="str">
            <v>调货</v>
          </cell>
          <cell r="G513" t="str">
            <v>日产帕拉丁</v>
          </cell>
          <cell r="H513">
            <v>39</v>
          </cell>
          <cell r="I513">
            <v>39</v>
          </cell>
          <cell r="J513">
            <v>38</v>
          </cell>
          <cell r="K513">
            <v>37</v>
          </cell>
          <cell r="L513">
            <v>37</v>
          </cell>
          <cell r="M513">
            <v>36</v>
          </cell>
        </row>
        <row r="514">
          <cell r="A514" t="str">
            <v>DQ9139A1</v>
          </cell>
          <cell r="B514">
            <v>25</v>
          </cell>
          <cell r="C514">
            <v>33.4046495018182</v>
          </cell>
          <cell r="D514">
            <v>0</v>
          </cell>
          <cell r="E514">
            <v>33.4046495018182</v>
          </cell>
          <cell r="F514" t="str">
            <v>自制</v>
          </cell>
          <cell r="G514" t="str">
            <v>丰田大发HijetAtrai2010</v>
          </cell>
          <cell r="H514">
            <v>46</v>
          </cell>
          <cell r="I514">
            <v>44</v>
          </cell>
          <cell r="J514">
            <v>42</v>
          </cell>
          <cell r="K514">
            <v>41</v>
          </cell>
          <cell r="L514">
            <v>39</v>
          </cell>
          <cell r="M514">
            <v>37</v>
          </cell>
        </row>
        <row r="515">
          <cell r="A515" t="str">
            <v>DQ134A</v>
          </cell>
          <cell r="B515">
            <v>24</v>
          </cell>
          <cell r="C515">
            <v>49.5705</v>
          </cell>
          <cell r="D515">
            <v>0</v>
          </cell>
          <cell r="E515">
            <v>49.5705</v>
          </cell>
          <cell r="F515" t="str">
            <v>调货</v>
          </cell>
          <cell r="G515" t="str">
            <v>05款大插口蒙迪欧</v>
          </cell>
          <cell r="H515">
            <v>59</v>
          </cell>
          <cell r="I515">
            <v>58</v>
          </cell>
          <cell r="J515">
            <v>58</v>
          </cell>
          <cell r="K515">
            <v>57</v>
          </cell>
          <cell r="L515">
            <v>56</v>
          </cell>
          <cell r="M515">
            <v>55</v>
          </cell>
        </row>
        <row r="516">
          <cell r="A516" t="str">
            <v>DQ132A</v>
          </cell>
          <cell r="B516">
            <v>22</v>
          </cell>
          <cell r="C516">
            <v>26.1765</v>
          </cell>
          <cell r="D516">
            <v>0</v>
          </cell>
          <cell r="E516">
            <v>26.1765</v>
          </cell>
          <cell r="F516" t="str">
            <v>调货</v>
          </cell>
          <cell r="G516" t="str">
            <v>奇瑞QQ1.1</v>
          </cell>
          <cell r="H516">
            <v>32</v>
          </cell>
          <cell r="I516">
            <v>31</v>
          </cell>
          <cell r="J516">
            <v>31</v>
          </cell>
          <cell r="K516">
            <v>30</v>
          </cell>
          <cell r="L516">
            <v>30</v>
          </cell>
          <cell r="M516">
            <v>29</v>
          </cell>
        </row>
        <row r="517">
          <cell r="A517" t="str">
            <v>DQ6205</v>
          </cell>
          <cell r="B517">
            <v>21</v>
          </cell>
          <cell r="C517">
            <v>150.000497727273</v>
          </cell>
          <cell r="D517">
            <v>0</v>
          </cell>
          <cell r="E517">
            <v>150.000497727273</v>
          </cell>
          <cell r="F517" t="str">
            <v>自制</v>
          </cell>
          <cell r="G517" t="str">
            <v>帕萨特2.8</v>
          </cell>
          <cell r="H517">
            <v>203</v>
          </cell>
          <cell r="I517">
            <v>196</v>
          </cell>
          <cell r="J517">
            <v>188</v>
          </cell>
          <cell r="K517">
            <v>181</v>
          </cell>
          <cell r="L517">
            <v>173</v>
          </cell>
          <cell r="M517">
            <v>166</v>
          </cell>
        </row>
        <row r="518">
          <cell r="A518" t="str">
            <v>DQ9017D1</v>
          </cell>
          <cell r="B518">
            <v>21</v>
          </cell>
          <cell r="C518">
            <v>41.58</v>
          </cell>
          <cell r="D518">
            <v>0</v>
          </cell>
          <cell r="E518">
            <v>41.58</v>
          </cell>
          <cell r="F518" t="str">
            <v>调货</v>
          </cell>
          <cell r="G518" t="str">
            <v>沃尔沃</v>
          </cell>
          <cell r="H518">
            <v>50</v>
          </cell>
          <cell r="I518">
            <v>49</v>
          </cell>
          <cell r="J518">
            <v>48</v>
          </cell>
          <cell r="K518">
            <v>47</v>
          </cell>
          <cell r="L518">
            <v>47</v>
          </cell>
          <cell r="M518">
            <v>46</v>
          </cell>
        </row>
        <row r="519">
          <cell r="A519" t="str">
            <v>DQ4401A1</v>
          </cell>
          <cell r="B519">
            <v>20</v>
          </cell>
          <cell r="C519">
            <v>72.467325</v>
          </cell>
          <cell r="D519">
            <v>0</v>
          </cell>
          <cell r="E519">
            <v>72.467325</v>
          </cell>
          <cell r="F519" t="str">
            <v>调货</v>
          </cell>
          <cell r="G519" t="str">
            <v>ATOS  1.0L</v>
          </cell>
          <cell r="H519">
            <v>87</v>
          </cell>
          <cell r="I519">
            <v>85</v>
          </cell>
          <cell r="J519">
            <v>84</v>
          </cell>
          <cell r="K519">
            <v>82</v>
          </cell>
          <cell r="L519">
            <v>82</v>
          </cell>
          <cell r="M519">
            <v>80</v>
          </cell>
        </row>
        <row r="520">
          <cell r="A520" t="str">
            <v>DQ4401B1</v>
          </cell>
          <cell r="B520">
            <v>20</v>
          </cell>
          <cell r="C520">
            <v>72.467325</v>
          </cell>
          <cell r="D520">
            <v>0</v>
          </cell>
          <cell r="E520">
            <v>72.467325</v>
          </cell>
          <cell r="F520" t="str">
            <v>调货</v>
          </cell>
          <cell r="G520" t="str">
            <v>AT0SL41.0L</v>
          </cell>
          <cell r="H520">
            <v>87</v>
          </cell>
          <cell r="I520">
            <v>85</v>
          </cell>
          <cell r="J520">
            <v>84</v>
          </cell>
          <cell r="K520">
            <v>82</v>
          </cell>
          <cell r="L520">
            <v>82</v>
          </cell>
          <cell r="M520">
            <v>80</v>
          </cell>
        </row>
        <row r="521">
          <cell r="A521" t="str">
            <v>DQ4119A1</v>
          </cell>
          <cell r="B521">
            <v>20</v>
          </cell>
          <cell r="C521">
            <v>35.0751555</v>
          </cell>
          <cell r="D521">
            <v>0</v>
          </cell>
          <cell r="E521">
            <v>35.0751555</v>
          </cell>
          <cell r="F521" t="str">
            <v>调货</v>
          </cell>
          <cell r="G521" t="str">
            <v>马自达MX-3</v>
          </cell>
          <cell r="H521">
            <v>42</v>
          </cell>
          <cell r="I521">
            <v>42</v>
          </cell>
          <cell r="J521">
            <v>41</v>
          </cell>
          <cell r="K521">
            <v>40</v>
          </cell>
          <cell r="L521">
            <v>40</v>
          </cell>
          <cell r="M521">
            <v>39</v>
          </cell>
        </row>
        <row r="522">
          <cell r="A522" t="str">
            <v>DQ4101A1</v>
          </cell>
          <cell r="B522">
            <v>19</v>
          </cell>
          <cell r="C522">
            <v>46.227825</v>
          </cell>
          <cell r="D522">
            <v>0</v>
          </cell>
          <cell r="E522">
            <v>46.227825</v>
          </cell>
          <cell r="F522" t="str">
            <v>调货</v>
          </cell>
          <cell r="G522" t="str">
            <v>奔驰MB100</v>
          </cell>
          <cell r="H522">
            <v>56</v>
          </cell>
          <cell r="I522">
            <v>55</v>
          </cell>
          <cell r="J522">
            <v>54</v>
          </cell>
          <cell r="K522">
            <v>53</v>
          </cell>
          <cell r="L522">
            <v>52</v>
          </cell>
          <cell r="M522">
            <v>51</v>
          </cell>
        </row>
        <row r="523">
          <cell r="A523" t="str">
            <v>DQ9206A3</v>
          </cell>
          <cell r="B523">
            <v>19</v>
          </cell>
          <cell r="C523">
            <v>33.7740522727273</v>
          </cell>
          <cell r="D523">
            <v>0</v>
          </cell>
          <cell r="E523">
            <v>33.7740522727273</v>
          </cell>
          <cell r="F523" t="str">
            <v>自制</v>
          </cell>
          <cell r="G523" t="str">
            <v>中华大空</v>
          </cell>
          <cell r="H523">
            <v>46</v>
          </cell>
          <cell r="I523">
            <v>44</v>
          </cell>
          <cell r="J523">
            <v>43</v>
          </cell>
          <cell r="K523">
            <v>41</v>
          </cell>
          <cell r="L523">
            <v>39</v>
          </cell>
          <cell r="M523">
            <v>38</v>
          </cell>
        </row>
        <row r="524">
          <cell r="A524" t="str">
            <v>DQ9011A1</v>
          </cell>
          <cell r="B524">
            <v>18</v>
          </cell>
          <cell r="C524">
            <v>47.07675</v>
          </cell>
          <cell r="D524">
            <v>0</v>
          </cell>
          <cell r="E524">
            <v>47.07675</v>
          </cell>
          <cell r="F524" t="str">
            <v>调货</v>
          </cell>
          <cell r="G524" t="str">
            <v>丰田特锐</v>
          </cell>
          <cell r="H524">
            <v>57</v>
          </cell>
          <cell r="I524">
            <v>56</v>
          </cell>
          <cell r="J524">
            <v>55</v>
          </cell>
          <cell r="K524">
            <v>54</v>
          </cell>
          <cell r="L524">
            <v>53</v>
          </cell>
          <cell r="M524">
            <v>52</v>
          </cell>
        </row>
        <row r="525">
          <cell r="A525" t="str">
            <v>DQ9023A</v>
          </cell>
          <cell r="B525">
            <v>17</v>
          </cell>
          <cell r="C525">
            <v>31.8547880121212</v>
          </cell>
          <cell r="D525">
            <v>0</v>
          </cell>
          <cell r="E525">
            <v>31.8547880121212</v>
          </cell>
          <cell r="F525" t="str">
            <v>自制</v>
          </cell>
          <cell r="G525" t="str">
            <v>新桑塔纳</v>
          </cell>
          <cell r="H525">
            <v>44</v>
          </cell>
          <cell r="I525">
            <v>42</v>
          </cell>
          <cell r="J525">
            <v>40</v>
          </cell>
          <cell r="K525">
            <v>39</v>
          </cell>
          <cell r="L525">
            <v>37</v>
          </cell>
          <cell r="M525">
            <v>36</v>
          </cell>
        </row>
        <row r="526">
          <cell r="A526" t="str">
            <v>DQ9101T</v>
          </cell>
          <cell r="B526">
            <v>17</v>
          </cell>
          <cell r="C526">
            <v>22.5959790397074</v>
          </cell>
          <cell r="D526">
            <v>0</v>
          </cell>
          <cell r="E526">
            <v>22.5959790397074</v>
          </cell>
          <cell r="F526" t="str">
            <v>自制</v>
          </cell>
          <cell r="G526" t="str">
            <v>27301-37410</v>
          </cell>
          <cell r="H526">
            <v>31</v>
          </cell>
          <cell r="I526">
            <v>30</v>
          </cell>
          <cell r="J526">
            <v>29</v>
          </cell>
          <cell r="K526">
            <v>28</v>
          </cell>
          <cell r="L526">
            <v>26</v>
          </cell>
          <cell r="M526">
            <v>25</v>
          </cell>
        </row>
        <row r="527">
          <cell r="A527" t="str">
            <v>DQ6106</v>
          </cell>
          <cell r="B527">
            <v>16</v>
          </cell>
          <cell r="C527">
            <v>38.0848585909091</v>
          </cell>
          <cell r="D527">
            <v>0</v>
          </cell>
          <cell r="E527">
            <v>38.0848585909091</v>
          </cell>
          <cell r="F527" t="str">
            <v>自制</v>
          </cell>
          <cell r="G527" t="str">
            <v>三菱猎豹V31</v>
          </cell>
          <cell r="H527">
            <v>52</v>
          </cell>
          <cell r="I527">
            <v>50</v>
          </cell>
          <cell r="J527">
            <v>48</v>
          </cell>
          <cell r="K527">
            <v>46</v>
          </cell>
          <cell r="L527">
            <v>44</v>
          </cell>
          <cell r="M527">
            <v>42</v>
          </cell>
        </row>
        <row r="528">
          <cell r="A528" t="str">
            <v>DQ9002E1</v>
          </cell>
          <cell r="B528">
            <v>16</v>
          </cell>
          <cell r="C528">
            <v>41.601</v>
          </cell>
          <cell r="D528">
            <v>0</v>
          </cell>
          <cell r="E528">
            <v>41.601</v>
          </cell>
          <cell r="F528" t="str">
            <v>调货</v>
          </cell>
          <cell r="G528" t="str">
            <v>马自达</v>
          </cell>
          <cell r="H528">
            <v>50</v>
          </cell>
          <cell r="I528">
            <v>49</v>
          </cell>
          <cell r="J528">
            <v>48</v>
          </cell>
          <cell r="K528">
            <v>48</v>
          </cell>
          <cell r="L528">
            <v>47</v>
          </cell>
          <cell r="M528">
            <v>46</v>
          </cell>
        </row>
        <row r="529">
          <cell r="A529" t="str">
            <v>DQ9214</v>
          </cell>
          <cell r="B529">
            <v>16</v>
          </cell>
          <cell r="C529">
            <v>38.535</v>
          </cell>
          <cell r="D529">
            <v>0</v>
          </cell>
          <cell r="E529">
            <v>38.535</v>
          </cell>
          <cell r="F529" t="str">
            <v>调货</v>
          </cell>
          <cell r="G529" t="str">
            <v>现代蓝杆</v>
          </cell>
          <cell r="H529">
            <v>46</v>
          </cell>
          <cell r="I529">
            <v>46</v>
          </cell>
          <cell r="J529">
            <v>45</v>
          </cell>
          <cell r="K529">
            <v>44</v>
          </cell>
          <cell r="L529">
            <v>44</v>
          </cell>
          <cell r="M529">
            <v>43</v>
          </cell>
        </row>
        <row r="530">
          <cell r="A530" t="str">
            <v>DQ9136A1</v>
          </cell>
          <cell r="B530">
            <v>16</v>
          </cell>
          <cell r="C530">
            <v>43.659</v>
          </cell>
          <cell r="D530">
            <v>0</v>
          </cell>
          <cell r="E530">
            <v>43.659</v>
          </cell>
          <cell r="F530" t="str">
            <v>调货</v>
          </cell>
          <cell r="G530" t="str">
            <v>新SM5 LPG</v>
          </cell>
          <cell r="H530">
            <v>52</v>
          </cell>
          <cell r="I530">
            <v>52</v>
          </cell>
          <cell r="J530">
            <v>51</v>
          </cell>
          <cell r="K530">
            <v>50</v>
          </cell>
          <cell r="L530">
            <v>49</v>
          </cell>
          <cell r="M530">
            <v>49</v>
          </cell>
        </row>
        <row r="531">
          <cell r="A531" t="str">
            <v>DQ4109A1</v>
          </cell>
          <cell r="B531">
            <v>16</v>
          </cell>
          <cell r="C531">
            <v>52.80975</v>
          </cell>
          <cell r="D531">
            <v>0</v>
          </cell>
          <cell r="E531">
            <v>52.80975</v>
          </cell>
          <cell r="F531" t="str">
            <v>调货</v>
          </cell>
          <cell r="G531" t="str">
            <v>雪佛兰</v>
          </cell>
          <cell r="H531">
            <v>63</v>
          </cell>
          <cell r="I531">
            <v>62</v>
          </cell>
          <cell r="J531">
            <v>61</v>
          </cell>
          <cell r="K531">
            <v>60</v>
          </cell>
          <cell r="L531">
            <v>60</v>
          </cell>
          <cell r="M531">
            <v>59</v>
          </cell>
        </row>
        <row r="532">
          <cell r="A532" t="str">
            <v>DQ133B</v>
          </cell>
          <cell r="B532">
            <v>15</v>
          </cell>
          <cell r="C532">
            <v>43.5</v>
          </cell>
          <cell r="D532">
            <v>-1.4062418181818</v>
          </cell>
          <cell r="E532">
            <v>44.9062418181818</v>
          </cell>
          <cell r="F532" t="str">
            <v>自制</v>
          </cell>
          <cell r="G532" t="str">
            <v>菲亚特1.3L</v>
          </cell>
          <cell r="H532">
            <v>59</v>
          </cell>
          <cell r="I532">
            <v>57</v>
          </cell>
          <cell r="J532">
            <v>55</v>
          </cell>
          <cell r="K532">
            <v>53</v>
          </cell>
          <cell r="L532">
            <v>51</v>
          </cell>
          <cell r="M532">
            <v>48</v>
          </cell>
        </row>
        <row r="533">
          <cell r="A533" t="str">
            <v>DQ9005C</v>
          </cell>
          <cell r="B533">
            <v>12</v>
          </cell>
          <cell r="C533">
            <v>16.0342792018182</v>
          </cell>
          <cell r="D533">
            <v>0</v>
          </cell>
          <cell r="E533">
            <v>16.0342792018182</v>
          </cell>
          <cell r="F533" t="str">
            <v>自制</v>
          </cell>
          <cell r="G533" t="str">
            <v>捷豹</v>
          </cell>
          <cell r="H533">
            <v>22</v>
          </cell>
          <cell r="I533">
            <v>21</v>
          </cell>
          <cell r="J533">
            <v>21</v>
          </cell>
          <cell r="K533">
            <v>20</v>
          </cell>
          <cell r="L533">
            <v>19</v>
          </cell>
          <cell r="M533">
            <v>18</v>
          </cell>
        </row>
        <row r="534">
          <cell r="A534" t="str">
            <v>DQ9014</v>
          </cell>
          <cell r="B534">
            <v>12</v>
          </cell>
          <cell r="C534">
            <v>48.93</v>
          </cell>
          <cell r="D534">
            <v>0</v>
          </cell>
          <cell r="E534">
            <v>48.93</v>
          </cell>
          <cell r="F534" t="str">
            <v>调货</v>
          </cell>
          <cell r="G534" t="str">
            <v>奥迪200</v>
          </cell>
          <cell r="H534">
            <v>59</v>
          </cell>
          <cell r="I534">
            <v>58</v>
          </cell>
          <cell r="J534">
            <v>57</v>
          </cell>
          <cell r="K534">
            <v>56</v>
          </cell>
          <cell r="L534">
            <v>55</v>
          </cell>
          <cell r="M534">
            <v>54</v>
          </cell>
        </row>
        <row r="535">
          <cell r="A535" t="str">
            <v>DQ9029A2</v>
          </cell>
          <cell r="B535">
            <v>10</v>
          </cell>
          <cell r="C535">
            <v>42</v>
          </cell>
          <cell r="D535">
            <v>0.314999999999998</v>
          </cell>
          <cell r="E535">
            <v>41.685</v>
          </cell>
          <cell r="F535" t="str">
            <v>调货</v>
          </cell>
          <cell r="G535" t="str">
            <v>宝马E36/E46</v>
          </cell>
          <cell r="H535">
            <v>50</v>
          </cell>
          <cell r="I535">
            <v>50</v>
          </cell>
          <cell r="J535">
            <v>49</v>
          </cell>
          <cell r="K535">
            <v>48</v>
          </cell>
          <cell r="L535">
            <v>48</v>
          </cell>
          <cell r="M535">
            <v>47</v>
          </cell>
        </row>
        <row r="536">
          <cell r="A536" t="str">
            <v>DQ133</v>
          </cell>
          <cell r="B536">
            <v>10</v>
          </cell>
          <cell r="C536">
            <v>59.9753178181818</v>
          </cell>
          <cell r="D536">
            <v>0</v>
          </cell>
          <cell r="E536">
            <v>59.9753178181818</v>
          </cell>
          <cell r="F536" t="str">
            <v>自制</v>
          </cell>
          <cell r="G536" t="str">
            <v>五菱之光摩托罗拉</v>
          </cell>
          <cell r="H536">
            <v>81</v>
          </cell>
          <cell r="I536">
            <v>78</v>
          </cell>
          <cell r="J536">
            <v>75</v>
          </cell>
          <cell r="K536">
            <v>72</v>
          </cell>
          <cell r="L536">
            <v>69</v>
          </cell>
          <cell r="M536">
            <v>66</v>
          </cell>
        </row>
        <row r="537">
          <cell r="A537" t="str">
            <v>DQ9024</v>
          </cell>
          <cell r="B537">
            <v>10</v>
          </cell>
          <cell r="C537">
            <v>64.785</v>
          </cell>
          <cell r="D537">
            <v>0</v>
          </cell>
          <cell r="E537">
            <v>64.785</v>
          </cell>
          <cell r="F537" t="str">
            <v>调货</v>
          </cell>
          <cell r="G537" t="str">
            <v>竞技  骑兵</v>
          </cell>
          <cell r="H537">
            <v>78</v>
          </cell>
          <cell r="I537">
            <v>76</v>
          </cell>
          <cell r="J537">
            <v>75</v>
          </cell>
          <cell r="K537">
            <v>74</v>
          </cell>
          <cell r="L537">
            <v>73</v>
          </cell>
          <cell r="M537">
            <v>72</v>
          </cell>
        </row>
        <row r="538">
          <cell r="A538" t="str">
            <v>DQ4301A1</v>
          </cell>
          <cell r="B538">
            <v>10</v>
          </cell>
          <cell r="C538">
            <v>74.19825</v>
          </cell>
          <cell r="D538">
            <v>0</v>
          </cell>
          <cell r="E538">
            <v>74.19825</v>
          </cell>
          <cell r="F538" t="str">
            <v>调货</v>
          </cell>
          <cell r="G538" t="str">
            <v>斯帕克0.8L</v>
          </cell>
          <cell r="H538">
            <v>89</v>
          </cell>
          <cell r="I538">
            <v>87</v>
          </cell>
          <cell r="J538">
            <v>86</v>
          </cell>
          <cell r="K538">
            <v>84</v>
          </cell>
          <cell r="L538">
            <v>84</v>
          </cell>
          <cell r="M538">
            <v>82</v>
          </cell>
        </row>
        <row r="539">
          <cell r="A539" t="str">
            <v>DQ6401</v>
          </cell>
          <cell r="B539">
            <v>10</v>
          </cell>
          <cell r="C539">
            <v>87.60465</v>
          </cell>
          <cell r="D539">
            <v>0</v>
          </cell>
          <cell r="E539">
            <v>87.60465</v>
          </cell>
          <cell r="F539" t="str">
            <v>调货</v>
          </cell>
          <cell r="G539" t="str">
            <v>雷诺（三孔）</v>
          </cell>
          <cell r="H539">
            <v>105</v>
          </cell>
          <cell r="I539">
            <v>103</v>
          </cell>
          <cell r="J539">
            <v>101</v>
          </cell>
          <cell r="K539">
            <v>99</v>
          </cell>
          <cell r="L539">
            <v>99</v>
          </cell>
          <cell r="M539">
            <v>97</v>
          </cell>
        </row>
        <row r="540">
          <cell r="A540" t="str">
            <v>DQ9103K1</v>
          </cell>
          <cell r="B540">
            <v>10</v>
          </cell>
          <cell r="C540">
            <v>56.084175</v>
          </cell>
          <cell r="D540">
            <v>0</v>
          </cell>
          <cell r="E540">
            <v>56.084175</v>
          </cell>
          <cell r="F540" t="str">
            <v>调货</v>
          </cell>
          <cell r="G540" t="str">
            <v>大众福克斯</v>
          </cell>
          <cell r="H540">
            <v>67</v>
          </cell>
          <cell r="I540">
            <v>66</v>
          </cell>
          <cell r="J540">
            <v>65</v>
          </cell>
          <cell r="K540">
            <v>64</v>
          </cell>
          <cell r="L540">
            <v>63</v>
          </cell>
          <cell r="M540">
            <v>62</v>
          </cell>
        </row>
        <row r="541">
          <cell r="A541" t="str">
            <v>DQ9088A1</v>
          </cell>
          <cell r="B541">
            <v>10</v>
          </cell>
          <cell r="C541">
            <v>40.5876555</v>
          </cell>
          <cell r="D541">
            <v>0</v>
          </cell>
          <cell r="E541">
            <v>40.5876555</v>
          </cell>
          <cell r="F541" t="str">
            <v>调货</v>
          </cell>
          <cell r="G541" t="str">
            <v>雷诺二针</v>
          </cell>
          <cell r="H541">
            <v>49</v>
          </cell>
          <cell r="I541">
            <v>48</v>
          </cell>
          <cell r="J541">
            <v>47</v>
          </cell>
          <cell r="K541">
            <v>46</v>
          </cell>
          <cell r="L541">
            <v>46</v>
          </cell>
          <cell r="M541">
            <v>45</v>
          </cell>
        </row>
        <row r="542">
          <cell r="A542" t="str">
            <v>DQ9209A2</v>
          </cell>
          <cell r="B542">
            <v>9</v>
          </cell>
          <cell r="C542">
            <v>25.3986302727273</v>
          </cell>
          <cell r="D542">
            <v>0</v>
          </cell>
          <cell r="E542">
            <v>25.3986302727273</v>
          </cell>
          <cell r="F542" t="str">
            <v>自制</v>
          </cell>
          <cell r="G542" t="str">
            <v>哈飞民意6370/6391/M100</v>
          </cell>
          <cell r="H542">
            <v>35</v>
          </cell>
          <cell r="I542">
            <v>34</v>
          </cell>
          <cell r="J542">
            <v>32</v>
          </cell>
          <cell r="K542">
            <v>31</v>
          </cell>
          <cell r="L542">
            <v>30</v>
          </cell>
          <cell r="M542">
            <v>28</v>
          </cell>
        </row>
        <row r="543">
          <cell r="A543" t="str">
            <v>DQ4608A1</v>
          </cell>
          <cell r="B543">
            <v>8</v>
          </cell>
          <cell r="C543">
            <v>112.035</v>
          </cell>
          <cell r="D543">
            <v>0</v>
          </cell>
          <cell r="E543">
            <v>112.035</v>
          </cell>
          <cell r="F543" t="str">
            <v>调货</v>
          </cell>
          <cell r="G543" t="str">
            <v>圣达菲2.7L</v>
          </cell>
          <cell r="H543">
            <v>134</v>
          </cell>
          <cell r="I543">
            <v>132</v>
          </cell>
          <cell r="J543">
            <v>129</v>
          </cell>
          <cell r="K543">
            <v>127</v>
          </cell>
          <cell r="L543">
            <v>126</v>
          </cell>
          <cell r="M543">
            <v>124</v>
          </cell>
        </row>
        <row r="544">
          <cell r="A544" t="str">
            <v>DQ9025A2</v>
          </cell>
          <cell r="B544">
            <v>8</v>
          </cell>
          <cell r="C544">
            <v>36.5</v>
          </cell>
          <cell r="D544">
            <v>2.0357249206061</v>
          </cell>
          <cell r="E544">
            <v>34.4642750793939</v>
          </cell>
          <cell r="F544" t="str">
            <v>自制</v>
          </cell>
          <cell r="G544" t="str">
            <v>奔驰AMG Coupe</v>
          </cell>
          <cell r="H544">
            <v>50</v>
          </cell>
          <cell r="I544">
            <v>48</v>
          </cell>
          <cell r="J544">
            <v>46</v>
          </cell>
          <cell r="K544">
            <v>44</v>
          </cell>
          <cell r="L544">
            <v>42</v>
          </cell>
          <cell r="M544">
            <v>41</v>
          </cell>
        </row>
        <row r="545">
          <cell r="A545" t="str">
            <v>DQ9001B1</v>
          </cell>
          <cell r="B545">
            <v>8</v>
          </cell>
          <cell r="C545">
            <v>25.0304145</v>
          </cell>
          <cell r="D545">
            <v>0</v>
          </cell>
          <cell r="E545">
            <v>25.0304145</v>
          </cell>
          <cell r="F545" t="str">
            <v>自制</v>
          </cell>
          <cell r="G545" t="str">
            <v>拉达格兰塔</v>
          </cell>
          <cell r="H545">
            <v>34</v>
          </cell>
          <cell r="I545">
            <v>33</v>
          </cell>
          <cell r="J545">
            <v>32</v>
          </cell>
          <cell r="K545">
            <v>31</v>
          </cell>
          <cell r="L545">
            <v>29</v>
          </cell>
          <cell r="M545">
            <v>28</v>
          </cell>
        </row>
        <row r="546">
          <cell r="A546" t="str">
            <v>DQ9086A1</v>
          </cell>
          <cell r="B546">
            <v>8</v>
          </cell>
          <cell r="C546">
            <v>37.2801555</v>
          </cell>
          <cell r="D546">
            <v>0</v>
          </cell>
          <cell r="E546">
            <v>37.2801555</v>
          </cell>
          <cell r="F546" t="str">
            <v>调货</v>
          </cell>
          <cell r="G546" t="str">
            <v>金杯 蒂阿兹</v>
          </cell>
          <cell r="H546">
            <v>45</v>
          </cell>
          <cell r="I546">
            <v>44</v>
          </cell>
          <cell r="J546">
            <v>43</v>
          </cell>
          <cell r="K546">
            <v>43</v>
          </cell>
          <cell r="L546">
            <v>42</v>
          </cell>
          <cell r="M546">
            <v>42</v>
          </cell>
        </row>
        <row r="547">
          <cell r="A547" t="str">
            <v>DQ126</v>
          </cell>
          <cell r="B547">
            <v>7</v>
          </cell>
          <cell r="C547">
            <v>25.4399185909091</v>
          </cell>
          <cell r="D547">
            <v>0</v>
          </cell>
          <cell r="E547">
            <v>25.4399185909091</v>
          </cell>
          <cell r="F547" t="str">
            <v>自制</v>
          </cell>
          <cell r="G547" t="str">
            <v>北京切诺基</v>
          </cell>
          <cell r="H547">
            <v>35</v>
          </cell>
          <cell r="I547">
            <v>34</v>
          </cell>
          <cell r="J547">
            <v>32</v>
          </cell>
          <cell r="K547">
            <v>31</v>
          </cell>
          <cell r="L547">
            <v>30</v>
          </cell>
          <cell r="M547">
            <v>28</v>
          </cell>
        </row>
        <row r="548">
          <cell r="A548" t="str">
            <v>DQ9402B1</v>
          </cell>
          <cell r="B548">
            <v>7</v>
          </cell>
          <cell r="C548">
            <v>143.380125</v>
          </cell>
          <cell r="D548">
            <v>0</v>
          </cell>
          <cell r="E548">
            <v>143.380125</v>
          </cell>
          <cell r="F548" t="str">
            <v>调货</v>
          </cell>
          <cell r="G548" t="str">
            <v>标致</v>
          </cell>
          <cell r="H548">
            <v>171</v>
          </cell>
          <cell r="I548">
            <v>168</v>
          </cell>
          <cell r="J548">
            <v>165</v>
          </cell>
          <cell r="K548">
            <v>163</v>
          </cell>
          <cell r="L548">
            <v>161</v>
          </cell>
          <cell r="M548">
            <v>158</v>
          </cell>
        </row>
        <row r="549">
          <cell r="A549" t="str">
            <v>DQ9033B1</v>
          </cell>
          <cell r="B549">
            <v>6</v>
          </cell>
          <cell r="C549">
            <v>32.0136408560606</v>
          </cell>
          <cell r="D549">
            <v>0</v>
          </cell>
          <cell r="E549">
            <v>32.0136408560606</v>
          </cell>
          <cell r="F549" t="str">
            <v>自制</v>
          </cell>
          <cell r="G549" t="str">
            <v>宝腾 艾索拉</v>
          </cell>
          <cell r="H549">
            <v>44</v>
          </cell>
          <cell r="I549">
            <v>42</v>
          </cell>
          <cell r="J549">
            <v>41</v>
          </cell>
          <cell r="K549">
            <v>39</v>
          </cell>
          <cell r="L549">
            <v>37</v>
          </cell>
          <cell r="M549">
            <v>36</v>
          </cell>
        </row>
        <row r="550">
          <cell r="A550" t="str">
            <v>DQ4402A1</v>
          </cell>
          <cell r="B550">
            <v>6</v>
          </cell>
          <cell r="C550">
            <v>70.041825</v>
          </cell>
          <cell r="D550">
            <v>0</v>
          </cell>
          <cell r="E550">
            <v>70.041825</v>
          </cell>
          <cell r="F550" t="str">
            <v>调货</v>
          </cell>
          <cell r="G550" t="str">
            <v>起亚EIO L4</v>
          </cell>
          <cell r="H550">
            <v>84</v>
          </cell>
          <cell r="I550">
            <v>82</v>
          </cell>
          <cell r="J550">
            <v>81</v>
          </cell>
          <cell r="K550">
            <v>80</v>
          </cell>
          <cell r="L550">
            <v>79</v>
          </cell>
          <cell r="M550">
            <v>78</v>
          </cell>
        </row>
        <row r="551">
          <cell r="A551" t="str">
            <v>DQ9104</v>
          </cell>
          <cell r="B551">
            <v>5</v>
          </cell>
          <cell r="C551">
            <v>24.6552251393939</v>
          </cell>
          <cell r="D551">
            <v>0</v>
          </cell>
          <cell r="E551">
            <v>24.6552251393939</v>
          </cell>
          <cell r="F551" t="str">
            <v>自制</v>
          </cell>
          <cell r="G551" t="str">
            <v>日系雷诺</v>
          </cell>
          <cell r="H551">
            <v>34</v>
          </cell>
          <cell r="I551">
            <v>33</v>
          </cell>
          <cell r="J551">
            <v>31</v>
          </cell>
          <cell r="K551">
            <v>30</v>
          </cell>
          <cell r="L551">
            <v>29</v>
          </cell>
          <cell r="M551">
            <v>28</v>
          </cell>
        </row>
        <row r="552">
          <cell r="A552" t="str">
            <v>DQ9003H4</v>
          </cell>
          <cell r="B552">
            <v>4</v>
          </cell>
          <cell r="C552">
            <v>29.1441397454546</v>
          </cell>
          <cell r="D552">
            <v>0</v>
          </cell>
          <cell r="E552">
            <v>29.1441397454546</v>
          </cell>
          <cell r="F552" t="str">
            <v>自制</v>
          </cell>
          <cell r="G552" t="str">
            <v>尼桑GTR3.8 V6</v>
          </cell>
          <cell r="H552">
            <v>40</v>
          </cell>
          <cell r="I552">
            <v>38</v>
          </cell>
          <cell r="J552">
            <v>37</v>
          </cell>
          <cell r="K552">
            <v>35</v>
          </cell>
          <cell r="L552">
            <v>34</v>
          </cell>
          <cell r="M552">
            <v>33</v>
          </cell>
        </row>
        <row r="553">
          <cell r="A553" t="str">
            <v>DQ9030B1</v>
          </cell>
          <cell r="B553">
            <v>4</v>
          </cell>
          <cell r="C553">
            <v>54.9201555</v>
          </cell>
          <cell r="D553">
            <v>0</v>
          </cell>
          <cell r="E553">
            <v>54.9201555</v>
          </cell>
          <cell r="F553" t="str">
            <v>调货</v>
          </cell>
          <cell r="G553" t="str">
            <v>福特蒙迪欧致胜2.0T</v>
          </cell>
          <cell r="H553">
            <v>66</v>
          </cell>
          <cell r="I553">
            <v>65</v>
          </cell>
          <cell r="J553">
            <v>64</v>
          </cell>
          <cell r="K553">
            <v>63</v>
          </cell>
          <cell r="L553">
            <v>62</v>
          </cell>
          <cell r="M553">
            <v>61</v>
          </cell>
        </row>
        <row r="554">
          <cell r="A554" t="str">
            <v>DQ9204B</v>
          </cell>
          <cell r="B554">
            <v>2</v>
          </cell>
          <cell r="C554">
            <v>45.97425</v>
          </cell>
          <cell r="D554">
            <v>0</v>
          </cell>
          <cell r="E554">
            <v>45.97425</v>
          </cell>
          <cell r="F554" t="str">
            <v>调货</v>
          </cell>
          <cell r="G554" t="str">
            <v>起亚欧菲莱斯3.5</v>
          </cell>
          <cell r="H554">
            <v>55</v>
          </cell>
          <cell r="I554">
            <v>54</v>
          </cell>
          <cell r="J554">
            <v>53</v>
          </cell>
          <cell r="K554">
            <v>52</v>
          </cell>
          <cell r="L554">
            <v>52</v>
          </cell>
          <cell r="M554">
            <v>51</v>
          </cell>
        </row>
        <row r="555">
          <cell r="A555" t="str">
            <v>DQ4201B1</v>
          </cell>
          <cell r="B555">
            <v>1</v>
          </cell>
          <cell r="C555">
            <v>60.8265</v>
          </cell>
          <cell r="D555">
            <v>0</v>
          </cell>
          <cell r="E555">
            <v>60.8265</v>
          </cell>
          <cell r="F555" t="str">
            <v>调货</v>
          </cell>
          <cell r="G555" t="str">
            <v>奔驰S320</v>
          </cell>
          <cell r="H555">
            <v>73</v>
          </cell>
          <cell r="I555">
            <v>72</v>
          </cell>
          <cell r="J555">
            <v>70</v>
          </cell>
          <cell r="K555">
            <v>69</v>
          </cell>
          <cell r="L555">
            <v>69</v>
          </cell>
          <cell r="M555">
            <v>67</v>
          </cell>
        </row>
        <row r="556">
          <cell r="A556" t="str">
            <v>DQ9005Q</v>
          </cell>
          <cell r="B556">
            <v>0</v>
          </cell>
          <cell r="C556">
            <v>17.9880882674545</v>
          </cell>
          <cell r="D556">
            <v>0</v>
          </cell>
          <cell r="E556">
            <v>17.9880882674545</v>
          </cell>
          <cell r="F556" t="str">
            <v>自制</v>
          </cell>
          <cell r="G556" t="str">
            <v>福特神探</v>
          </cell>
          <cell r="H556">
            <v>25</v>
          </cell>
          <cell r="I556">
            <v>24</v>
          </cell>
          <cell r="J556">
            <v>23</v>
          </cell>
          <cell r="K556">
            <v>22</v>
          </cell>
          <cell r="L556">
            <v>21</v>
          </cell>
          <cell r="M556">
            <v>20</v>
          </cell>
        </row>
        <row r="557">
          <cell r="A557" t="str">
            <v>DQ9132A1</v>
          </cell>
          <cell r="B557">
            <v>0</v>
          </cell>
          <cell r="C557">
            <v>33.2199440327273</v>
          </cell>
          <cell r="D557">
            <v>0</v>
          </cell>
          <cell r="E557">
            <v>33.2199440327273</v>
          </cell>
          <cell r="F557" t="str">
            <v>自制</v>
          </cell>
          <cell r="G557" t="str">
            <v>进口森雅</v>
          </cell>
          <cell r="H557">
            <v>45</v>
          </cell>
          <cell r="I557">
            <v>44</v>
          </cell>
          <cell r="J557">
            <v>42</v>
          </cell>
          <cell r="K557">
            <v>40</v>
          </cell>
          <cell r="L557">
            <v>39</v>
          </cell>
          <cell r="M557">
            <v>37</v>
          </cell>
        </row>
        <row r="558">
          <cell r="A558" t="str">
            <v>DQ9217C</v>
          </cell>
          <cell r="B558">
            <v>0</v>
          </cell>
          <cell r="C558">
            <v>54.79425</v>
          </cell>
          <cell r="D558">
            <v>0</v>
          </cell>
          <cell r="E558">
            <v>54.79425</v>
          </cell>
          <cell r="F558" t="str">
            <v>调货</v>
          </cell>
          <cell r="G558" t="str">
            <v>马自达Protege 1.6L</v>
          </cell>
          <cell r="H558">
            <v>66</v>
          </cell>
          <cell r="I558">
            <v>65</v>
          </cell>
          <cell r="J558">
            <v>64</v>
          </cell>
          <cell r="K558">
            <v>62</v>
          </cell>
          <cell r="L558">
            <v>62</v>
          </cell>
          <cell r="M558">
            <v>61</v>
          </cell>
        </row>
        <row r="559">
          <cell r="A559" t="str">
            <v>DQ4102A1</v>
          </cell>
          <cell r="B559">
            <v>0</v>
          </cell>
          <cell r="C559">
            <v>32.65605</v>
          </cell>
          <cell r="D559">
            <v>0</v>
          </cell>
          <cell r="E559">
            <v>32.65605</v>
          </cell>
          <cell r="F559" t="str">
            <v>调货</v>
          </cell>
          <cell r="G559" t="str">
            <v>本田思域</v>
          </cell>
          <cell r="H559">
            <v>39</v>
          </cell>
          <cell r="I559">
            <v>39</v>
          </cell>
          <cell r="J559">
            <v>38</v>
          </cell>
          <cell r="K559">
            <v>37</v>
          </cell>
          <cell r="L559">
            <v>37</v>
          </cell>
          <cell r="M559">
            <v>36</v>
          </cell>
        </row>
        <row r="560">
          <cell r="A560" t="str">
            <v>DQ6108C</v>
          </cell>
          <cell r="B560">
            <v>0</v>
          </cell>
          <cell r="C560">
            <v>40.8135</v>
          </cell>
          <cell r="D560">
            <v>0</v>
          </cell>
          <cell r="E560">
            <v>40.8135</v>
          </cell>
          <cell r="F560" t="str">
            <v>调货</v>
          </cell>
          <cell r="G560" t="str">
            <v>丰田</v>
          </cell>
          <cell r="H560">
            <v>49</v>
          </cell>
          <cell r="I560">
            <v>48</v>
          </cell>
          <cell r="J560">
            <v>47</v>
          </cell>
          <cell r="K560">
            <v>47</v>
          </cell>
          <cell r="L560">
            <v>46</v>
          </cell>
          <cell r="M560">
            <v>45</v>
          </cell>
        </row>
        <row r="561">
          <cell r="A561" t="str">
            <v>DQ9005M1</v>
          </cell>
          <cell r="B561">
            <v>0</v>
          </cell>
          <cell r="C561">
            <v>24.9119659090909</v>
          </cell>
          <cell r="D561">
            <v>0</v>
          </cell>
          <cell r="E561">
            <v>24.9119659090909</v>
          </cell>
          <cell r="F561" t="str">
            <v>调货</v>
          </cell>
          <cell r="G561" t="str">
            <v>福特96-99</v>
          </cell>
          <cell r="H561">
            <v>30</v>
          </cell>
          <cell r="I561">
            <v>30</v>
          </cell>
          <cell r="J561">
            <v>29</v>
          </cell>
          <cell r="K561">
            <v>29</v>
          </cell>
          <cell r="L561">
            <v>28</v>
          </cell>
          <cell r="M561">
            <v>28</v>
          </cell>
        </row>
        <row r="562">
          <cell r="A562" t="str">
            <v>DQ9007J1</v>
          </cell>
          <cell r="B562">
            <v>0</v>
          </cell>
          <cell r="C562">
            <v>34.6574871454545</v>
          </cell>
          <cell r="D562">
            <v>0</v>
          </cell>
          <cell r="E562">
            <v>34.6574871454545</v>
          </cell>
          <cell r="F562" t="str">
            <v>自制</v>
          </cell>
          <cell r="G562" t="str">
            <v>现代3L030</v>
          </cell>
          <cell r="H562">
            <v>47</v>
          </cell>
          <cell r="I562">
            <v>46</v>
          </cell>
          <cell r="J562">
            <v>44</v>
          </cell>
          <cell r="K562">
            <v>42</v>
          </cell>
          <cell r="L562">
            <v>40</v>
          </cell>
          <cell r="M562">
            <v>39</v>
          </cell>
        </row>
        <row r="563">
          <cell r="A563" t="str">
            <v>DQ9034A3</v>
          </cell>
          <cell r="B563">
            <v>0</v>
          </cell>
          <cell r="C563">
            <v>27.6228552727273</v>
          </cell>
          <cell r="D563">
            <v>0</v>
          </cell>
          <cell r="E563">
            <v>27.6228552727273</v>
          </cell>
          <cell r="F563" t="str">
            <v>自制</v>
          </cell>
          <cell r="G563" t="str">
            <v>纳智捷TT26S</v>
          </cell>
          <cell r="H563">
            <v>38</v>
          </cell>
          <cell r="I563">
            <v>36</v>
          </cell>
          <cell r="J563">
            <v>35</v>
          </cell>
          <cell r="K563">
            <v>34</v>
          </cell>
          <cell r="L563">
            <v>32</v>
          </cell>
          <cell r="M563">
            <v>31</v>
          </cell>
        </row>
        <row r="564">
          <cell r="A564" t="str">
            <v>DQ9062A4</v>
          </cell>
          <cell r="B564">
            <v>0</v>
          </cell>
          <cell r="C564">
            <v>43.659</v>
          </cell>
          <cell r="D564">
            <v>0</v>
          </cell>
          <cell r="E564">
            <v>43.659</v>
          </cell>
          <cell r="F564" t="str">
            <v>调货</v>
          </cell>
          <cell r="G564" t="str">
            <v>瑞迈2.0T</v>
          </cell>
          <cell r="H564">
            <v>52</v>
          </cell>
          <cell r="I564">
            <v>52</v>
          </cell>
          <cell r="J564">
            <v>51</v>
          </cell>
          <cell r="K564">
            <v>50</v>
          </cell>
          <cell r="L564">
            <v>49</v>
          </cell>
          <cell r="M564">
            <v>49</v>
          </cell>
        </row>
        <row r="565">
          <cell r="A565" t="str">
            <v>DQ9111</v>
          </cell>
          <cell r="B565">
            <v>0</v>
          </cell>
          <cell r="C565">
            <v>31.5315</v>
          </cell>
          <cell r="D565">
            <v>0</v>
          </cell>
          <cell r="E565">
            <v>31.5315</v>
          </cell>
          <cell r="F565" t="str">
            <v>调货</v>
          </cell>
          <cell r="G565" t="str">
            <v>拉达笔式</v>
          </cell>
          <cell r="H565">
            <v>38</v>
          </cell>
          <cell r="I565">
            <v>37</v>
          </cell>
          <cell r="J565">
            <v>37</v>
          </cell>
          <cell r="K565">
            <v>36</v>
          </cell>
          <cell r="L565">
            <v>36</v>
          </cell>
          <cell r="M565">
            <v>35</v>
          </cell>
        </row>
        <row r="566">
          <cell r="A566" t="str">
            <v>DQ9128B1</v>
          </cell>
          <cell r="B566">
            <v>0</v>
          </cell>
          <cell r="C566">
            <v>57.33</v>
          </cell>
          <cell r="D566">
            <v>0</v>
          </cell>
          <cell r="E566">
            <v>57.33</v>
          </cell>
          <cell r="F566" t="str">
            <v>调货</v>
          </cell>
          <cell r="G566" t="str">
            <v>别克卢赛恩</v>
          </cell>
          <cell r="H566">
            <v>69</v>
          </cell>
          <cell r="I566">
            <v>68</v>
          </cell>
          <cell r="J566">
            <v>66</v>
          </cell>
          <cell r="K566">
            <v>65</v>
          </cell>
          <cell r="L566">
            <v>65</v>
          </cell>
          <cell r="M566">
            <v>64</v>
          </cell>
        </row>
        <row r="567">
          <cell r="A567" t="str">
            <v>DQ9201D</v>
          </cell>
          <cell r="B567">
            <v>0</v>
          </cell>
          <cell r="C567">
            <v>32.235</v>
          </cell>
          <cell r="D567">
            <v>0</v>
          </cell>
          <cell r="E567">
            <v>32.235</v>
          </cell>
          <cell r="F567" t="str">
            <v>调货</v>
          </cell>
          <cell r="G567" t="str">
            <v>长安奔奔</v>
          </cell>
          <cell r="H567">
            <v>39</v>
          </cell>
          <cell r="I567">
            <v>38</v>
          </cell>
          <cell r="J567">
            <v>38</v>
          </cell>
          <cell r="K567">
            <v>37</v>
          </cell>
          <cell r="L567">
            <v>37</v>
          </cell>
          <cell r="M567">
            <v>36</v>
          </cell>
        </row>
        <row r="568">
          <cell r="A568" t="str">
            <v>DQ9109J1</v>
          </cell>
          <cell r="B568">
            <v>0</v>
          </cell>
          <cell r="C568">
            <v>45.864</v>
          </cell>
          <cell r="D568">
            <v>0</v>
          </cell>
          <cell r="E568">
            <v>45.864</v>
          </cell>
          <cell r="F568" t="str">
            <v>调货</v>
          </cell>
          <cell r="G568" t="str">
            <v>本田 LIFE 2009</v>
          </cell>
          <cell r="H568">
            <v>55</v>
          </cell>
          <cell r="I568">
            <v>54</v>
          </cell>
          <cell r="J568">
            <v>53</v>
          </cell>
          <cell r="K568">
            <v>52</v>
          </cell>
          <cell r="L568">
            <v>52</v>
          </cell>
          <cell r="M568">
            <v>51</v>
          </cell>
        </row>
        <row r="569">
          <cell r="A569" t="str">
            <v>DQ9005S1</v>
          </cell>
          <cell r="B569">
            <v>0</v>
          </cell>
          <cell r="C569">
            <v>26.7113797454545</v>
          </cell>
          <cell r="D569">
            <v>0</v>
          </cell>
          <cell r="E569">
            <v>26.7113797454545</v>
          </cell>
          <cell r="F569" t="str">
            <v>自制</v>
          </cell>
          <cell r="G569" t="str">
            <v>福特嘉年华</v>
          </cell>
          <cell r="H569">
            <v>37</v>
          </cell>
          <cell r="I569">
            <v>35</v>
          </cell>
          <cell r="J569">
            <v>34</v>
          </cell>
          <cell r="K569">
            <v>33</v>
          </cell>
          <cell r="L569">
            <v>31</v>
          </cell>
          <cell r="M569">
            <v>30</v>
          </cell>
        </row>
        <row r="570">
          <cell r="A570" t="str">
            <v>DQ4103A1</v>
          </cell>
          <cell r="B570">
            <v>0</v>
          </cell>
          <cell r="C570">
            <v>51.70725</v>
          </cell>
          <cell r="D570">
            <v>0</v>
          </cell>
          <cell r="E570">
            <v>51.70725</v>
          </cell>
          <cell r="F570" t="str">
            <v>调货</v>
          </cell>
          <cell r="G570" t="str">
            <v>三菱96-03</v>
          </cell>
          <cell r="H570">
            <v>62</v>
          </cell>
          <cell r="I570">
            <v>61</v>
          </cell>
          <cell r="J570">
            <v>60</v>
          </cell>
          <cell r="K570">
            <v>59</v>
          </cell>
          <cell r="L570">
            <v>58</v>
          </cell>
          <cell r="M570">
            <v>57</v>
          </cell>
        </row>
        <row r="571">
          <cell r="A571" t="str">
            <v>DQ6601A1</v>
          </cell>
          <cell r="B571">
            <v>0</v>
          </cell>
          <cell r="C571">
            <v>173.42325</v>
          </cell>
          <cell r="D571">
            <v>0</v>
          </cell>
          <cell r="E571">
            <v>173.42325</v>
          </cell>
          <cell r="F571" t="str">
            <v>调货</v>
          </cell>
          <cell r="G571" t="str">
            <v>大切诺基4.0L</v>
          </cell>
          <cell r="H571">
            <v>207</v>
          </cell>
          <cell r="I571">
            <v>203</v>
          </cell>
          <cell r="J571">
            <v>200</v>
          </cell>
          <cell r="K571">
            <v>196</v>
          </cell>
          <cell r="L571">
            <v>195</v>
          </cell>
          <cell r="M571">
            <v>191</v>
          </cell>
        </row>
        <row r="572">
          <cell r="A572" t="str">
            <v>DQ9117E1</v>
          </cell>
          <cell r="B572">
            <v>0</v>
          </cell>
          <cell r="C572">
            <v>41.25555</v>
          </cell>
          <cell r="D572">
            <v>0</v>
          </cell>
          <cell r="E572">
            <v>41.25555</v>
          </cell>
          <cell r="F572" t="str">
            <v>调货</v>
          </cell>
          <cell r="G572" t="str">
            <v>铃木</v>
          </cell>
          <cell r="H572">
            <v>50</v>
          </cell>
          <cell r="I572">
            <v>49</v>
          </cell>
          <cell r="J572">
            <v>48</v>
          </cell>
          <cell r="K572">
            <v>47</v>
          </cell>
          <cell r="L572">
            <v>47</v>
          </cell>
          <cell r="M572">
            <v>46</v>
          </cell>
        </row>
        <row r="573">
          <cell r="A573" t="str">
            <v>DQ9159A1</v>
          </cell>
          <cell r="B573">
            <v>0</v>
          </cell>
          <cell r="C573">
            <v>40.3515</v>
          </cell>
          <cell r="D573">
            <v>0</v>
          </cell>
          <cell r="E573">
            <v>40.3515</v>
          </cell>
          <cell r="F573" t="str">
            <v>调货</v>
          </cell>
          <cell r="G573" t="str">
            <v>三星SM5</v>
          </cell>
          <cell r="H573">
            <v>49</v>
          </cell>
          <cell r="I573">
            <v>48</v>
          </cell>
          <cell r="J573">
            <v>47</v>
          </cell>
          <cell r="K573">
            <v>46</v>
          </cell>
          <cell r="L573">
            <v>46</v>
          </cell>
          <cell r="M573">
            <v>45</v>
          </cell>
        </row>
        <row r="574">
          <cell r="A574" t="str">
            <v>DQ4103B1</v>
          </cell>
          <cell r="B574">
            <v>0</v>
          </cell>
          <cell r="C574">
            <v>40.84983</v>
          </cell>
          <cell r="D574">
            <v>0</v>
          </cell>
          <cell r="E574">
            <v>40.84983</v>
          </cell>
          <cell r="F574" t="str">
            <v>调货</v>
          </cell>
          <cell r="G574" t="str">
            <v>尼桑B13</v>
          </cell>
          <cell r="H574">
            <v>49</v>
          </cell>
          <cell r="I574">
            <v>48</v>
          </cell>
          <cell r="J574">
            <v>47</v>
          </cell>
          <cell r="K574">
            <v>47</v>
          </cell>
          <cell r="L574">
            <v>46</v>
          </cell>
          <cell r="M574">
            <v>45</v>
          </cell>
        </row>
        <row r="575">
          <cell r="A575" t="str">
            <v>DQ4104A1</v>
          </cell>
          <cell r="B575">
            <v>0</v>
          </cell>
          <cell r="C575">
            <v>41.95233</v>
          </cell>
          <cell r="D575">
            <v>0</v>
          </cell>
          <cell r="E575">
            <v>41.95233</v>
          </cell>
          <cell r="F575" t="str">
            <v>调货</v>
          </cell>
          <cell r="G575" t="str">
            <v>本田EF2</v>
          </cell>
          <cell r="H575">
            <v>50</v>
          </cell>
          <cell r="I575">
            <v>50</v>
          </cell>
          <cell r="J575">
            <v>49</v>
          </cell>
          <cell r="K575">
            <v>48</v>
          </cell>
          <cell r="L575">
            <v>47</v>
          </cell>
          <cell r="M575">
            <v>47</v>
          </cell>
        </row>
        <row r="576">
          <cell r="A576" t="str">
            <v>DQ4106A1</v>
          </cell>
          <cell r="B576">
            <v>0</v>
          </cell>
          <cell r="C576">
            <v>35.056784</v>
          </cell>
          <cell r="D576">
            <v>0</v>
          </cell>
          <cell r="E576">
            <v>35.056784</v>
          </cell>
          <cell r="F576" t="str">
            <v>自制</v>
          </cell>
          <cell r="G576">
            <v>12713668</v>
          </cell>
          <cell r="H576">
            <v>48</v>
          </cell>
          <cell r="I576">
            <v>46</v>
          </cell>
          <cell r="J576">
            <v>44</v>
          </cell>
          <cell r="K576">
            <v>43</v>
          </cell>
          <cell r="L576">
            <v>41</v>
          </cell>
          <cell r="M576">
            <v>39</v>
          </cell>
        </row>
        <row r="577">
          <cell r="A577" t="str">
            <v>DQ9084A1</v>
          </cell>
          <cell r="B577">
            <v>0</v>
          </cell>
          <cell r="C577">
            <v>38</v>
          </cell>
          <cell r="D577">
            <v>1.9405254545454</v>
          </cell>
          <cell r="E577">
            <v>36.0594745454546</v>
          </cell>
          <cell r="F577" t="str">
            <v>自制</v>
          </cell>
          <cell r="G577" t="str">
            <v>比亚迪秦PLUS</v>
          </cell>
          <cell r="H577">
            <v>52</v>
          </cell>
          <cell r="I577">
            <v>50</v>
          </cell>
          <cell r="J577">
            <v>48</v>
          </cell>
          <cell r="K577">
            <v>46</v>
          </cell>
          <cell r="L577">
            <v>44</v>
          </cell>
          <cell r="M577">
            <v>42</v>
          </cell>
        </row>
      </sheetData>
      <sheetData sheetId="4">
        <row r="1">
          <cell r="A1" t="str">
            <v>对外型号</v>
          </cell>
          <cell r="B1" t="str">
            <v>2025年销量</v>
          </cell>
          <cell r="C1" t="str">
            <v>定价用本60315</v>
          </cell>
          <cell r="D1" t="str">
            <v>增加</v>
          </cell>
          <cell r="E1" t="str">
            <v>彩未本60301</v>
          </cell>
          <cell r="F1" t="str">
            <v>新属性</v>
          </cell>
          <cell r="G1" t="str">
            <v>通用名</v>
          </cell>
          <cell r="H1" t="str">
            <v>NP彩未60315</v>
          </cell>
          <cell r="I1" t="str">
            <v>LP彩未60315</v>
          </cell>
          <cell r="J1" t="str">
            <v>SLP彩未60315</v>
          </cell>
          <cell r="K1" t="str">
            <v>2S彩未60315</v>
          </cell>
          <cell r="L1" t="str">
            <v>3S彩未60315</v>
          </cell>
          <cell r="M1" t="str">
            <v>4S彩未60315</v>
          </cell>
        </row>
        <row r="2">
          <cell r="A2" t="str">
            <v>DQ910852</v>
          </cell>
          <cell r="B2">
            <v>102127</v>
          </cell>
          <cell r="C2">
            <v>25.4663399554545</v>
          </cell>
          <cell r="D2">
            <v>0</v>
          </cell>
          <cell r="E2">
            <v>25.4663399554545</v>
          </cell>
          <cell r="F2" t="str">
            <v>自制</v>
          </cell>
          <cell r="G2" t="str">
            <v>丰田卡罗拉</v>
          </cell>
          <cell r="H2">
            <v>35</v>
          </cell>
          <cell r="I2">
            <v>34</v>
          </cell>
          <cell r="J2">
            <v>32</v>
          </cell>
          <cell r="K2">
            <v>31</v>
          </cell>
          <cell r="L2">
            <v>30</v>
          </cell>
          <cell r="M2">
            <v>29</v>
          </cell>
        </row>
        <row r="3">
          <cell r="A3" t="str">
            <v>DQ9101B1</v>
          </cell>
          <cell r="B3">
            <v>68787</v>
          </cell>
          <cell r="C3">
            <v>15.8033410802256</v>
          </cell>
          <cell r="D3">
            <v>-0.900781276592631</v>
          </cell>
          <cell r="E3">
            <v>16.7041223568182</v>
          </cell>
          <cell r="F3" t="str">
            <v>自制</v>
          </cell>
          <cell r="G3" t="str">
            <v>伽玛发动机</v>
          </cell>
          <cell r="H3">
            <v>22</v>
          </cell>
          <cell r="I3">
            <v>21</v>
          </cell>
          <cell r="J3">
            <v>20</v>
          </cell>
          <cell r="K3">
            <v>19</v>
          </cell>
          <cell r="L3">
            <v>19</v>
          </cell>
          <cell r="M3">
            <v>18</v>
          </cell>
        </row>
        <row r="4">
          <cell r="A4" t="str">
            <v>DQ910848</v>
          </cell>
          <cell r="B4">
            <v>59649</v>
          </cell>
          <cell r="C4">
            <v>24.3878110994545</v>
          </cell>
          <cell r="D4">
            <v>0</v>
          </cell>
          <cell r="E4">
            <v>24.3878110994545</v>
          </cell>
          <cell r="F4" t="str">
            <v>自制</v>
          </cell>
          <cell r="G4" t="str">
            <v>丰田02248</v>
          </cell>
          <cell r="H4">
            <v>33</v>
          </cell>
          <cell r="I4">
            <v>32</v>
          </cell>
          <cell r="J4">
            <v>31</v>
          </cell>
          <cell r="K4">
            <v>30</v>
          </cell>
          <cell r="L4">
            <v>29</v>
          </cell>
          <cell r="M4">
            <v>27</v>
          </cell>
        </row>
        <row r="5">
          <cell r="A5" t="str">
            <v>DQ910840</v>
          </cell>
          <cell r="B5">
            <v>57082</v>
          </cell>
          <cell r="C5">
            <v>24.6573110994545</v>
          </cell>
          <cell r="D5">
            <v>0</v>
          </cell>
          <cell r="E5">
            <v>24.6573110994545</v>
          </cell>
          <cell r="F5" t="str">
            <v>自制</v>
          </cell>
          <cell r="G5" t="str">
            <v>丰田02240</v>
          </cell>
          <cell r="H5">
            <v>34</v>
          </cell>
          <cell r="I5">
            <v>33</v>
          </cell>
          <cell r="J5">
            <v>31</v>
          </cell>
          <cell r="K5">
            <v>30</v>
          </cell>
          <cell r="L5">
            <v>29</v>
          </cell>
          <cell r="M5">
            <v>28</v>
          </cell>
        </row>
        <row r="6">
          <cell r="A6" t="str">
            <v>DQ9106L</v>
          </cell>
          <cell r="B6">
            <v>55969</v>
          </cell>
          <cell r="C6">
            <v>27.4005602884848</v>
          </cell>
          <cell r="D6">
            <v>0</v>
          </cell>
          <cell r="E6">
            <v>27.4005602884848</v>
          </cell>
          <cell r="F6" t="str">
            <v>自制</v>
          </cell>
          <cell r="G6" t="str">
            <v>波罗</v>
          </cell>
          <cell r="H6">
            <v>37</v>
          </cell>
          <cell r="I6">
            <v>36</v>
          </cell>
          <cell r="J6">
            <v>35</v>
          </cell>
          <cell r="K6">
            <v>33</v>
          </cell>
          <cell r="L6">
            <v>32</v>
          </cell>
          <cell r="M6">
            <v>31</v>
          </cell>
        </row>
        <row r="7">
          <cell r="A7" t="str">
            <v>DQ9003H2</v>
          </cell>
          <cell r="B7">
            <v>50616</v>
          </cell>
          <cell r="C7">
            <v>24.1526874554545</v>
          </cell>
          <cell r="D7">
            <v>0</v>
          </cell>
          <cell r="E7">
            <v>24.1526874554545</v>
          </cell>
          <cell r="F7" t="str">
            <v>自制</v>
          </cell>
          <cell r="G7" t="str">
            <v>尼桑</v>
          </cell>
          <cell r="H7">
            <v>33</v>
          </cell>
          <cell r="I7">
            <v>32</v>
          </cell>
          <cell r="J7">
            <v>31</v>
          </cell>
          <cell r="K7">
            <v>29</v>
          </cell>
          <cell r="L7">
            <v>28</v>
          </cell>
          <cell r="M7">
            <v>27</v>
          </cell>
        </row>
        <row r="8">
          <cell r="A8" t="str">
            <v>DQ9103A</v>
          </cell>
          <cell r="B8">
            <v>44310</v>
          </cell>
          <cell r="C8">
            <v>29.1857554154545</v>
          </cell>
          <cell r="D8">
            <v>0</v>
          </cell>
          <cell r="E8">
            <v>29.1857554154545</v>
          </cell>
          <cell r="F8" t="str">
            <v>自制</v>
          </cell>
          <cell r="G8" t="str">
            <v>奥迪C6</v>
          </cell>
          <cell r="H8">
            <v>40</v>
          </cell>
          <cell r="I8">
            <v>38</v>
          </cell>
          <cell r="J8">
            <v>37</v>
          </cell>
          <cell r="K8">
            <v>36</v>
          </cell>
          <cell r="L8">
            <v>34</v>
          </cell>
          <cell r="M8">
            <v>33</v>
          </cell>
        </row>
        <row r="9">
          <cell r="A9" t="str">
            <v>DQ9110A</v>
          </cell>
          <cell r="B9">
            <v>34817</v>
          </cell>
          <cell r="C9">
            <v>24.4923273687879</v>
          </cell>
          <cell r="D9">
            <v>0</v>
          </cell>
          <cell r="E9">
            <v>24.4923273687879</v>
          </cell>
          <cell r="F9" t="str">
            <v>自制</v>
          </cell>
          <cell r="G9" t="str">
            <v>宝马博世款</v>
          </cell>
          <cell r="H9">
            <v>34</v>
          </cell>
          <cell r="I9">
            <v>32</v>
          </cell>
          <cell r="J9">
            <v>31</v>
          </cell>
          <cell r="K9">
            <v>30</v>
          </cell>
          <cell r="L9">
            <v>29</v>
          </cell>
          <cell r="M9">
            <v>27</v>
          </cell>
        </row>
        <row r="10">
          <cell r="A10" t="str">
            <v>DQ910839</v>
          </cell>
          <cell r="B10">
            <v>34454</v>
          </cell>
          <cell r="C10">
            <v>24.3909700358182</v>
          </cell>
          <cell r="D10">
            <v>0</v>
          </cell>
          <cell r="E10">
            <v>24.3909700358182</v>
          </cell>
          <cell r="F10" t="str">
            <v>自制</v>
          </cell>
          <cell r="G10" t="str">
            <v>丰田02239</v>
          </cell>
          <cell r="H10">
            <v>33</v>
          </cell>
          <cell r="I10">
            <v>32</v>
          </cell>
          <cell r="J10">
            <v>31</v>
          </cell>
          <cell r="K10">
            <v>30</v>
          </cell>
          <cell r="L10">
            <v>29</v>
          </cell>
          <cell r="M10">
            <v>27</v>
          </cell>
        </row>
        <row r="11">
          <cell r="A11" t="str">
            <v>DQ9115A</v>
          </cell>
          <cell r="B11">
            <v>29979</v>
          </cell>
          <cell r="C11">
            <v>16.6301062880635</v>
          </cell>
          <cell r="D11">
            <v>-0.106591860421278</v>
          </cell>
          <cell r="E11">
            <v>16.7366981484848</v>
          </cell>
          <cell r="F11" t="str">
            <v>自制</v>
          </cell>
          <cell r="G11" t="str">
            <v>4A9</v>
          </cell>
          <cell r="H11">
            <v>23</v>
          </cell>
          <cell r="I11">
            <v>22</v>
          </cell>
          <cell r="J11">
            <v>21</v>
          </cell>
          <cell r="K11">
            <v>20</v>
          </cell>
          <cell r="L11">
            <v>20</v>
          </cell>
          <cell r="M11">
            <v>19</v>
          </cell>
        </row>
        <row r="12">
          <cell r="A12" t="str">
            <v>DQ9110C</v>
          </cell>
          <cell r="B12">
            <v>26011</v>
          </cell>
          <cell r="C12">
            <v>26.0710338454545</v>
          </cell>
          <cell r="D12">
            <v>0</v>
          </cell>
          <cell r="E12">
            <v>26.0710338454545</v>
          </cell>
          <cell r="F12" t="str">
            <v>自制</v>
          </cell>
          <cell r="G12" t="str">
            <v>宝马德尔福款</v>
          </cell>
          <cell r="H12">
            <v>36</v>
          </cell>
          <cell r="I12">
            <v>34</v>
          </cell>
          <cell r="J12">
            <v>33</v>
          </cell>
          <cell r="K12">
            <v>32</v>
          </cell>
          <cell r="L12">
            <v>30</v>
          </cell>
          <cell r="M12">
            <v>29</v>
          </cell>
        </row>
        <row r="13">
          <cell r="A13" t="str">
            <v>DQ9012</v>
          </cell>
          <cell r="B13">
            <v>25879</v>
          </cell>
          <cell r="C13">
            <v>29.2188628554545</v>
          </cell>
          <cell r="D13">
            <v>0</v>
          </cell>
          <cell r="E13">
            <v>29.2188628554545</v>
          </cell>
          <cell r="F13" t="str">
            <v>自制</v>
          </cell>
          <cell r="G13" t="str">
            <v>骐达</v>
          </cell>
          <cell r="H13">
            <v>40</v>
          </cell>
          <cell r="I13">
            <v>38</v>
          </cell>
          <cell r="J13">
            <v>37</v>
          </cell>
          <cell r="K13">
            <v>36</v>
          </cell>
          <cell r="L13">
            <v>34</v>
          </cell>
          <cell r="M13">
            <v>33</v>
          </cell>
        </row>
        <row r="14">
          <cell r="A14" t="str">
            <v>DQ910844</v>
          </cell>
          <cell r="B14">
            <v>24839</v>
          </cell>
          <cell r="C14">
            <v>24.4249448994545</v>
          </cell>
          <cell r="D14">
            <v>0</v>
          </cell>
          <cell r="E14">
            <v>24.4249448994545</v>
          </cell>
          <cell r="F14" t="str">
            <v>自制</v>
          </cell>
          <cell r="G14" t="str">
            <v>丰田02244</v>
          </cell>
          <cell r="H14">
            <v>33</v>
          </cell>
          <cell r="I14">
            <v>32</v>
          </cell>
          <cell r="J14">
            <v>31</v>
          </cell>
          <cell r="K14">
            <v>30</v>
          </cell>
          <cell r="L14">
            <v>29</v>
          </cell>
          <cell r="M14">
            <v>27</v>
          </cell>
        </row>
        <row r="15">
          <cell r="A15" t="str">
            <v>DQ9003H1</v>
          </cell>
          <cell r="B15">
            <v>24084</v>
          </cell>
          <cell r="C15">
            <v>24.8787042634545</v>
          </cell>
          <cell r="D15">
            <v>0</v>
          </cell>
          <cell r="E15">
            <v>24.8787042634545</v>
          </cell>
          <cell r="F15" t="str">
            <v>自制</v>
          </cell>
          <cell r="G15" t="str">
            <v>尼桑</v>
          </cell>
          <cell r="H15">
            <v>34</v>
          </cell>
          <cell r="I15">
            <v>33</v>
          </cell>
          <cell r="J15">
            <v>32</v>
          </cell>
          <cell r="K15">
            <v>30</v>
          </cell>
          <cell r="L15">
            <v>29</v>
          </cell>
          <cell r="M15">
            <v>28</v>
          </cell>
        </row>
        <row r="16">
          <cell r="A16" t="str">
            <v>DQ9101D</v>
          </cell>
          <cell r="B16">
            <v>23954</v>
          </cell>
          <cell r="C16">
            <v>17.6793174410564</v>
          </cell>
          <cell r="D16">
            <v>-0.380070187428409</v>
          </cell>
          <cell r="E16">
            <v>18.0593876284848</v>
          </cell>
          <cell r="F16" t="str">
            <v>自制</v>
          </cell>
          <cell r="G16" t="str">
            <v>12款智跑 12款IX35 K5</v>
          </cell>
          <cell r="H16">
            <v>24</v>
          </cell>
          <cell r="I16">
            <v>23</v>
          </cell>
          <cell r="J16">
            <v>23</v>
          </cell>
          <cell r="K16">
            <v>22</v>
          </cell>
          <cell r="L16">
            <v>21</v>
          </cell>
          <cell r="M16">
            <v>20</v>
          </cell>
        </row>
        <row r="17">
          <cell r="A17" t="str">
            <v>DQ9117D2</v>
          </cell>
          <cell r="B17">
            <v>21699</v>
          </cell>
          <cell r="C17">
            <v>27.7014005318182</v>
          </cell>
          <cell r="D17">
            <v>0</v>
          </cell>
          <cell r="E17">
            <v>27.7014005318182</v>
          </cell>
          <cell r="F17" t="str">
            <v>自制</v>
          </cell>
          <cell r="G17" t="str">
            <v>铃木SX4 2012 2.0L；铃木 快捷（进口）1.3</v>
          </cell>
          <cell r="H17">
            <v>38</v>
          </cell>
          <cell r="I17">
            <v>37</v>
          </cell>
          <cell r="J17">
            <v>35</v>
          </cell>
          <cell r="K17">
            <v>34</v>
          </cell>
          <cell r="L17">
            <v>32</v>
          </cell>
          <cell r="M17">
            <v>31</v>
          </cell>
        </row>
        <row r="18">
          <cell r="A18" t="str">
            <v>DQ9219A</v>
          </cell>
          <cell r="B18">
            <v>20887</v>
          </cell>
          <cell r="C18">
            <v>19.6558968477273</v>
          </cell>
          <cell r="D18">
            <v>0</v>
          </cell>
          <cell r="E18">
            <v>19.6558968477273</v>
          </cell>
          <cell r="F18" t="str">
            <v>自制</v>
          </cell>
          <cell r="G18" t="str">
            <v>哈弗H6 1.5T</v>
          </cell>
          <cell r="H18">
            <v>27</v>
          </cell>
          <cell r="I18">
            <v>26</v>
          </cell>
          <cell r="J18">
            <v>25</v>
          </cell>
          <cell r="K18">
            <v>24</v>
          </cell>
          <cell r="L18">
            <v>23</v>
          </cell>
          <cell r="M18">
            <v>22</v>
          </cell>
        </row>
        <row r="19">
          <cell r="A19" t="str">
            <v>DQ9003H3</v>
          </cell>
          <cell r="B19">
            <v>20603</v>
          </cell>
          <cell r="C19">
            <v>24.9991542634546</v>
          </cell>
          <cell r="D19">
            <v>0</v>
          </cell>
          <cell r="E19">
            <v>24.9991542634546</v>
          </cell>
          <cell r="F19" t="str">
            <v>自制</v>
          </cell>
          <cell r="G19" t="str">
            <v>尼桑</v>
          </cell>
          <cell r="H19">
            <v>34</v>
          </cell>
          <cell r="I19">
            <v>33</v>
          </cell>
          <cell r="J19">
            <v>32</v>
          </cell>
          <cell r="K19">
            <v>30</v>
          </cell>
          <cell r="L19">
            <v>29</v>
          </cell>
          <cell r="M19">
            <v>28</v>
          </cell>
        </row>
        <row r="20">
          <cell r="A20" t="str">
            <v>DQ9101Q</v>
          </cell>
          <cell r="B20">
            <v>20241</v>
          </cell>
          <cell r="C20">
            <v>17.7119942218182</v>
          </cell>
          <cell r="D20">
            <v>0</v>
          </cell>
          <cell r="E20">
            <v>17.7119942218182</v>
          </cell>
          <cell r="F20" t="str">
            <v>自制</v>
          </cell>
          <cell r="G20" t="str">
            <v>现代飞思</v>
          </cell>
          <cell r="H20">
            <v>24</v>
          </cell>
          <cell r="I20">
            <v>24</v>
          </cell>
          <cell r="J20">
            <v>23</v>
          </cell>
          <cell r="K20">
            <v>22</v>
          </cell>
          <cell r="L20">
            <v>21</v>
          </cell>
          <cell r="M20">
            <v>20</v>
          </cell>
        </row>
        <row r="21">
          <cell r="A21" t="str">
            <v>DQ910850</v>
          </cell>
          <cell r="B21">
            <v>19458</v>
          </cell>
          <cell r="C21">
            <v>24.8069418994545</v>
          </cell>
          <cell r="D21">
            <v>0</v>
          </cell>
          <cell r="E21">
            <v>24.8069418994545</v>
          </cell>
          <cell r="F21" t="str">
            <v>自制</v>
          </cell>
          <cell r="G21" t="str">
            <v>丰田02250</v>
          </cell>
          <cell r="H21">
            <v>34</v>
          </cell>
          <cell r="I21">
            <v>33</v>
          </cell>
          <cell r="J21">
            <v>32</v>
          </cell>
          <cell r="K21">
            <v>30</v>
          </cell>
          <cell r="L21">
            <v>29</v>
          </cell>
          <cell r="M21">
            <v>28</v>
          </cell>
        </row>
        <row r="22">
          <cell r="A22" t="str">
            <v>DQ9109S</v>
          </cell>
          <cell r="B22">
            <v>18917</v>
          </cell>
          <cell r="C22">
            <v>26.7581442587879</v>
          </cell>
          <cell r="D22">
            <v>0</v>
          </cell>
          <cell r="E22">
            <v>26.7581442587879</v>
          </cell>
          <cell r="F22" t="str">
            <v>自制</v>
          </cell>
          <cell r="G22" t="str">
            <v>思域1.8</v>
          </cell>
          <cell r="H22">
            <v>37</v>
          </cell>
          <cell r="I22">
            <v>35</v>
          </cell>
          <cell r="J22">
            <v>34</v>
          </cell>
          <cell r="K22">
            <v>33</v>
          </cell>
          <cell r="L22">
            <v>31</v>
          </cell>
          <cell r="M22">
            <v>30</v>
          </cell>
        </row>
        <row r="23">
          <cell r="A23" t="str">
            <v>DQ9103AR</v>
          </cell>
          <cell r="B23">
            <v>16941</v>
          </cell>
          <cell r="C23">
            <v>30.0291804154545</v>
          </cell>
          <cell r="D23">
            <v>0</v>
          </cell>
          <cell r="E23">
            <v>30.0291804154545</v>
          </cell>
          <cell r="F23" t="str">
            <v>自制</v>
          </cell>
          <cell r="G23" t="str">
            <v>奥迪A6红头</v>
          </cell>
          <cell r="H23">
            <v>41</v>
          </cell>
          <cell r="I23">
            <v>40</v>
          </cell>
          <cell r="J23">
            <v>38</v>
          </cell>
          <cell r="K23">
            <v>37</v>
          </cell>
          <cell r="L23">
            <v>35</v>
          </cell>
          <cell r="M23">
            <v>34</v>
          </cell>
        </row>
        <row r="24">
          <cell r="A24" t="str">
            <v>DQ9023</v>
          </cell>
          <cell r="B24">
            <v>16299</v>
          </cell>
          <cell r="C24">
            <v>29.2946118387879</v>
          </cell>
          <cell r="D24">
            <v>0</v>
          </cell>
          <cell r="E24">
            <v>29.2946118387879</v>
          </cell>
          <cell r="F24" t="str">
            <v>自制</v>
          </cell>
          <cell r="G24" t="str">
            <v>新桑塔纳</v>
          </cell>
          <cell r="H24">
            <v>40</v>
          </cell>
          <cell r="I24">
            <v>39</v>
          </cell>
          <cell r="J24">
            <v>37</v>
          </cell>
          <cell r="K24">
            <v>36</v>
          </cell>
          <cell r="L24">
            <v>34</v>
          </cell>
          <cell r="M24">
            <v>33</v>
          </cell>
        </row>
        <row r="25">
          <cell r="A25" t="str">
            <v>DQ9036C1</v>
          </cell>
          <cell r="B25">
            <v>15337</v>
          </cell>
          <cell r="C25">
            <v>20.6930708554546</v>
          </cell>
          <cell r="D25">
            <v>0</v>
          </cell>
          <cell r="E25">
            <v>20.6930708554546</v>
          </cell>
          <cell r="F25" t="str">
            <v>自制</v>
          </cell>
          <cell r="G25" t="str">
            <v>克莱斯勒 道奇 Jeep Ram 大众</v>
          </cell>
          <cell r="H25">
            <v>28</v>
          </cell>
          <cell r="I25">
            <v>27</v>
          </cell>
          <cell r="J25">
            <v>26</v>
          </cell>
          <cell r="K25">
            <v>25</v>
          </cell>
          <cell r="L25">
            <v>24</v>
          </cell>
          <cell r="M25">
            <v>23</v>
          </cell>
        </row>
        <row r="26">
          <cell r="A26" t="str">
            <v>DQ910851</v>
          </cell>
          <cell r="B26">
            <v>15227</v>
          </cell>
          <cell r="C26">
            <v>26.1700299554545</v>
          </cell>
          <cell r="D26">
            <v>0</v>
          </cell>
          <cell r="E26">
            <v>26.1700299554545</v>
          </cell>
          <cell r="F26" t="str">
            <v>自制</v>
          </cell>
          <cell r="G26" t="str">
            <v>丰田02251</v>
          </cell>
          <cell r="H26">
            <v>36</v>
          </cell>
          <cell r="I26">
            <v>35</v>
          </cell>
          <cell r="J26">
            <v>33</v>
          </cell>
          <cell r="K26">
            <v>32</v>
          </cell>
          <cell r="L26">
            <v>31</v>
          </cell>
          <cell r="M26">
            <v>29</v>
          </cell>
        </row>
        <row r="27">
          <cell r="A27" t="str">
            <v>DQ9119</v>
          </cell>
          <cell r="B27">
            <v>14968</v>
          </cell>
          <cell r="C27">
            <v>22.1479977354545</v>
          </cell>
          <cell r="D27">
            <v>0</v>
          </cell>
          <cell r="E27">
            <v>22.1479977354545</v>
          </cell>
          <cell r="F27" t="str">
            <v>自制</v>
          </cell>
          <cell r="G27" t="str">
            <v>五菱宏光B15</v>
          </cell>
          <cell r="H27">
            <v>30</v>
          </cell>
          <cell r="I27">
            <v>29</v>
          </cell>
          <cell r="J27">
            <v>28</v>
          </cell>
          <cell r="K27">
            <v>27</v>
          </cell>
          <cell r="L27">
            <v>26</v>
          </cell>
          <cell r="M27">
            <v>25</v>
          </cell>
        </row>
        <row r="28">
          <cell r="A28" t="str">
            <v>DQ9003B</v>
          </cell>
          <cell r="B28">
            <v>14842</v>
          </cell>
          <cell r="C28">
            <v>27.0576282634545</v>
          </cell>
          <cell r="D28">
            <v>0</v>
          </cell>
          <cell r="E28">
            <v>27.0576282634545</v>
          </cell>
          <cell r="F28" t="str">
            <v>自制</v>
          </cell>
          <cell r="G28" t="str">
            <v>天籁侧插</v>
          </cell>
          <cell r="H28">
            <v>37</v>
          </cell>
          <cell r="I28">
            <v>36</v>
          </cell>
          <cell r="J28">
            <v>34</v>
          </cell>
          <cell r="K28">
            <v>33</v>
          </cell>
          <cell r="L28">
            <v>32</v>
          </cell>
          <cell r="M28">
            <v>30</v>
          </cell>
        </row>
        <row r="29">
          <cell r="A29" t="str">
            <v>DQ910830</v>
          </cell>
          <cell r="B29">
            <v>13648</v>
          </cell>
          <cell r="C29">
            <v>24.7675948994545</v>
          </cell>
          <cell r="D29">
            <v>0</v>
          </cell>
          <cell r="E29">
            <v>24.7675948994545</v>
          </cell>
          <cell r="F29" t="str">
            <v>自制</v>
          </cell>
          <cell r="G29" t="str">
            <v>丰田02230</v>
          </cell>
          <cell r="H29">
            <v>34</v>
          </cell>
          <cell r="I29">
            <v>33</v>
          </cell>
          <cell r="J29">
            <v>31</v>
          </cell>
          <cell r="K29">
            <v>30</v>
          </cell>
          <cell r="L29">
            <v>29</v>
          </cell>
          <cell r="M29">
            <v>28</v>
          </cell>
        </row>
        <row r="30">
          <cell r="A30" t="str">
            <v>DQ9101F</v>
          </cell>
          <cell r="B30">
            <v>13633</v>
          </cell>
          <cell r="C30">
            <v>17.1218265318182</v>
          </cell>
          <cell r="D30">
            <v>0</v>
          </cell>
          <cell r="E30">
            <v>17.1218265318182</v>
          </cell>
          <cell r="F30" t="str">
            <v>自制</v>
          </cell>
          <cell r="G30" t="str">
            <v>索兰托 K5</v>
          </cell>
          <cell r="H30">
            <v>24</v>
          </cell>
          <cell r="I30">
            <v>23</v>
          </cell>
          <cell r="J30">
            <v>22</v>
          </cell>
          <cell r="K30">
            <v>21</v>
          </cell>
          <cell r="L30">
            <v>20</v>
          </cell>
          <cell r="M30">
            <v>19</v>
          </cell>
        </row>
        <row r="31">
          <cell r="A31" t="str">
            <v>DQ9016E1</v>
          </cell>
          <cell r="B31">
            <v>13013</v>
          </cell>
          <cell r="C31">
            <v>33.4386853408999</v>
          </cell>
          <cell r="D31">
            <v>0.372005228172578</v>
          </cell>
          <cell r="E31">
            <v>33.0666801127273</v>
          </cell>
          <cell r="F31" t="str">
            <v>自制</v>
          </cell>
          <cell r="G31" t="str">
            <v>凯迪拉克2.0T（进口）</v>
          </cell>
          <cell r="H31">
            <v>46</v>
          </cell>
          <cell r="I31">
            <v>44</v>
          </cell>
          <cell r="J31">
            <v>42</v>
          </cell>
          <cell r="K31">
            <v>41</v>
          </cell>
          <cell r="L31">
            <v>39</v>
          </cell>
          <cell r="M31">
            <v>37</v>
          </cell>
        </row>
        <row r="32">
          <cell r="A32" t="str">
            <v>DQ9107B</v>
          </cell>
          <cell r="B32">
            <v>12542</v>
          </cell>
          <cell r="C32">
            <v>17.8598087784848</v>
          </cell>
          <cell r="D32">
            <v>0</v>
          </cell>
          <cell r="E32">
            <v>17.8598087784848</v>
          </cell>
          <cell r="F32" t="str">
            <v>自制</v>
          </cell>
          <cell r="G32" t="str">
            <v>东风小康</v>
          </cell>
          <cell r="H32">
            <v>25</v>
          </cell>
          <cell r="I32">
            <v>24</v>
          </cell>
          <cell r="J32">
            <v>23</v>
          </cell>
          <cell r="K32">
            <v>22</v>
          </cell>
          <cell r="L32">
            <v>21</v>
          </cell>
          <cell r="M32">
            <v>20</v>
          </cell>
        </row>
        <row r="33">
          <cell r="A33" t="str">
            <v>DQ9101A</v>
          </cell>
          <cell r="B33">
            <v>11761</v>
          </cell>
          <cell r="C33">
            <v>15.8480572271575</v>
          </cell>
          <cell r="D33">
            <v>-0.652713557534166</v>
          </cell>
          <cell r="E33">
            <v>16.5007707846917</v>
          </cell>
          <cell r="F33" t="str">
            <v>自制</v>
          </cell>
          <cell r="G33" t="str">
            <v>伊兰特 VVT 圆头</v>
          </cell>
          <cell r="H33">
            <v>22</v>
          </cell>
          <cell r="I33">
            <v>21</v>
          </cell>
          <cell r="J33">
            <v>20</v>
          </cell>
          <cell r="K33">
            <v>20</v>
          </cell>
          <cell r="L33">
            <v>19</v>
          </cell>
          <cell r="M33">
            <v>18</v>
          </cell>
        </row>
        <row r="34">
          <cell r="A34" t="str">
            <v>DQ910855</v>
          </cell>
          <cell r="B34">
            <v>11435</v>
          </cell>
          <cell r="C34">
            <v>26.0627450994546</v>
          </cell>
          <cell r="D34">
            <v>0</v>
          </cell>
          <cell r="E34">
            <v>26.0627450994546</v>
          </cell>
          <cell r="F34" t="str">
            <v>自制</v>
          </cell>
          <cell r="G34" t="str">
            <v>丰田02255</v>
          </cell>
          <cell r="H34">
            <v>36</v>
          </cell>
          <cell r="I34">
            <v>34</v>
          </cell>
          <cell r="J34">
            <v>33</v>
          </cell>
          <cell r="K34">
            <v>32</v>
          </cell>
          <cell r="L34">
            <v>30</v>
          </cell>
          <cell r="M34">
            <v>29</v>
          </cell>
        </row>
        <row r="35">
          <cell r="A35" t="str">
            <v>DQ9007A1</v>
          </cell>
          <cell r="B35">
            <v>10957</v>
          </cell>
          <cell r="C35">
            <v>32.4845087427273</v>
          </cell>
          <cell r="D35">
            <v>0</v>
          </cell>
          <cell r="E35">
            <v>32.4845087427273</v>
          </cell>
          <cell r="F35" t="str">
            <v>自制</v>
          </cell>
          <cell r="G35" t="str">
            <v>索纳塔九代</v>
          </cell>
          <cell r="H35">
            <v>44</v>
          </cell>
          <cell r="I35">
            <v>43</v>
          </cell>
          <cell r="J35">
            <v>41</v>
          </cell>
          <cell r="K35">
            <v>39</v>
          </cell>
          <cell r="L35">
            <v>38</v>
          </cell>
          <cell r="M35">
            <v>36</v>
          </cell>
        </row>
        <row r="36">
          <cell r="A36" t="str">
            <v>DQ9128A1</v>
          </cell>
          <cell r="B36">
            <v>10803</v>
          </cell>
          <cell r="C36">
            <v>32.2320111793939</v>
          </cell>
          <cell r="D36">
            <v>0</v>
          </cell>
          <cell r="E36">
            <v>32.2320111793939</v>
          </cell>
          <cell r="F36" t="str">
            <v>自制</v>
          </cell>
          <cell r="G36" t="str">
            <v>昂科雷</v>
          </cell>
          <cell r="H36">
            <v>44</v>
          </cell>
          <cell r="I36">
            <v>42</v>
          </cell>
          <cell r="J36">
            <v>41</v>
          </cell>
          <cell r="K36">
            <v>39</v>
          </cell>
          <cell r="L36">
            <v>38</v>
          </cell>
          <cell r="M36">
            <v>36</v>
          </cell>
        </row>
        <row r="37">
          <cell r="A37" t="str">
            <v>DQ9016</v>
          </cell>
          <cell r="B37">
            <v>10077</v>
          </cell>
          <cell r="C37">
            <v>30.6091753793939</v>
          </cell>
          <cell r="D37">
            <v>0</v>
          </cell>
          <cell r="E37">
            <v>30.6091753793939</v>
          </cell>
          <cell r="F37" t="str">
            <v>自制</v>
          </cell>
          <cell r="G37" t="str">
            <v>别克君越</v>
          </cell>
          <cell r="H37">
            <v>42</v>
          </cell>
          <cell r="I37">
            <v>40</v>
          </cell>
          <cell r="J37">
            <v>39</v>
          </cell>
          <cell r="K37">
            <v>37</v>
          </cell>
          <cell r="L37">
            <v>36</v>
          </cell>
          <cell r="M37">
            <v>34</v>
          </cell>
        </row>
        <row r="38">
          <cell r="A38" t="str">
            <v>DQ9003A</v>
          </cell>
          <cell r="B38">
            <v>9775</v>
          </cell>
          <cell r="C38">
            <v>26.2876282634545</v>
          </cell>
          <cell r="D38">
            <v>0</v>
          </cell>
          <cell r="E38">
            <v>26.2876282634545</v>
          </cell>
          <cell r="F38" t="str">
            <v>自制</v>
          </cell>
          <cell r="G38" t="str">
            <v>奇骏2.5</v>
          </cell>
          <cell r="H38">
            <v>36</v>
          </cell>
          <cell r="I38">
            <v>35</v>
          </cell>
          <cell r="J38">
            <v>33</v>
          </cell>
          <cell r="K38">
            <v>32</v>
          </cell>
          <cell r="L38">
            <v>31</v>
          </cell>
          <cell r="M38">
            <v>29</v>
          </cell>
        </row>
        <row r="39">
          <cell r="A39" t="str">
            <v>DQ9025A1</v>
          </cell>
          <cell r="B39">
            <v>9357</v>
          </cell>
          <cell r="C39">
            <v>34.4176934301736</v>
          </cell>
          <cell r="D39">
            <v>1.63006174111298</v>
          </cell>
          <cell r="E39">
            <v>32.7876316890606</v>
          </cell>
          <cell r="F39" t="str">
            <v>自制</v>
          </cell>
          <cell r="G39" t="str">
            <v>奔驰GLK350</v>
          </cell>
          <cell r="H39">
            <v>47</v>
          </cell>
          <cell r="I39">
            <v>45</v>
          </cell>
          <cell r="J39">
            <v>44</v>
          </cell>
          <cell r="K39">
            <v>42</v>
          </cell>
          <cell r="L39">
            <v>40</v>
          </cell>
          <cell r="M39">
            <v>38</v>
          </cell>
        </row>
        <row r="40">
          <cell r="A40" t="str">
            <v>DQ9101B</v>
          </cell>
          <cell r="B40">
            <v>8848</v>
          </cell>
          <cell r="C40">
            <v>17.5908072984848</v>
          </cell>
          <cell r="D40">
            <v>0</v>
          </cell>
          <cell r="E40">
            <v>17.5908072984848</v>
          </cell>
          <cell r="F40" t="str">
            <v>自制</v>
          </cell>
          <cell r="G40" t="str">
            <v>伽马圆头</v>
          </cell>
          <cell r="H40">
            <v>24</v>
          </cell>
          <cell r="I40">
            <v>23</v>
          </cell>
          <cell r="J40">
            <v>22</v>
          </cell>
          <cell r="K40">
            <v>22</v>
          </cell>
          <cell r="L40">
            <v>21</v>
          </cell>
          <cell r="M40">
            <v>20</v>
          </cell>
        </row>
        <row r="41">
          <cell r="A41" t="str">
            <v>DQ9130E1</v>
          </cell>
          <cell r="B41">
            <v>8777</v>
          </cell>
          <cell r="C41">
            <v>21.9996256527273</v>
          </cell>
          <cell r="D41">
            <v>0</v>
          </cell>
          <cell r="E41">
            <v>21.9996256527273</v>
          </cell>
          <cell r="F41" t="str">
            <v>自制</v>
          </cell>
          <cell r="G41" t="str">
            <v>福特锐界</v>
          </cell>
          <cell r="H41">
            <v>30</v>
          </cell>
          <cell r="I41">
            <v>29</v>
          </cell>
          <cell r="J41">
            <v>28</v>
          </cell>
          <cell r="K41">
            <v>27</v>
          </cell>
          <cell r="L41">
            <v>26</v>
          </cell>
          <cell r="M41">
            <v>25</v>
          </cell>
        </row>
        <row r="42">
          <cell r="A42" t="str">
            <v>DQ9406M</v>
          </cell>
          <cell r="B42">
            <v>8711</v>
          </cell>
          <cell r="C42">
            <v>105.05</v>
          </cell>
          <cell r="D42">
            <v>0</v>
          </cell>
          <cell r="E42">
            <v>105.05</v>
          </cell>
          <cell r="F42" t="str">
            <v>调货</v>
          </cell>
          <cell r="G42" t="str">
            <v>科鲁兹1790</v>
          </cell>
          <cell r="H42">
            <v>126</v>
          </cell>
          <cell r="I42">
            <v>123</v>
          </cell>
          <cell r="J42">
            <v>121</v>
          </cell>
          <cell r="K42">
            <v>119</v>
          </cell>
          <cell r="L42">
            <v>118</v>
          </cell>
          <cell r="M42">
            <v>116</v>
          </cell>
        </row>
        <row r="43">
          <cell r="A43" t="str">
            <v>DQ9117</v>
          </cell>
          <cell r="B43">
            <v>8604</v>
          </cell>
          <cell r="C43">
            <v>21.0825224018182</v>
          </cell>
          <cell r="D43">
            <v>0</v>
          </cell>
          <cell r="E43">
            <v>21.0825224018182</v>
          </cell>
          <cell r="F43" t="str">
            <v>自制</v>
          </cell>
          <cell r="G43" t="str">
            <v>北斗星K14（联电系统）</v>
          </cell>
          <cell r="H43">
            <v>29</v>
          </cell>
          <cell r="I43">
            <v>28</v>
          </cell>
          <cell r="J43">
            <v>27</v>
          </cell>
          <cell r="K43">
            <v>26</v>
          </cell>
          <cell r="L43">
            <v>25</v>
          </cell>
          <cell r="M43">
            <v>24</v>
          </cell>
        </row>
        <row r="44">
          <cell r="A44" t="str">
            <v>DQ9109</v>
          </cell>
          <cell r="B44">
            <v>8590</v>
          </cell>
          <cell r="C44">
            <v>26.5037715454545</v>
          </cell>
          <cell r="D44">
            <v>0</v>
          </cell>
          <cell r="E44">
            <v>26.5037715454545</v>
          </cell>
          <cell r="F44" t="str">
            <v>自制</v>
          </cell>
          <cell r="G44" t="str">
            <v>本田7代雅阁</v>
          </cell>
          <cell r="H44">
            <v>36</v>
          </cell>
          <cell r="I44">
            <v>35</v>
          </cell>
          <cell r="J44">
            <v>34</v>
          </cell>
          <cell r="K44">
            <v>32</v>
          </cell>
          <cell r="L44">
            <v>31</v>
          </cell>
          <cell r="M44">
            <v>30</v>
          </cell>
        </row>
        <row r="45">
          <cell r="A45" t="str">
            <v>DQ9101A1</v>
          </cell>
          <cell r="B45">
            <v>8480</v>
          </cell>
          <cell r="C45">
            <v>16.1934177680251</v>
          </cell>
          <cell r="D45">
            <v>0</v>
          </cell>
          <cell r="E45">
            <v>16.1934177680251</v>
          </cell>
          <cell r="F45" t="str">
            <v>自制</v>
          </cell>
          <cell r="G45" t="str">
            <v>27301-26640</v>
          </cell>
          <cell r="H45">
            <v>22</v>
          </cell>
          <cell r="I45">
            <v>22</v>
          </cell>
          <cell r="J45">
            <v>21</v>
          </cell>
          <cell r="K45">
            <v>20</v>
          </cell>
          <cell r="L45">
            <v>19</v>
          </cell>
          <cell r="M45">
            <v>18</v>
          </cell>
        </row>
        <row r="46">
          <cell r="A46" t="str">
            <v>DQ9109C</v>
          </cell>
          <cell r="B46">
            <v>8478</v>
          </cell>
          <cell r="C46">
            <v>27.1173315121212</v>
          </cell>
          <cell r="D46">
            <v>0</v>
          </cell>
          <cell r="E46">
            <v>27.1173315121212</v>
          </cell>
          <cell r="F46" t="str">
            <v>自制</v>
          </cell>
          <cell r="G46" t="str">
            <v>本田讴歌 3.5L</v>
          </cell>
          <cell r="H46">
            <v>37</v>
          </cell>
          <cell r="I46">
            <v>36</v>
          </cell>
          <cell r="J46">
            <v>34</v>
          </cell>
          <cell r="K46">
            <v>33</v>
          </cell>
          <cell r="L46">
            <v>32</v>
          </cell>
          <cell r="M46">
            <v>30</v>
          </cell>
        </row>
        <row r="47">
          <cell r="A47" t="str">
            <v>DQ9132B1</v>
          </cell>
          <cell r="B47">
            <v>8163</v>
          </cell>
          <cell r="C47">
            <v>27.6457148951515</v>
          </cell>
          <cell r="D47">
            <v>0</v>
          </cell>
          <cell r="E47">
            <v>27.6457148951515</v>
          </cell>
          <cell r="F47" t="str">
            <v>自制</v>
          </cell>
          <cell r="G47" t="str">
            <v>丰田大发</v>
          </cell>
          <cell r="H47">
            <v>38</v>
          </cell>
          <cell r="I47">
            <v>36</v>
          </cell>
          <cell r="J47">
            <v>35</v>
          </cell>
          <cell r="K47">
            <v>34</v>
          </cell>
          <cell r="L47">
            <v>32</v>
          </cell>
          <cell r="M47">
            <v>31</v>
          </cell>
        </row>
        <row r="48">
          <cell r="A48" t="str">
            <v>DQ9010B</v>
          </cell>
          <cell r="B48">
            <v>8152</v>
          </cell>
          <cell r="C48">
            <v>24.7595801154545</v>
          </cell>
          <cell r="D48">
            <v>0</v>
          </cell>
          <cell r="E48">
            <v>24.7595801154545</v>
          </cell>
          <cell r="F48" t="str">
            <v>自制</v>
          </cell>
          <cell r="G48" t="str">
            <v>飞度1.5（短）</v>
          </cell>
          <cell r="H48">
            <v>34</v>
          </cell>
          <cell r="I48">
            <v>33</v>
          </cell>
          <cell r="J48">
            <v>31</v>
          </cell>
          <cell r="K48">
            <v>30</v>
          </cell>
          <cell r="L48">
            <v>29</v>
          </cell>
          <cell r="M48">
            <v>28</v>
          </cell>
        </row>
        <row r="49">
          <cell r="A49" t="str">
            <v>DQ910834</v>
          </cell>
          <cell r="B49">
            <v>8111</v>
          </cell>
          <cell r="C49">
            <v>25.1442450994545</v>
          </cell>
          <cell r="D49">
            <v>0</v>
          </cell>
          <cell r="E49">
            <v>25.1442450994545</v>
          </cell>
          <cell r="F49" t="str">
            <v>自制</v>
          </cell>
          <cell r="G49" t="str">
            <v>丰田02234</v>
          </cell>
          <cell r="H49">
            <v>34</v>
          </cell>
          <cell r="I49">
            <v>33</v>
          </cell>
          <cell r="J49">
            <v>32</v>
          </cell>
          <cell r="K49">
            <v>31</v>
          </cell>
          <cell r="L49">
            <v>29</v>
          </cell>
          <cell r="M49">
            <v>28</v>
          </cell>
        </row>
        <row r="50">
          <cell r="A50" t="str">
            <v>DQ9003G1</v>
          </cell>
          <cell r="B50">
            <v>7870</v>
          </cell>
          <cell r="C50">
            <v>27.0494299854545</v>
          </cell>
          <cell r="D50">
            <v>0</v>
          </cell>
          <cell r="E50">
            <v>27.0494299854545</v>
          </cell>
          <cell r="F50" t="str">
            <v>自制</v>
          </cell>
          <cell r="G50" t="str">
            <v>日产逍客</v>
          </cell>
          <cell r="H50">
            <v>37</v>
          </cell>
          <cell r="I50">
            <v>36</v>
          </cell>
          <cell r="J50">
            <v>34</v>
          </cell>
          <cell r="K50">
            <v>33</v>
          </cell>
          <cell r="L50">
            <v>32</v>
          </cell>
          <cell r="M50">
            <v>30</v>
          </cell>
        </row>
        <row r="51">
          <cell r="A51" t="str">
            <v>DQ9010J2</v>
          </cell>
          <cell r="B51">
            <v>7601</v>
          </cell>
          <cell r="C51">
            <v>30.6048912993939</v>
          </cell>
          <cell r="D51">
            <v>0</v>
          </cell>
          <cell r="E51">
            <v>30.6048912993939</v>
          </cell>
          <cell r="F51" t="str">
            <v>自制</v>
          </cell>
          <cell r="G51" t="str">
            <v>本田</v>
          </cell>
          <cell r="H51">
            <v>42</v>
          </cell>
          <cell r="I51">
            <v>40</v>
          </cell>
          <cell r="J51">
            <v>39</v>
          </cell>
          <cell r="K51">
            <v>37</v>
          </cell>
          <cell r="L51">
            <v>36</v>
          </cell>
          <cell r="M51">
            <v>34</v>
          </cell>
        </row>
        <row r="52">
          <cell r="A52" t="str">
            <v>DQ9007B1</v>
          </cell>
          <cell r="B52">
            <v>7245</v>
          </cell>
          <cell r="C52">
            <v>31.9612167427273</v>
          </cell>
          <cell r="D52">
            <v>0</v>
          </cell>
          <cell r="E52">
            <v>31.9612167427273</v>
          </cell>
          <cell r="F52" t="str">
            <v>自制</v>
          </cell>
          <cell r="G52" t="str">
            <v>现代索纳塔9 2.0L</v>
          </cell>
          <cell r="H52">
            <v>44</v>
          </cell>
          <cell r="I52">
            <v>42</v>
          </cell>
          <cell r="J52">
            <v>40</v>
          </cell>
          <cell r="K52">
            <v>39</v>
          </cell>
          <cell r="L52">
            <v>37</v>
          </cell>
          <cell r="M52">
            <v>36</v>
          </cell>
        </row>
        <row r="53">
          <cell r="A53" t="str">
            <v>DQ9103D</v>
          </cell>
          <cell r="B53">
            <v>6928</v>
          </cell>
          <cell r="C53">
            <v>28.8864290118182</v>
          </cell>
          <cell r="D53">
            <v>0</v>
          </cell>
          <cell r="E53">
            <v>28.8864290118182</v>
          </cell>
          <cell r="F53" t="str">
            <v>自制</v>
          </cell>
          <cell r="G53" t="str">
            <v>帕萨特B5 不铣胶面</v>
          </cell>
          <cell r="H53">
            <v>39</v>
          </cell>
          <cell r="I53">
            <v>38</v>
          </cell>
          <cell r="J53">
            <v>37</v>
          </cell>
          <cell r="K53">
            <v>35</v>
          </cell>
          <cell r="L53">
            <v>34</v>
          </cell>
          <cell r="M53">
            <v>32</v>
          </cell>
        </row>
        <row r="54">
          <cell r="A54" t="str">
            <v>DQ9010F</v>
          </cell>
          <cell r="B54">
            <v>6839</v>
          </cell>
          <cell r="C54">
            <v>23.9007332454545</v>
          </cell>
          <cell r="D54">
            <v>0</v>
          </cell>
          <cell r="E54">
            <v>23.9007332454545</v>
          </cell>
          <cell r="F54" t="str">
            <v>自制</v>
          </cell>
          <cell r="G54" t="str">
            <v>新飞度</v>
          </cell>
          <cell r="H54">
            <v>33</v>
          </cell>
          <cell r="I54">
            <v>32</v>
          </cell>
          <cell r="J54">
            <v>30</v>
          </cell>
          <cell r="K54">
            <v>29</v>
          </cell>
          <cell r="L54">
            <v>28</v>
          </cell>
          <cell r="M54">
            <v>27</v>
          </cell>
        </row>
        <row r="55">
          <cell r="A55" t="str">
            <v>DQ9109G1</v>
          </cell>
          <cell r="B55">
            <v>6768</v>
          </cell>
          <cell r="C55">
            <v>26.9836342121212</v>
          </cell>
          <cell r="D55">
            <v>0</v>
          </cell>
          <cell r="E55">
            <v>26.9836342121212</v>
          </cell>
          <cell r="F55" t="str">
            <v>自制</v>
          </cell>
          <cell r="G55" t="str">
            <v>本田 雅阁 3.5L</v>
          </cell>
          <cell r="H55">
            <v>37</v>
          </cell>
          <cell r="I55">
            <v>36</v>
          </cell>
          <cell r="J55">
            <v>34</v>
          </cell>
          <cell r="K55">
            <v>33</v>
          </cell>
          <cell r="L55">
            <v>32</v>
          </cell>
          <cell r="M55">
            <v>30</v>
          </cell>
        </row>
        <row r="56">
          <cell r="A56" t="str">
            <v>DQ9109H1</v>
          </cell>
          <cell r="B56">
            <v>6692</v>
          </cell>
          <cell r="C56">
            <v>27.2424687587879</v>
          </cell>
          <cell r="D56">
            <v>0</v>
          </cell>
          <cell r="E56">
            <v>27.2424687587879</v>
          </cell>
          <cell r="F56" t="str">
            <v>自制</v>
          </cell>
          <cell r="G56" t="str">
            <v>本田 pil0t 13-09</v>
          </cell>
          <cell r="H56">
            <v>37</v>
          </cell>
          <cell r="I56">
            <v>36</v>
          </cell>
          <cell r="J56">
            <v>35</v>
          </cell>
          <cell r="K56">
            <v>33</v>
          </cell>
          <cell r="L56">
            <v>32</v>
          </cell>
          <cell r="M56">
            <v>30</v>
          </cell>
        </row>
        <row r="57">
          <cell r="A57" t="str">
            <v>DQ9401</v>
          </cell>
          <cell r="B57">
            <v>6559</v>
          </cell>
          <cell r="C57">
            <v>28.886708310303</v>
          </cell>
          <cell r="D57">
            <v>0</v>
          </cell>
          <cell r="E57">
            <v>28.886708310303</v>
          </cell>
          <cell r="F57" t="str">
            <v>自制</v>
          </cell>
          <cell r="G57" t="str">
            <v>德尔福三代</v>
          </cell>
          <cell r="H57">
            <v>39</v>
          </cell>
          <cell r="I57">
            <v>38</v>
          </cell>
          <cell r="J57">
            <v>37</v>
          </cell>
          <cell r="K57">
            <v>35</v>
          </cell>
          <cell r="L57">
            <v>34</v>
          </cell>
          <cell r="M57">
            <v>32</v>
          </cell>
        </row>
        <row r="58">
          <cell r="A58" t="str">
            <v>DQ9044A1</v>
          </cell>
          <cell r="B58">
            <v>6511</v>
          </cell>
          <cell r="C58">
            <v>23.1558011787879</v>
          </cell>
          <cell r="D58">
            <v>0</v>
          </cell>
          <cell r="E58">
            <v>23.1558011787879</v>
          </cell>
          <cell r="F58" t="str">
            <v>自制</v>
          </cell>
          <cell r="G58" t="str">
            <v>福田</v>
          </cell>
          <cell r="H58">
            <v>32</v>
          </cell>
          <cell r="I58">
            <v>31</v>
          </cell>
          <cell r="J58">
            <v>29</v>
          </cell>
          <cell r="K58">
            <v>28</v>
          </cell>
          <cell r="L58">
            <v>27</v>
          </cell>
          <cell r="M58">
            <v>26</v>
          </cell>
        </row>
        <row r="59">
          <cell r="A59" t="str">
            <v>DQ9109B1</v>
          </cell>
          <cell r="B59">
            <v>6237</v>
          </cell>
          <cell r="C59">
            <v>27.1315360921212</v>
          </cell>
          <cell r="D59">
            <v>0</v>
          </cell>
          <cell r="E59">
            <v>27.1315360921212</v>
          </cell>
          <cell r="F59" t="str">
            <v>自制</v>
          </cell>
          <cell r="G59" t="str">
            <v>本田9代雅阁</v>
          </cell>
          <cell r="H59">
            <v>37</v>
          </cell>
          <cell r="I59">
            <v>36</v>
          </cell>
          <cell r="J59">
            <v>34</v>
          </cell>
          <cell r="K59">
            <v>33</v>
          </cell>
          <cell r="L59">
            <v>32</v>
          </cell>
          <cell r="M59">
            <v>30</v>
          </cell>
        </row>
        <row r="60">
          <cell r="A60" t="str">
            <v>DQ9109A</v>
          </cell>
          <cell r="B60">
            <v>6068</v>
          </cell>
          <cell r="C60">
            <v>26.4713215454545</v>
          </cell>
          <cell r="D60">
            <v>0</v>
          </cell>
          <cell r="E60">
            <v>26.4713215454545</v>
          </cell>
          <cell r="F60" t="str">
            <v>自制</v>
          </cell>
          <cell r="G60" t="str">
            <v>本田8代雅阁</v>
          </cell>
          <cell r="H60">
            <v>36</v>
          </cell>
          <cell r="I60">
            <v>35</v>
          </cell>
          <cell r="J60">
            <v>34</v>
          </cell>
          <cell r="K60">
            <v>32</v>
          </cell>
          <cell r="L60">
            <v>31</v>
          </cell>
          <cell r="M60">
            <v>30</v>
          </cell>
        </row>
        <row r="61">
          <cell r="A61" t="str">
            <v>DQ9021B</v>
          </cell>
          <cell r="B61">
            <v>6063</v>
          </cell>
          <cell r="C61">
            <v>21.6461452854545</v>
          </cell>
          <cell r="D61">
            <v>0</v>
          </cell>
          <cell r="E61">
            <v>21.6461452854545</v>
          </cell>
          <cell r="F61" t="str">
            <v>自制</v>
          </cell>
          <cell r="G61" t="str">
            <v>长城胜翼</v>
          </cell>
          <cell r="H61">
            <v>30</v>
          </cell>
          <cell r="I61">
            <v>29</v>
          </cell>
          <cell r="J61">
            <v>28</v>
          </cell>
          <cell r="K61">
            <v>26</v>
          </cell>
          <cell r="L61">
            <v>25</v>
          </cell>
          <cell r="M61">
            <v>24</v>
          </cell>
        </row>
        <row r="62">
          <cell r="A62" t="str">
            <v>DQ9023B</v>
          </cell>
          <cell r="B62">
            <v>6061</v>
          </cell>
          <cell r="C62">
            <v>29.6818118387879</v>
          </cell>
          <cell r="D62">
            <v>0</v>
          </cell>
          <cell r="E62">
            <v>29.6818118387879</v>
          </cell>
          <cell r="F62" t="str">
            <v>自制</v>
          </cell>
          <cell r="G62" t="str">
            <v>奥迪Q5</v>
          </cell>
          <cell r="H62">
            <v>41</v>
          </cell>
          <cell r="I62">
            <v>39</v>
          </cell>
          <cell r="J62">
            <v>38</v>
          </cell>
          <cell r="K62">
            <v>36</v>
          </cell>
          <cell r="L62">
            <v>35</v>
          </cell>
          <cell r="M62">
            <v>33</v>
          </cell>
        </row>
        <row r="63">
          <cell r="A63" t="str">
            <v>DQ9036C102</v>
          </cell>
          <cell r="B63">
            <v>5922</v>
          </cell>
          <cell r="C63">
            <v>21.4581208554546</v>
          </cell>
          <cell r="D63">
            <v>0</v>
          </cell>
          <cell r="E63">
            <v>21.4581208554546</v>
          </cell>
          <cell r="F63" t="str">
            <v>自制</v>
          </cell>
          <cell r="G63" t="str">
            <v>克莱斯勒300C 3.6L(带螺丝）</v>
          </cell>
          <cell r="H63">
            <v>29</v>
          </cell>
          <cell r="I63">
            <v>28</v>
          </cell>
          <cell r="J63">
            <v>27</v>
          </cell>
          <cell r="K63">
            <v>26</v>
          </cell>
          <cell r="L63">
            <v>25</v>
          </cell>
          <cell r="M63">
            <v>24</v>
          </cell>
        </row>
        <row r="64">
          <cell r="A64" t="str">
            <v>DQ910846</v>
          </cell>
          <cell r="B64">
            <v>5902</v>
          </cell>
          <cell r="C64">
            <v>25.3333468994546</v>
          </cell>
          <cell r="D64">
            <v>0</v>
          </cell>
          <cell r="E64">
            <v>25.3333468994546</v>
          </cell>
          <cell r="F64" t="str">
            <v>自制</v>
          </cell>
          <cell r="G64" t="str">
            <v>丰田02246</v>
          </cell>
          <cell r="H64">
            <v>35</v>
          </cell>
          <cell r="I64">
            <v>33</v>
          </cell>
          <cell r="J64">
            <v>32</v>
          </cell>
          <cell r="K64">
            <v>31</v>
          </cell>
          <cell r="L64">
            <v>30</v>
          </cell>
          <cell r="M64">
            <v>28</v>
          </cell>
        </row>
        <row r="65">
          <cell r="A65" t="str">
            <v>DQ9104F</v>
          </cell>
          <cell r="B65">
            <v>5750</v>
          </cell>
          <cell r="C65">
            <v>22.1512644993939</v>
          </cell>
          <cell r="D65">
            <v>0</v>
          </cell>
          <cell r="E65">
            <v>22.1512644993939</v>
          </cell>
          <cell r="F65" t="str">
            <v>自制</v>
          </cell>
          <cell r="G65" t="str">
            <v>法系雷诺</v>
          </cell>
          <cell r="H65">
            <v>30</v>
          </cell>
          <cell r="I65">
            <v>29</v>
          </cell>
          <cell r="J65">
            <v>28</v>
          </cell>
          <cell r="K65">
            <v>27</v>
          </cell>
          <cell r="L65">
            <v>26</v>
          </cell>
          <cell r="M65">
            <v>25</v>
          </cell>
        </row>
        <row r="66">
          <cell r="A66" t="str">
            <v>DQ9003G2</v>
          </cell>
          <cell r="B66">
            <v>5695</v>
          </cell>
          <cell r="C66">
            <v>26.8624299854545</v>
          </cell>
          <cell r="D66">
            <v>0</v>
          </cell>
          <cell r="E66">
            <v>26.8624299854545</v>
          </cell>
          <cell r="F66" t="str">
            <v>自制</v>
          </cell>
          <cell r="G66" t="str">
            <v>日产奇骏2.0</v>
          </cell>
          <cell r="H66">
            <v>37</v>
          </cell>
          <cell r="I66">
            <v>35</v>
          </cell>
          <cell r="J66">
            <v>34</v>
          </cell>
          <cell r="K66">
            <v>33</v>
          </cell>
          <cell r="L66">
            <v>31</v>
          </cell>
          <cell r="M66">
            <v>30</v>
          </cell>
        </row>
        <row r="67">
          <cell r="A67" t="str">
            <v>DQ901808</v>
          </cell>
          <cell r="B67">
            <v>5686</v>
          </cell>
          <cell r="C67">
            <v>31.9216837454545</v>
          </cell>
          <cell r="D67">
            <v>0</v>
          </cell>
          <cell r="E67">
            <v>31.9216837454545</v>
          </cell>
          <cell r="F67" t="str">
            <v>自制</v>
          </cell>
          <cell r="G67" t="str">
            <v>卡罗拉1.2T</v>
          </cell>
          <cell r="H67">
            <v>44</v>
          </cell>
          <cell r="I67">
            <v>42</v>
          </cell>
          <cell r="J67">
            <v>40</v>
          </cell>
          <cell r="K67">
            <v>39</v>
          </cell>
          <cell r="L67">
            <v>37</v>
          </cell>
          <cell r="M67">
            <v>36</v>
          </cell>
        </row>
        <row r="68">
          <cell r="A68" t="str">
            <v>DQ9107A</v>
          </cell>
          <cell r="B68">
            <v>5315</v>
          </cell>
          <cell r="C68">
            <v>17.9886187784848</v>
          </cell>
          <cell r="D68">
            <v>0</v>
          </cell>
          <cell r="E68">
            <v>17.9886187784848</v>
          </cell>
          <cell r="F68" t="str">
            <v>自制</v>
          </cell>
          <cell r="G68" t="str">
            <v>北汽威旺</v>
          </cell>
          <cell r="H68">
            <v>25</v>
          </cell>
          <cell r="I68">
            <v>24</v>
          </cell>
          <cell r="J68">
            <v>23</v>
          </cell>
          <cell r="K68">
            <v>22</v>
          </cell>
          <cell r="L68">
            <v>21</v>
          </cell>
          <cell r="M68">
            <v>20</v>
          </cell>
        </row>
        <row r="69">
          <cell r="A69" t="str">
            <v>DQ9038A1</v>
          </cell>
          <cell r="B69">
            <v>5156</v>
          </cell>
          <cell r="C69">
            <v>22.8330138787879</v>
          </cell>
          <cell r="D69">
            <v>0</v>
          </cell>
          <cell r="E69">
            <v>22.8330138787879</v>
          </cell>
          <cell r="F69" t="str">
            <v>自制</v>
          </cell>
          <cell r="G69" t="str">
            <v>宏光B15</v>
          </cell>
          <cell r="H69">
            <v>31</v>
          </cell>
          <cell r="I69">
            <v>30</v>
          </cell>
          <cell r="J69">
            <v>29</v>
          </cell>
          <cell r="K69">
            <v>28</v>
          </cell>
          <cell r="L69">
            <v>27</v>
          </cell>
          <cell r="M69">
            <v>26</v>
          </cell>
        </row>
        <row r="70">
          <cell r="A70" t="str">
            <v>DQ9130F1</v>
          </cell>
          <cell r="B70">
            <v>4904</v>
          </cell>
          <cell r="C70">
            <v>29.5501234527273</v>
          </cell>
          <cell r="D70">
            <v>0</v>
          </cell>
          <cell r="E70">
            <v>29.5501234527273</v>
          </cell>
          <cell r="F70" t="str">
            <v>自制</v>
          </cell>
          <cell r="G70" t="str">
            <v>福特金牛</v>
          </cell>
          <cell r="H70">
            <v>40</v>
          </cell>
          <cell r="I70">
            <v>39</v>
          </cell>
          <cell r="J70">
            <v>37</v>
          </cell>
          <cell r="K70">
            <v>36</v>
          </cell>
          <cell r="L70">
            <v>34</v>
          </cell>
          <cell r="M70">
            <v>33</v>
          </cell>
        </row>
        <row r="71">
          <cell r="A71" t="str">
            <v>DQ9116E</v>
          </cell>
          <cell r="B71">
            <v>4803</v>
          </cell>
          <cell r="C71">
            <v>20.0803697654545</v>
          </cell>
          <cell r="D71">
            <v>0</v>
          </cell>
          <cell r="E71">
            <v>20.0803697654545</v>
          </cell>
          <cell r="F71" t="str">
            <v>自制</v>
          </cell>
          <cell r="G71" t="str">
            <v>473QE发动机</v>
          </cell>
          <cell r="H71">
            <v>28</v>
          </cell>
          <cell r="I71">
            <v>27</v>
          </cell>
          <cell r="J71">
            <v>26</v>
          </cell>
          <cell r="K71">
            <v>25</v>
          </cell>
          <cell r="L71">
            <v>24</v>
          </cell>
          <cell r="M71">
            <v>23</v>
          </cell>
        </row>
        <row r="72">
          <cell r="A72" t="str">
            <v>DQ9113B2</v>
          </cell>
          <cell r="B72">
            <v>4784</v>
          </cell>
          <cell r="C72">
            <v>29.8805027218182</v>
          </cell>
          <cell r="D72">
            <v>0</v>
          </cell>
          <cell r="E72">
            <v>29.8805027218182</v>
          </cell>
          <cell r="F72" t="str">
            <v>自制</v>
          </cell>
          <cell r="G72" t="str">
            <v>三菱劲炫</v>
          </cell>
          <cell r="H72">
            <v>41</v>
          </cell>
          <cell r="I72">
            <v>39</v>
          </cell>
          <cell r="J72">
            <v>38</v>
          </cell>
          <cell r="K72">
            <v>36</v>
          </cell>
          <cell r="L72">
            <v>35</v>
          </cell>
          <cell r="M72">
            <v>33</v>
          </cell>
        </row>
        <row r="73">
          <cell r="A73" t="str">
            <v>DQ129</v>
          </cell>
          <cell r="B73">
            <v>4746</v>
          </cell>
          <cell r="C73">
            <v>38.5195494267414</v>
          </cell>
          <cell r="D73">
            <v>-0.233699664167725</v>
          </cell>
          <cell r="E73">
            <v>38.7532490909091</v>
          </cell>
          <cell r="F73" t="str">
            <v>自制</v>
          </cell>
          <cell r="G73" t="str">
            <v>小红旗</v>
          </cell>
          <cell r="H73">
            <v>53</v>
          </cell>
          <cell r="I73">
            <v>51</v>
          </cell>
          <cell r="J73">
            <v>49</v>
          </cell>
          <cell r="K73">
            <v>47</v>
          </cell>
          <cell r="L73">
            <v>45</v>
          </cell>
          <cell r="M73">
            <v>43</v>
          </cell>
        </row>
        <row r="74">
          <cell r="A74" t="str">
            <v>DQ9230A1</v>
          </cell>
          <cell r="B74">
            <v>4605</v>
          </cell>
          <cell r="C74">
            <v>22.4641709922273</v>
          </cell>
          <cell r="D74">
            <v>0</v>
          </cell>
          <cell r="E74">
            <v>22.4641709922273</v>
          </cell>
          <cell r="F74" t="str">
            <v>自制</v>
          </cell>
          <cell r="G74" t="str">
            <v>五菱之光 1.2L</v>
          </cell>
          <cell r="H74">
            <v>31</v>
          </cell>
          <cell r="I74">
            <v>30</v>
          </cell>
          <cell r="J74">
            <v>29</v>
          </cell>
          <cell r="K74">
            <v>27</v>
          </cell>
          <cell r="L74">
            <v>26</v>
          </cell>
          <cell r="M74">
            <v>25</v>
          </cell>
        </row>
        <row r="75">
          <cell r="A75" t="str">
            <v>DQ9216B</v>
          </cell>
          <cell r="B75">
            <v>4574</v>
          </cell>
          <cell r="C75">
            <v>21.3618668827273</v>
          </cell>
          <cell r="D75">
            <v>0</v>
          </cell>
          <cell r="E75">
            <v>21.3618668827273</v>
          </cell>
          <cell r="F75" t="str">
            <v>自制</v>
          </cell>
          <cell r="G75" t="str">
            <v>荣威350</v>
          </cell>
          <cell r="H75">
            <v>29</v>
          </cell>
          <cell r="I75">
            <v>28</v>
          </cell>
          <cell r="J75">
            <v>27</v>
          </cell>
          <cell r="K75">
            <v>26</v>
          </cell>
          <cell r="L75">
            <v>25</v>
          </cell>
          <cell r="M75">
            <v>24</v>
          </cell>
        </row>
        <row r="76">
          <cell r="A76" t="str">
            <v>DQ9110E1</v>
          </cell>
          <cell r="B76">
            <v>4566</v>
          </cell>
          <cell r="C76">
            <v>26.5387257954545</v>
          </cell>
          <cell r="D76">
            <v>0</v>
          </cell>
          <cell r="E76">
            <v>26.5387257954545</v>
          </cell>
          <cell r="F76" t="str">
            <v>自制</v>
          </cell>
          <cell r="G76" t="str">
            <v>标致1.6T</v>
          </cell>
          <cell r="H76">
            <v>36</v>
          </cell>
          <cell r="I76">
            <v>35</v>
          </cell>
          <cell r="J76">
            <v>34</v>
          </cell>
          <cell r="K76">
            <v>32</v>
          </cell>
          <cell r="L76">
            <v>31</v>
          </cell>
          <cell r="M76">
            <v>30</v>
          </cell>
        </row>
        <row r="77">
          <cell r="A77" t="str">
            <v>DQ9032A1</v>
          </cell>
          <cell r="B77">
            <v>4540</v>
          </cell>
          <cell r="C77">
            <v>32.3377561054545</v>
          </cell>
          <cell r="D77">
            <v>0</v>
          </cell>
          <cell r="E77">
            <v>32.3377561054545</v>
          </cell>
          <cell r="F77" t="str">
            <v>自制</v>
          </cell>
          <cell r="G77" t="str">
            <v>铃木</v>
          </cell>
          <cell r="H77">
            <v>44</v>
          </cell>
          <cell r="I77">
            <v>43</v>
          </cell>
          <cell r="J77">
            <v>41</v>
          </cell>
          <cell r="K77">
            <v>39</v>
          </cell>
          <cell r="L77">
            <v>38</v>
          </cell>
          <cell r="M77">
            <v>36</v>
          </cell>
        </row>
        <row r="78">
          <cell r="A78" t="str">
            <v>DQ9005D</v>
          </cell>
          <cell r="B78">
            <v>4452</v>
          </cell>
          <cell r="C78">
            <v>15.3733228508182</v>
          </cell>
          <cell r="D78">
            <v>0</v>
          </cell>
          <cell r="E78">
            <v>15.3733228508182</v>
          </cell>
          <cell r="F78" t="str">
            <v>自制</v>
          </cell>
          <cell r="G78" t="str">
            <v>福克斯</v>
          </cell>
          <cell r="H78">
            <v>21</v>
          </cell>
          <cell r="I78">
            <v>20</v>
          </cell>
          <cell r="J78">
            <v>20</v>
          </cell>
          <cell r="K78">
            <v>19</v>
          </cell>
          <cell r="L78">
            <v>18</v>
          </cell>
          <cell r="M78">
            <v>17</v>
          </cell>
        </row>
        <row r="79">
          <cell r="A79" t="str">
            <v>DQ9003A3</v>
          </cell>
          <cell r="B79">
            <v>4377</v>
          </cell>
          <cell r="C79">
            <v>26.3976282634545</v>
          </cell>
          <cell r="D79">
            <v>0</v>
          </cell>
          <cell r="E79">
            <v>26.3976282634545</v>
          </cell>
          <cell r="F79" t="str">
            <v>自制</v>
          </cell>
          <cell r="G79" t="str">
            <v>天籁 2.0L</v>
          </cell>
          <cell r="H79">
            <v>36</v>
          </cell>
          <cell r="I79">
            <v>35</v>
          </cell>
          <cell r="J79">
            <v>33</v>
          </cell>
          <cell r="K79">
            <v>32</v>
          </cell>
          <cell r="L79">
            <v>31</v>
          </cell>
          <cell r="M79">
            <v>30</v>
          </cell>
        </row>
        <row r="80">
          <cell r="A80" t="str">
            <v>DQ9101K1</v>
          </cell>
          <cell r="B80">
            <v>4352</v>
          </cell>
          <cell r="C80">
            <v>19.2841069084848</v>
          </cell>
          <cell r="D80">
            <v>0</v>
          </cell>
          <cell r="E80">
            <v>19.2841069084848</v>
          </cell>
          <cell r="F80" t="str">
            <v>自制</v>
          </cell>
          <cell r="G80" t="str">
            <v>现代瑞纳</v>
          </cell>
          <cell r="H80">
            <v>27</v>
          </cell>
          <cell r="I80">
            <v>26</v>
          </cell>
          <cell r="J80">
            <v>25</v>
          </cell>
          <cell r="K80">
            <v>24</v>
          </cell>
          <cell r="L80">
            <v>23</v>
          </cell>
          <cell r="M80">
            <v>22</v>
          </cell>
        </row>
        <row r="81">
          <cell r="A81" t="str">
            <v>DQ9010A</v>
          </cell>
          <cell r="B81">
            <v>4307</v>
          </cell>
          <cell r="C81">
            <v>26.1510121354545</v>
          </cell>
          <cell r="D81">
            <v>0</v>
          </cell>
          <cell r="E81">
            <v>26.1510121354545</v>
          </cell>
          <cell r="F81" t="str">
            <v>自制</v>
          </cell>
          <cell r="G81" t="str">
            <v>飞度1.3后排</v>
          </cell>
          <cell r="H81">
            <v>36</v>
          </cell>
          <cell r="I81">
            <v>34</v>
          </cell>
          <cell r="J81">
            <v>33</v>
          </cell>
          <cell r="K81">
            <v>32</v>
          </cell>
          <cell r="L81">
            <v>31</v>
          </cell>
          <cell r="M81">
            <v>29</v>
          </cell>
        </row>
        <row r="82">
          <cell r="A82" t="str">
            <v>DQ9021D</v>
          </cell>
          <cell r="B82">
            <v>4280</v>
          </cell>
          <cell r="C82">
            <v>21.0592952854545</v>
          </cell>
          <cell r="D82">
            <v>0</v>
          </cell>
          <cell r="E82">
            <v>21.0592952854545</v>
          </cell>
          <cell r="F82" t="str">
            <v>自制</v>
          </cell>
          <cell r="G82" t="str">
            <v>吉利帝豪</v>
          </cell>
          <cell r="H82">
            <v>29</v>
          </cell>
          <cell r="I82">
            <v>28</v>
          </cell>
          <cell r="J82">
            <v>27</v>
          </cell>
          <cell r="K82">
            <v>26</v>
          </cell>
          <cell r="L82">
            <v>25</v>
          </cell>
          <cell r="M82">
            <v>24</v>
          </cell>
        </row>
        <row r="83">
          <cell r="A83" t="str">
            <v>DQ9025C1</v>
          </cell>
          <cell r="B83">
            <v>4253</v>
          </cell>
          <cell r="C83">
            <v>31.2990665882377</v>
          </cell>
          <cell r="D83">
            <v>2.03592709551038</v>
          </cell>
          <cell r="E83">
            <v>29.2631394927273</v>
          </cell>
          <cell r="F83" t="str">
            <v>自制</v>
          </cell>
          <cell r="G83" t="str">
            <v>奔驰209发动机</v>
          </cell>
          <cell r="H83">
            <v>43</v>
          </cell>
          <cell r="I83">
            <v>41</v>
          </cell>
          <cell r="J83">
            <v>40</v>
          </cell>
          <cell r="K83">
            <v>38</v>
          </cell>
          <cell r="L83">
            <v>36</v>
          </cell>
          <cell r="M83">
            <v>35</v>
          </cell>
        </row>
        <row r="84">
          <cell r="A84" t="str">
            <v>DQ9115</v>
          </cell>
          <cell r="B84">
            <v>3936</v>
          </cell>
          <cell r="C84">
            <v>20.2257266118182</v>
          </cell>
          <cell r="D84">
            <v>0</v>
          </cell>
          <cell r="E84">
            <v>20.2257266118182</v>
          </cell>
          <cell r="F84" t="str">
            <v>自制</v>
          </cell>
          <cell r="G84" t="str">
            <v>海马479Q</v>
          </cell>
          <cell r="H84">
            <v>28</v>
          </cell>
          <cell r="I84">
            <v>27</v>
          </cell>
          <cell r="J84">
            <v>26</v>
          </cell>
          <cell r="K84">
            <v>25</v>
          </cell>
          <cell r="L84">
            <v>24</v>
          </cell>
          <cell r="M84">
            <v>23</v>
          </cell>
        </row>
        <row r="85">
          <cell r="A85" t="str">
            <v>DQ6493</v>
          </cell>
          <cell r="B85">
            <v>3902</v>
          </cell>
          <cell r="C85">
            <v>36.180520835325</v>
          </cell>
          <cell r="D85">
            <v>-0.443926488311432</v>
          </cell>
          <cell r="E85">
            <v>36.6244473236364</v>
          </cell>
          <cell r="F85" t="str">
            <v>自制</v>
          </cell>
          <cell r="G85" t="str">
            <v>德尔福二代</v>
          </cell>
          <cell r="H85">
            <v>49</v>
          </cell>
          <cell r="I85">
            <v>48</v>
          </cell>
          <cell r="J85">
            <v>46</v>
          </cell>
          <cell r="K85">
            <v>44</v>
          </cell>
          <cell r="L85">
            <v>42</v>
          </cell>
          <cell r="M85">
            <v>40</v>
          </cell>
        </row>
        <row r="86">
          <cell r="A86" t="str">
            <v>DQ1212X</v>
          </cell>
          <cell r="B86">
            <v>3836</v>
          </cell>
          <cell r="C86">
            <v>40.9059003374581</v>
          </cell>
          <cell r="D86">
            <v>-1.54057957072371</v>
          </cell>
          <cell r="E86">
            <v>42.4464799081818</v>
          </cell>
          <cell r="F86" t="str">
            <v>自制</v>
          </cell>
          <cell r="G86" t="str">
            <v>奇瑞风云</v>
          </cell>
          <cell r="H86">
            <v>56</v>
          </cell>
          <cell r="I86">
            <v>54</v>
          </cell>
          <cell r="J86">
            <v>52</v>
          </cell>
          <cell r="K86">
            <v>50</v>
          </cell>
          <cell r="L86">
            <v>48</v>
          </cell>
          <cell r="M86">
            <v>45</v>
          </cell>
        </row>
        <row r="87">
          <cell r="A87" t="str">
            <v>DQ9007C2</v>
          </cell>
          <cell r="B87">
            <v>3733</v>
          </cell>
          <cell r="C87">
            <v>30.8948623899001</v>
          </cell>
          <cell r="D87">
            <v>1.42714840444558</v>
          </cell>
          <cell r="E87">
            <v>29.4677139854545</v>
          </cell>
          <cell r="F87" t="str">
            <v>自制</v>
          </cell>
          <cell r="G87" t="str">
            <v>索兰托2.0T</v>
          </cell>
          <cell r="H87">
            <v>42</v>
          </cell>
          <cell r="I87">
            <v>41</v>
          </cell>
          <cell r="J87">
            <v>39</v>
          </cell>
          <cell r="K87">
            <v>38</v>
          </cell>
          <cell r="L87">
            <v>36</v>
          </cell>
          <cell r="M87">
            <v>34</v>
          </cell>
        </row>
        <row r="88">
          <cell r="A88" t="str">
            <v>DQ9201C1</v>
          </cell>
          <cell r="B88">
            <v>3633</v>
          </cell>
          <cell r="C88">
            <v>21.8702427727273</v>
          </cell>
          <cell r="D88">
            <v>0</v>
          </cell>
          <cell r="E88">
            <v>21.8702427727273</v>
          </cell>
          <cell r="F88" t="str">
            <v>自制</v>
          </cell>
          <cell r="G88" t="str">
            <v>欧诺474</v>
          </cell>
          <cell r="H88">
            <v>30</v>
          </cell>
          <cell r="I88">
            <v>29</v>
          </cell>
          <cell r="J88">
            <v>28</v>
          </cell>
          <cell r="K88">
            <v>27</v>
          </cell>
          <cell r="L88">
            <v>26</v>
          </cell>
          <cell r="M88">
            <v>25</v>
          </cell>
        </row>
        <row r="89">
          <cell r="A89" t="str">
            <v>DQ9039B1</v>
          </cell>
          <cell r="B89">
            <v>3603</v>
          </cell>
          <cell r="C89">
            <v>21.6387126387879</v>
          </cell>
          <cell r="D89">
            <v>0</v>
          </cell>
          <cell r="E89">
            <v>21.6387126387879</v>
          </cell>
          <cell r="F89" t="str">
            <v>自制</v>
          </cell>
          <cell r="G89" t="str">
            <v>宝骏 730</v>
          </cell>
          <cell r="H89">
            <v>30</v>
          </cell>
          <cell r="I89">
            <v>29</v>
          </cell>
          <cell r="J89">
            <v>28</v>
          </cell>
          <cell r="K89">
            <v>26</v>
          </cell>
          <cell r="L89">
            <v>25</v>
          </cell>
          <cell r="M89">
            <v>24</v>
          </cell>
        </row>
        <row r="90">
          <cell r="A90" t="str">
            <v>DQ9002D1</v>
          </cell>
          <cell r="B90">
            <v>3581</v>
          </cell>
          <cell r="C90">
            <v>36.7460308247239</v>
          </cell>
          <cell r="D90">
            <v>0.57009995199663</v>
          </cell>
          <cell r="E90">
            <v>36.1759308727273</v>
          </cell>
          <cell r="F90" t="str">
            <v>自制</v>
          </cell>
          <cell r="G90" t="str">
            <v>马自达3 昂克赛拉</v>
          </cell>
          <cell r="H90">
            <v>50</v>
          </cell>
          <cell r="I90">
            <v>48</v>
          </cell>
          <cell r="J90">
            <v>46</v>
          </cell>
          <cell r="K90">
            <v>45</v>
          </cell>
          <cell r="L90">
            <v>43</v>
          </cell>
          <cell r="M90">
            <v>41</v>
          </cell>
        </row>
        <row r="91">
          <cell r="A91" t="str">
            <v>DQ9134B1</v>
          </cell>
          <cell r="B91">
            <v>3527</v>
          </cell>
          <cell r="C91">
            <v>33.9989641356212</v>
          </cell>
          <cell r="D91">
            <v>0.874652712893909</v>
          </cell>
          <cell r="E91">
            <v>33.1243114227273</v>
          </cell>
          <cell r="F91" t="str">
            <v>自制</v>
          </cell>
          <cell r="G91" t="str">
            <v>昂科拉</v>
          </cell>
          <cell r="H91">
            <v>46</v>
          </cell>
          <cell r="I91">
            <v>45</v>
          </cell>
          <cell r="J91">
            <v>43</v>
          </cell>
          <cell r="K91">
            <v>41</v>
          </cell>
          <cell r="L91">
            <v>40</v>
          </cell>
          <cell r="M91">
            <v>38</v>
          </cell>
        </row>
        <row r="92">
          <cell r="A92" t="str">
            <v>DQ9109D1</v>
          </cell>
          <cell r="B92">
            <v>3464</v>
          </cell>
          <cell r="C92">
            <v>28.1759750454545</v>
          </cell>
          <cell r="D92">
            <v>0</v>
          </cell>
          <cell r="E92">
            <v>28.1759750454545</v>
          </cell>
          <cell r="F92" t="str">
            <v>自制</v>
          </cell>
          <cell r="G92" t="str">
            <v>2016款 本田CRV 2.4L</v>
          </cell>
          <cell r="H92">
            <v>39</v>
          </cell>
          <cell r="I92">
            <v>37</v>
          </cell>
          <cell r="J92">
            <v>36</v>
          </cell>
          <cell r="K92">
            <v>34</v>
          </cell>
          <cell r="L92">
            <v>33</v>
          </cell>
          <cell r="M92">
            <v>31</v>
          </cell>
        </row>
        <row r="93">
          <cell r="A93" t="str">
            <v>DQ9042A1</v>
          </cell>
          <cell r="B93">
            <v>3409</v>
          </cell>
          <cell r="C93">
            <v>46.83</v>
          </cell>
          <cell r="D93">
            <v>0</v>
          </cell>
          <cell r="E93">
            <v>46.83</v>
          </cell>
          <cell r="F93" t="str">
            <v>调货</v>
          </cell>
          <cell r="G93" t="str">
            <v>江铃 驭胜 S330 1.5T</v>
          </cell>
          <cell r="H93">
            <v>56</v>
          </cell>
          <cell r="I93">
            <v>55</v>
          </cell>
          <cell r="J93">
            <v>54</v>
          </cell>
          <cell r="K93">
            <v>53</v>
          </cell>
          <cell r="L93">
            <v>53</v>
          </cell>
          <cell r="M93">
            <v>52</v>
          </cell>
        </row>
        <row r="94">
          <cell r="A94" t="str">
            <v>DQ9109T</v>
          </cell>
          <cell r="B94">
            <v>3390</v>
          </cell>
          <cell r="C94">
            <v>27.3954567587879</v>
          </cell>
          <cell r="D94">
            <v>0</v>
          </cell>
          <cell r="E94">
            <v>27.3954567587879</v>
          </cell>
          <cell r="F94" t="str">
            <v>自制</v>
          </cell>
          <cell r="G94" t="str">
            <v>本田6代雅阁</v>
          </cell>
          <cell r="H94">
            <v>37</v>
          </cell>
          <cell r="I94">
            <v>36</v>
          </cell>
          <cell r="J94">
            <v>35</v>
          </cell>
          <cell r="K94">
            <v>33</v>
          </cell>
          <cell r="L94">
            <v>32</v>
          </cell>
          <cell r="M94">
            <v>31</v>
          </cell>
        </row>
        <row r="95">
          <cell r="A95" t="str">
            <v>DQ9202</v>
          </cell>
          <cell r="B95">
            <v>3312</v>
          </cell>
          <cell r="C95">
            <v>29.5602657727273</v>
          </cell>
          <cell r="D95">
            <v>0</v>
          </cell>
          <cell r="E95">
            <v>29.5602657727273</v>
          </cell>
          <cell r="F95" t="str">
            <v>自制</v>
          </cell>
          <cell r="G95" t="str">
            <v>474三插</v>
          </cell>
          <cell r="H95">
            <v>40</v>
          </cell>
          <cell r="I95">
            <v>39</v>
          </cell>
          <cell r="J95">
            <v>37</v>
          </cell>
          <cell r="K95">
            <v>36</v>
          </cell>
          <cell r="L95">
            <v>34</v>
          </cell>
          <cell r="M95">
            <v>33</v>
          </cell>
        </row>
        <row r="96">
          <cell r="A96" t="str">
            <v>DQ9209A</v>
          </cell>
          <cell r="B96">
            <v>3275</v>
          </cell>
          <cell r="C96">
            <v>22.1116141227273</v>
          </cell>
          <cell r="D96">
            <v>0</v>
          </cell>
          <cell r="E96">
            <v>22.1116141227273</v>
          </cell>
          <cell r="F96" t="str">
            <v>自制</v>
          </cell>
          <cell r="G96" t="str">
            <v>哈飞赛马 赛豹 菱帅</v>
          </cell>
          <cell r="H96">
            <v>30</v>
          </cell>
          <cell r="I96">
            <v>29</v>
          </cell>
          <cell r="J96">
            <v>28</v>
          </cell>
          <cell r="K96">
            <v>27</v>
          </cell>
          <cell r="L96">
            <v>26</v>
          </cell>
          <cell r="M96">
            <v>25</v>
          </cell>
        </row>
        <row r="97">
          <cell r="A97" t="str">
            <v>DQ9101B3</v>
          </cell>
          <cell r="B97">
            <v>3199</v>
          </cell>
          <cell r="C97">
            <v>18.3267072984848</v>
          </cell>
          <cell r="D97">
            <v>0</v>
          </cell>
          <cell r="E97">
            <v>18.3267072984848</v>
          </cell>
          <cell r="F97" t="str">
            <v>自制</v>
          </cell>
          <cell r="G97" t="str">
            <v>27301-2B000</v>
          </cell>
          <cell r="H97">
            <v>25</v>
          </cell>
          <cell r="I97">
            <v>24</v>
          </cell>
          <cell r="J97">
            <v>23</v>
          </cell>
          <cell r="K97">
            <v>22</v>
          </cell>
          <cell r="L97">
            <v>22</v>
          </cell>
          <cell r="M97">
            <v>21</v>
          </cell>
        </row>
        <row r="98">
          <cell r="A98" t="str">
            <v>DQ9101C</v>
          </cell>
          <cell r="B98">
            <v>3132</v>
          </cell>
          <cell r="C98">
            <v>17.0882765318182</v>
          </cell>
          <cell r="D98">
            <v>0</v>
          </cell>
          <cell r="E98">
            <v>17.0882765318182</v>
          </cell>
          <cell r="F98" t="str">
            <v>自制</v>
          </cell>
          <cell r="G98" t="str">
            <v>现代 全新胜达(进口) 3.0L</v>
          </cell>
          <cell r="H98">
            <v>24</v>
          </cell>
          <cell r="I98">
            <v>23</v>
          </cell>
          <cell r="J98">
            <v>22</v>
          </cell>
          <cell r="K98">
            <v>21</v>
          </cell>
          <cell r="L98">
            <v>20</v>
          </cell>
          <cell r="M98">
            <v>19</v>
          </cell>
        </row>
        <row r="99">
          <cell r="A99" t="str">
            <v>DQ9101E</v>
          </cell>
          <cell r="B99">
            <v>3109</v>
          </cell>
          <cell r="C99">
            <v>16.8457341180251</v>
          </cell>
          <cell r="D99">
            <v>0</v>
          </cell>
          <cell r="E99">
            <v>16.8457341180251</v>
          </cell>
          <cell r="F99" t="str">
            <v>自制</v>
          </cell>
          <cell r="G99" t="str">
            <v>圣达菲2.7L</v>
          </cell>
          <cell r="H99">
            <v>23</v>
          </cell>
          <cell r="I99">
            <v>22</v>
          </cell>
          <cell r="J99">
            <v>22</v>
          </cell>
          <cell r="K99">
            <v>21</v>
          </cell>
          <cell r="L99">
            <v>20</v>
          </cell>
          <cell r="M99">
            <v>19</v>
          </cell>
        </row>
        <row r="100">
          <cell r="A100" t="str">
            <v>DQ9010K1</v>
          </cell>
          <cell r="B100">
            <v>2997</v>
          </cell>
          <cell r="C100">
            <v>29.8566932993939</v>
          </cell>
          <cell r="D100">
            <v>0</v>
          </cell>
          <cell r="E100">
            <v>29.8566932993939</v>
          </cell>
          <cell r="F100" t="str">
            <v>自制</v>
          </cell>
          <cell r="G100" t="str">
            <v>本田 哥瑞（1.5直喷）</v>
          </cell>
          <cell r="H100">
            <v>41</v>
          </cell>
          <cell r="I100">
            <v>39</v>
          </cell>
          <cell r="J100">
            <v>38</v>
          </cell>
          <cell r="K100">
            <v>36</v>
          </cell>
          <cell r="L100">
            <v>35</v>
          </cell>
          <cell r="M100">
            <v>33</v>
          </cell>
        </row>
        <row r="101">
          <cell r="A101" t="str">
            <v>DQ9402</v>
          </cell>
          <cell r="B101">
            <v>2996</v>
          </cell>
          <cell r="C101">
            <v>76.0279575627273</v>
          </cell>
          <cell r="D101">
            <v>0</v>
          </cell>
          <cell r="E101">
            <v>76.0279575627273</v>
          </cell>
          <cell r="F101" t="str">
            <v>自制</v>
          </cell>
          <cell r="G101" t="str">
            <v>标致307</v>
          </cell>
          <cell r="H101">
            <v>103</v>
          </cell>
          <cell r="I101">
            <v>99</v>
          </cell>
          <cell r="J101">
            <v>96</v>
          </cell>
          <cell r="K101">
            <v>92</v>
          </cell>
          <cell r="L101">
            <v>88</v>
          </cell>
          <cell r="M101">
            <v>84</v>
          </cell>
        </row>
        <row r="102">
          <cell r="A102" t="str">
            <v>DQ910838</v>
          </cell>
          <cell r="B102">
            <v>2976</v>
          </cell>
          <cell r="C102">
            <v>24.8401728994545</v>
          </cell>
          <cell r="D102">
            <v>0</v>
          </cell>
          <cell r="E102">
            <v>24.8401728994545</v>
          </cell>
          <cell r="F102" t="str">
            <v>自制</v>
          </cell>
          <cell r="G102" t="str">
            <v>丰田02238</v>
          </cell>
          <cell r="H102">
            <v>34</v>
          </cell>
          <cell r="I102">
            <v>33</v>
          </cell>
          <cell r="J102">
            <v>32</v>
          </cell>
          <cell r="K102">
            <v>30</v>
          </cell>
          <cell r="L102">
            <v>29</v>
          </cell>
          <cell r="M102">
            <v>28</v>
          </cell>
        </row>
        <row r="103">
          <cell r="A103" t="str">
            <v>DQ9005H</v>
          </cell>
          <cell r="B103">
            <v>2962</v>
          </cell>
          <cell r="C103">
            <v>16.7459482144545</v>
          </cell>
          <cell r="D103">
            <v>0</v>
          </cell>
          <cell r="E103">
            <v>16.7459482144545</v>
          </cell>
          <cell r="F103" t="str">
            <v>自制</v>
          </cell>
          <cell r="G103" t="str">
            <v>福特林肯05-08</v>
          </cell>
          <cell r="H103">
            <v>23</v>
          </cell>
          <cell r="I103">
            <v>22</v>
          </cell>
          <cell r="J103">
            <v>21</v>
          </cell>
          <cell r="K103">
            <v>21</v>
          </cell>
          <cell r="L103">
            <v>20</v>
          </cell>
          <cell r="M103">
            <v>19</v>
          </cell>
        </row>
        <row r="104">
          <cell r="A104" t="str">
            <v>DQ9002C1</v>
          </cell>
          <cell r="B104">
            <v>2933</v>
          </cell>
          <cell r="C104">
            <v>24.6262374554545</v>
          </cell>
          <cell r="D104">
            <v>0</v>
          </cell>
          <cell r="E104">
            <v>24.6262374554545</v>
          </cell>
          <cell r="F104" t="str">
            <v>自制</v>
          </cell>
          <cell r="G104" t="str">
            <v>马自达3</v>
          </cell>
          <cell r="H104">
            <v>34</v>
          </cell>
          <cell r="I104">
            <v>33</v>
          </cell>
          <cell r="J104">
            <v>31</v>
          </cell>
          <cell r="K104">
            <v>30</v>
          </cell>
          <cell r="L104">
            <v>29</v>
          </cell>
          <cell r="M104">
            <v>28</v>
          </cell>
        </row>
        <row r="105">
          <cell r="A105" t="str">
            <v>DQ9029B1</v>
          </cell>
          <cell r="B105">
            <v>2898</v>
          </cell>
          <cell r="C105">
            <v>26.252740917605</v>
          </cell>
          <cell r="D105">
            <v>0.485809443817129</v>
          </cell>
          <cell r="E105">
            <v>25.7669314737879</v>
          </cell>
          <cell r="F105" t="str">
            <v>自制</v>
          </cell>
          <cell r="G105" t="str">
            <v>宝马1.5T</v>
          </cell>
          <cell r="H105">
            <v>36</v>
          </cell>
          <cell r="I105">
            <v>35</v>
          </cell>
          <cell r="J105">
            <v>33</v>
          </cell>
          <cell r="K105">
            <v>32</v>
          </cell>
          <cell r="L105">
            <v>31</v>
          </cell>
          <cell r="M105">
            <v>29</v>
          </cell>
        </row>
        <row r="106">
          <cell r="A106" t="str">
            <v>DQ9002</v>
          </cell>
          <cell r="B106">
            <v>2868</v>
          </cell>
          <cell r="C106">
            <v>27.3119922634545</v>
          </cell>
          <cell r="D106">
            <v>0</v>
          </cell>
          <cell r="E106">
            <v>27.3119922634545</v>
          </cell>
          <cell r="F106" t="str">
            <v>自制</v>
          </cell>
          <cell r="G106" t="str">
            <v>马六三插</v>
          </cell>
          <cell r="H106">
            <v>37</v>
          </cell>
          <cell r="I106">
            <v>36</v>
          </cell>
          <cell r="J106">
            <v>35</v>
          </cell>
          <cell r="K106">
            <v>33</v>
          </cell>
          <cell r="L106">
            <v>32</v>
          </cell>
          <cell r="M106">
            <v>31</v>
          </cell>
        </row>
        <row r="107">
          <cell r="A107" t="str">
            <v>DQ9219A4</v>
          </cell>
          <cell r="B107">
            <v>2839</v>
          </cell>
          <cell r="C107">
            <v>19.8747968477273</v>
          </cell>
          <cell r="D107">
            <v>0</v>
          </cell>
          <cell r="E107">
            <v>19.8747968477273</v>
          </cell>
          <cell r="F107" t="str">
            <v>自制</v>
          </cell>
          <cell r="G107" t="str">
            <v>广汽传祺GS4</v>
          </cell>
          <cell r="H107">
            <v>27</v>
          </cell>
          <cell r="I107">
            <v>26</v>
          </cell>
          <cell r="J107">
            <v>25</v>
          </cell>
          <cell r="K107">
            <v>24</v>
          </cell>
          <cell r="L107">
            <v>23</v>
          </cell>
          <cell r="M107">
            <v>22</v>
          </cell>
        </row>
        <row r="108">
          <cell r="A108" t="str">
            <v>DQ9205</v>
          </cell>
          <cell r="B108">
            <v>2813</v>
          </cell>
          <cell r="C108">
            <v>30.8782186727273</v>
          </cell>
          <cell r="D108">
            <v>0</v>
          </cell>
          <cell r="E108">
            <v>30.8782186727273</v>
          </cell>
          <cell r="F108" t="str">
            <v>自制</v>
          </cell>
          <cell r="G108" t="str">
            <v>哈飞赛马1.3</v>
          </cell>
          <cell r="H108">
            <v>42</v>
          </cell>
          <cell r="I108">
            <v>41</v>
          </cell>
          <cell r="J108">
            <v>39</v>
          </cell>
          <cell r="K108">
            <v>38</v>
          </cell>
          <cell r="L108">
            <v>36</v>
          </cell>
          <cell r="M108">
            <v>34</v>
          </cell>
        </row>
        <row r="109">
          <cell r="A109" t="str">
            <v>DQ9010</v>
          </cell>
          <cell r="B109">
            <v>2773</v>
          </cell>
          <cell r="C109">
            <v>26.1510121354545</v>
          </cell>
          <cell r="D109">
            <v>0</v>
          </cell>
          <cell r="E109">
            <v>26.1510121354545</v>
          </cell>
          <cell r="F109" t="str">
            <v>自制</v>
          </cell>
          <cell r="G109" t="str">
            <v>飞度1.3前排</v>
          </cell>
          <cell r="H109">
            <v>36</v>
          </cell>
          <cell r="I109">
            <v>34</v>
          </cell>
          <cell r="J109">
            <v>33</v>
          </cell>
          <cell r="K109">
            <v>32</v>
          </cell>
          <cell r="L109">
            <v>31</v>
          </cell>
          <cell r="M109">
            <v>29</v>
          </cell>
        </row>
        <row r="110">
          <cell r="A110" t="str">
            <v>DQ9017F1</v>
          </cell>
          <cell r="B110">
            <v>2750</v>
          </cell>
          <cell r="C110">
            <v>32.8258812596112</v>
          </cell>
          <cell r="D110">
            <v>0.628398144156647</v>
          </cell>
          <cell r="E110">
            <v>32.1974831154545</v>
          </cell>
          <cell r="F110" t="str">
            <v>自制</v>
          </cell>
          <cell r="G110" t="str">
            <v>沃尔沃S60</v>
          </cell>
          <cell r="H110">
            <v>45</v>
          </cell>
          <cell r="I110">
            <v>43</v>
          </cell>
          <cell r="J110">
            <v>42</v>
          </cell>
          <cell r="K110">
            <v>40</v>
          </cell>
          <cell r="L110">
            <v>38</v>
          </cell>
          <cell r="M110">
            <v>37</v>
          </cell>
        </row>
        <row r="111">
          <cell r="A111" t="str">
            <v>DQ910140</v>
          </cell>
          <cell r="B111">
            <v>2713</v>
          </cell>
          <cell r="C111">
            <v>18.8845727454545</v>
          </cell>
          <cell r="D111">
            <v>0</v>
          </cell>
          <cell r="E111">
            <v>18.8845727454545</v>
          </cell>
          <cell r="F111" t="str">
            <v>自制</v>
          </cell>
          <cell r="G111" t="str">
            <v>27301-04000</v>
          </cell>
          <cell r="H111">
            <v>26</v>
          </cell>
          <cell r="I111">
            <v>25</v>
          </cell>
          <cell r="J111">
            <v>24</v>
          </cell>
          <cell r="K111">
            <v>23</v>
          </cell>
          <cell r="L111">
            <v>22</v>
          </cell>
          <cell r="M111">
            <v>21</v>
          </cell>
        </row>
        <row r="112">
          <cell r="A112" t="str">
            <v>DQ9037C2</v>
          </cell>
          <cell r="B112">
            <v>2709</v>
          </cell>
          <cell r="C112">
            <v>29.6673176621212</v>
          </cell>
          <cell r="D112">
            <v>0</v>
          </cell>
          <cell r="E112">
            <v>29.6673176621212</v>
          </cell>
          <cell r="F112" t="str">
            <v>自制</v>
          </cell>
          <cell r="G112" t="str">
            <v>比亚迪476</v>
          </cell>
          <cell r="H112">
            <v>41</v>
          </cell>
          <cell r="I112">
            <v>39</v>
          </cell>
          <cell r="J112">
            <v>38</v>
          </cell>
          <cell r="K112">
            <v>36</v>
          </cell>
          <cell r="L112">
            <v>35</v>
          </cell>
          <cell r="M112">
            <v>33</v>
          </cell>
        </row>
        <row r="113">
          <cell r="A113" t="str">
            <v>DQ1212S</v>
          </cell>
          <cell r="B113">
            <v>2699</v>
          </cell>
          <cell r="C113">
            <v>30.8476448709091</v>
          </cell>
          <cell r="D113">
            <v>0</v>
          </cell>
          <cell r="E113">
            <v>30.8476448709091</v>
          </cell>
          <cell r="F113" t="str">
            <v>自制</v>
          </cell>
          <cell r="G113" t="str">
            <v>奇瑞477F发动机</v>
          </cell>
          <cell r="H113">
            <v>42</v>
          </cell>
          <cell r="I113">
            <v>41</v>
          </cell>
          <cell r="J113">
            <v>39</v>
          </cell>
          <cell r="K113">
            <v>38</v>
          </cell>
          <cell r="L113">
            <v>36</v>
          </cell>
          <cell r="M113">
            <v>34</v>
          </cell>
        </row>
        <row r="114">
          <cell r="A114" t="str">
            <v>DQ9036E1</v>
          </cell>
          <cell r="B114">
            <v>2681</v>
          </cell>
          <cell r="C114">
            <v>25.1182017854545</v>
          </cell>
          <cell r="D114">
            <v>0</v>
          </cell>
          <cell r="E114">
            <v>25.1182017854545</v>
          </cell>
          <cell r="F114" t="str">
            <v>自制</v>
          </cell>
          <cell r="G114" t="str">
            <v>克莱斯勒大捷龙</v>
          </cell>
          <cell r="H114">
            <v>34</v>
          </cell>
          <cell r="I114">
            <v>33</v>
          </cell>
          <cell r="J114">
            <v>32</v>
          </cell>
          <cell r="K114">
            <v>31</v>
          </cell>
          <cell r="L114">
            <v>29</v>
          </cell>
          <cell r="M114">
            <v>28</v>
          </cell>
        </row>
        <row r="115">
          <cell r="A115" t="str">
            <v>DQ9124A2</v>
          </cell>
          <cell r="B115">
            <v>2678</v>
          </cell>
          <cell r="C115">
            <v>21.0942660284848</v>
          </cell>
          <cell r="D115">
            <v>0</v>
          </cell>
          <cell r="E115">
            <v>21.0942660284848</v>
          </cell>
          <cell r="F115" t="str">
            <v>自制</v>
          </cell>
          <cell r="G115" t="str">
            <v>Jeep指南者 自由客 道奇 酷威 锋哲 铂锐2.0 2.4</v>
          </cell>
          <cell r="H115">
            <v>29</v>
          </cell>
          <cell r="I115">
            <v>28</v>
          </cell>
          <cell r="J115">
            <v>27</v>
          </cell>
          <cell r="K115">
            <v>26</v>
          </cell>
          <cell r="L115">
            <v>25</v>
          </cell>
          <cell r="M115">
            <v>24</v>
          </cell>
        </row>
        <row r="116">
          <cell r="A116" t="str">
            <v>DQ9119A</v>
          </cell>
          <cell r="B116">
            <v>2672</v>
          </cell>
          <cell r="C116">
            <v>30.2520787254545</v>
          </cell>
          <cell r="D116">
            <v>0</v>
          </cell>
          <cell r="E116">
            <v>30.2520787254545</v>
          </cell>
          <cell r="F116" t="str">
            <v>自制</v>
          </cell>
          <cell r="G116" t="str">
            <v>SPARK 1.2L/1.4L</v>
          </cell>
          <cell r="H116">
            <v>41</v>
          </cell>
          <cell r="I116">
            <v>40</v>
          </cell>
          <cell r="J116">
            <v>38</v>
          </cell>
          <cell r="K116">
            <v>37</v>
          </cell>
          <cell r="L116">
            <v>35</v>
          </cell>
          <cell r="M116">
            <v>34</v>
          </cell>
        </row>
        <row r="117">
          <cell r="A117" t="str">
            <v>DQ9103</v>
          </cell>
          <cell r="B117">
            <v>2660</v>
          </cell>
          <cell r="C117">
            <v>28.6724790118182</v>
          </cell>
          <cell r="D117">
            <v>0</v>
          </cell>
          <cell r="E117">
            <v>28.6724790118182</v>
          </cell>
          <cell r="F117" t="str">
            <v>自制</v>
          </cell>
          <cell r="G117" t="str">
            <v>帕萨特B5 铣胶面</v>
          </cell>
          <cell r="H117">
            <v>39</v>
          </cell>
          <cell r="I117">
            <v>38</v>
          </cell>
          <cell r="J117">
            <v>36</v>
          </cell>
          <cell r="K117">
            <v>35</v>
          </cell>
          <cell r="L117">
            <v>33</v>
          </cell>
          <cell r="M117">
            <v>32</v>
          </cell>
        </row>
        <row r="118">
          <cell r="A118" t="str">
            <v>DQ901811</v>
          </cell>
          <cell r="B118">
            <v>2643</v>
          </cell>
          <cell r="C118">
            <v>46.7536363636364</v>
          </cell>
          <cell r="D118">
            <v>0</v>
          </cell>
          <cell r="E118">
            <v>46.7536363636364</v>
          </cell>
          <cell r="F118" t="str">
            <v>调货</v>
          </cell>
          <cell r="G118" t="str">
            <v>丰田凯美瑞汉兰达2017-2018 3.5L</v>
          </cell>
          <cell r="H118">
            <v>56</v>
          </cell>
          <cell r="I118">
            <v>55</v>
          </cell>
          <cell r="J118">
            <v>54</v>
          </cell>
          <cell r="K118">
            <v>53</v>
          </cell>
          <cell r="L118">
            <v>53</v>
          </cell>
          <cell r="M118">
            <v>52</v>
          </cell>
        </row>
        <row r="119">
          <cell r="A119" t="str">
            <v>DQ9117C2</v>
          </cell>
          <cell r="B119">
            <v>2631</v>
          </cell>
          <cell r="C119">
            <v>38.241</v>
          </cell>
          <cell r="D119">
            <v>0</v>
          </cell>
          <cell r="E119">
            <v>38.241</v>
          </cell>
          <cell r="F119" t="str">
            <v>调货</v>
          </cell>
          <cell r="G119" t="str">
            <v>铃木奥拓2000-2002</v>
          </cell>
          <cell r="H119">
            <v>46</v>
          </cell>
          <cell r="I119">
            <v>45</v>
          </cell>
          <cell r="J119">
            <v>44</v>
          </cell>
          <cell r="K119">
            <v>44</v>
          </cell>
          <cell r="L119">
            <v>43</v>
          </cell>
          <cell r="M119">
            <v>43</v>
          </cell>
        </row>
        <row r="120">
          <cell r="A120" t="str">
            <v>DQ9210A2</v>
          </cell>
          <cell r="B120">
            <v>2624</v>
          </cell>
          <cell r="C120">
            <v>20.7964812927273</v>
          </cell>
          <cell r="D120">
            <v>0</v>
          </cell>
          <cell r="E120">
            <v>20.7964812927273</v>
          </cell>
          <cell r="F120" t="str">
            <v>自制</v>
          </cell>
          <cell r="G120" t="str">
            <v>长安欧尚</v>
          </cell>
          <cell r="H120">
            <v>29</v>
          </cell>
          <cell r="I120">
            <v>28</v>
          </cell>
          <cell r="J120">
            <v>26</v>
          </cell>
          <cell r="K120">
            <v>25</v>
          </cell>
          <cell r="L120">
            <v>24</v>
          </cell>
          <cell r="M120">
            <v>23</v>
          </cell>
        </row>
        <row r="121">
          <cell r="A121" t="str">
            <v>DQ9030A1</v>
          </cell>
          <cell r="B121">
            <v>2624</v>
          </cell>
          <cell r="C121">
            <v>33.7284535454545</v>
          </cell>
          <cell r="D121">
            <v>0</v>
          </cell>
          <cell r="E121">
            <v>33.7284535454545</v>
          </cell>
          <cell r="F121" t="str">
            <v>自制</v>
          </cell>
          <cell r="G121" t="str">
            <v>福特致胜2.0T</v>
          </cell>
          <cell r="H121">
            <v>46</v>
          </cell>
          <cell r="I121">
            <v>44</v>
          </cell>
          <cell r="J121">
            <v>43</v>
          </cell>
          <cell r="K121">
            <v>41</v>
          </cell>
          <cell r="L121">
            <v>39</v>
          </cell>
          <cell r="M121">
            <v>38</v>
          </cell>
        </row>
        <row r="122">
          <cell r="A122" t="str">
            <v>DQ9040B1</v>
          </cell>
          <cell r="B122">
            <v>2608</v>
          </cell>
          <cell r="C122">
            <v>25.3738784021212</v>
          </cell>
          <cell r="D122">
            <v>0</v>
          </cell>
          <cell r="E122">
            <v>25.3738784021212</v>
          </cell>
          <cell r="F122" t="str">
            <v>自制</v>
          </cell>
          <cell r="G122" t="str">
            <v>长安逸动 1.5T</v>
          </cell>
          <cell r="H122">
            <v>35</v>
          </cell>
          <cell r="I122">
            <v>33</v>
          </cell>
          <cell r="J122">
            <v>32</v>
          </cell>
          <cell r="K122">
            <v>31</v>
          </cell>
          <cell r="L122">
            <v>30</v>
          </cell>
          <cell r="M122">
            <v>28</v>
          </cell>
        </row>
        <row r="123">
          <cell r="A123" t="str">
            <v>DQ9034A1</v>
          </cell>
          <cell r="B123">
            <v>2599</v>
          </cell>
          <cell r="C123">
            <v>32.235</v>
          </cell>
          <cell r="D123">
            <v>0</v>
          </cell>
          <cell r="E123">
            <v>32.235</v>
          </cell>
          <cell r="F123" t="str">
            <v>调货</v>
          </cell>
          <cell r="G123" t="str">
            <v>纳智捷2.0T（直杆）</v>
          </cell>
          <cell r="H123">
            <v>39</v>
          </cell>
          <cell r="I123">
            <v>38</v>
          </cell>
          <cell r="J123">
            <v>38</v>
          </cell>
          <cell r="K123">
            <v>37</v>
          </cell>
          <cell r="L123">
            <v>37</v>
          </cell>
          <cell r="M123">
            <v>36</v>
          </cell>
        </row>
        <row r="124">
          <cell r="A124" t="str">
            <v>DQ9402E1</v>
          </cell>
          <cell r="B124">
            <v>2592</v>
          </cell>
          <cell r="C124">
            <v>100.105644486061</v>
          </cell>
          <cell r="D124">
            <v>0</v>
          </cell>
          <cell r="E124">
            <v>100.105644486061</v>
          </cell>
          <cell r="F124" t="str">
            <v>自制</v>
          </cell>
          <cell r="G124" t="str">
            <v>新款爱丽舍</v>
          </cell>
          <cell r="H124">
            <v>136</v>
          </cell>
          <cell r="I124">
            <v>131</v>
          </cell>
          <cell r="J124">
            <v>126</v>
          </cell>
          <cell r="K124">
            <v>121</v>
          </cell>
          <cell r="L124">
            <v>116</v>
          </cell>
          <cell r="M124">
            <v>111</v>
          </cell>
        </row>
        <row r="125">
          <cell r="A125" t="str">
            <v>DQ9113C</v>
          </cell>
          <cell r="B125">
            <v>2568</v>
          </cell>
          <cell r="C125">
            <v>29.1077527218182</v>
          </cell>
          <cell r="D125">
            <v>0</v>
          </cell>
          <cell r="E125">
            <v>29.1077527218182</v>
          </cell>
          <cell r="F125" t="str">
            <v>自制</v>
          </cell>
          <cell r="G125" t="str">
            <v>帕杰罗欧蓝德富利卡</v>
          </cell>
          <cell r="H125">
            <v>40</v>
          </cell>
          <cell r="I125">
            <v>38</v>
          </cell>
          <cell r="J125">
            <v>37</v>
          </cell>
          <cell r="K125">
            <v>35</v>
          </cell>
          <cell r="L125">
            <v>34</v>
          </cell>
          <cell r="M125">
            <v>33</v>
          </cell>
        </row>
        <row r="126">
          <cell r="A126" t="str">
            <v>DQ9005</v>
          </cell>
          <cell r="B126">
            <v>2535</v>
          </cell>
          <cell r="C126">
            <v>15.9803812144545</v>
          </cell>
          <cell r="D126">
            <v>0</v>
          </cell>
          <cell r="E126">
            <v>15.9803812144545</v>
          </cell>
          <cell r="F126" t="str">
            <v>自制</v>
          </cell>
          <cell r="G126" t="str">
            <v>小福特</v>
          </cell>
          <cell r="H126">
            <v>22</v>
          </cell>
          <cell r="I126">
            <v>21</v>
          </cell>
          <cell r="J126">
            <v>20</v>
          </cell>
          <cell r="K126">
            <v>20</v>
          </cell>
          <cell r="L126">
            <v>19</v>
          </cell>
          <cell r="M126">
            <v>18</v>
          </cell>
        </row>
        <row r="127">
          <cell r="A127" t="str">
            <v>DQ9101J1</v>
          </cell>
          <cell r="B127">
            <v>2535</v>
          </cell>
          <cell r="C127">
            <v>18.1785963484848</v>
          </cell>
          <cell r="D127">
            <v>0</v>
          </cell>
          <cell r="E127">
            <v>18.1785963484848</v>
          </cell>
          <cell r="F127" t="str">
            <v>自制</v>
          </cell>
          <cell r="G127" t="str">
            <v>雅绅特</v>
          </cell>
          <cell r="H127">
            <v>25</v>
          </cell>
          <cell r="I127">
            <v>24</v>
          </cell>
          <cell r="J127">
            <v>23</v>
          </cell>
          <cell r="K127">
            <v>22</v>
          </cell>
          <cell r="L127">
            <v>21</v>
          </cell>
          <cell r="M127">
            <v>20</v>
          </cell>
        </row>
        <row r="128">
          <cell r="A128" t="str">
            <v>DQ492</v>
          </cell>
          <cell r="B128">
            <v>2493</v>
          </cell>
          <cell r="C128">
            <v>65.7711192930987</v>
          </cell>
          <cell r="D128">
            <v>-2.0292506917498</v>
          </cell>
          <cell r="E128">
            <v>67.8003699848485</v>
          </cell>
          <cell r="F128" t="str">
            <v>自制</v>
          </cell>
          <cell r="G128" t="str">
            <v>捷达王</v>
          </cell>
          <cell r="H128">
            <v>89</v>
          </cell>
          <cell r="I128">
            <v>86</v>
          </cell>
          <cell r="J128">
            <v>83</v>
          </cell>
          <cell r="K128">
            <v>79</v>
          </cell>
          <cell r="L128">
            <v>76</v>
          </cell>
          <cell r="M128">
            <v>73</v>
          </cell>
        </row>
        <row r="129">
          <cell r="A129" t="str">
            <v>DQ9046A1</v>
          </cell>
          <cell r="B129">
            <v>2476</v>
          </cell>
          <cell r="C129">
            <v>21.9502512854545</v>
          </cell>
          <cell r="D129">
            <v>0</v>
          </cell>
          <cell r="E129">
            <v>21.9502512854545</v>
          </cell>
          <cell r="F129" t="str">
            <v>自制</v>
          </cell>
          <cell r="G129" t="str">
            <v>江淮瑞风M3 1.6L</v>
          </cell>
          <cell r="H129">
            <v>30</v>
          </cell>
          <cell r="I129">
            <v>29</v>
          </cell>
          <cell r="J129">
            <v>28</v>
          </cell>
          <cell r="K129">
            <v>27</v>
          </cell>
          <cell r="L129">
            <v>26</v>
          </cell>
          <cell r="M129">
            <v>25</v>
          </cell>
        </row>
        <row r="130">
          <cell r="A130" t="str">
            <v>DQ9107</v>
          </cell>
          <cell r="B130">
            <v>2462</v>
          </cell>
          <cell r="C130">
            <v>18.0522551421212</v>
          </cell>
          <cell r="D130">
            <v>0</v>
          </cell>
          <cell r="E130">
            <v>18.0522551421212</v>
          </cell>
          <cell r="F130" t="str">
            <v>自制</v>
          </cell>
          <cell r="G130" t="str">
            <v>一汽威志 威乐</v>
          </cell>
          <cell r="H130">
            <v>25</v>
          </cell>
          <cell r="I130">
            <v>24</v>
          </cell>
          <cell r="J130">
            <v>23</v>
          </cell>
          <cell r="K130">
            <v>22</v>
          </cell>
          <cell r="L130">
            <v>21</v>
          </cell>
          <cell r="M130">
            <v>20</v>
          </cell>
        </row>
        <row r="131">
          <cell r="A131" t="str">
            <v>DQ9114L</v>
          </cell>
          <cell r="B131">
            <v>2353</v>
          </cell>
          <cell r="C131">
            <v>29.8978748405011</v>
          </cell>
          <cell r="D131">
            <v>0.586794364682867</v>
          </cell>
          <cell r="E131">
            <v>29.3110804758182</v>
          </cell>
          <cell r="F131" t="str">
            <v>自制</v>
          </cell>
          <cell r="G131" t="str">
            <v>途锐联体短管</v>
          </cell>
          <cell r="H131">
            <v>41</v>
          </cell>
          <cell r="I131">
            <v>39</v>
          </cell>
          <cell r="J131">
            <v>38</v>
          </cell>
          <cell r="K131">
            <v>36</v>
          </cell>
          <cell r="L131">
            <v>35</v>
          </cell>
          <cell r="M131">
            <v>33</v>
          </cell>
        </row>
        <row r="132">
          <cell r="A132" t="str">
            <v>DQ901810</v>
          </cell>
          <cell r="B132">
            <v>2298</v>
          </cell>
          <cell r="C132">
            <v>46.83</v>
          </cell>
          <cell r="D132">
            <v>0</v>
          </cell>
          <cell r="E132">
            <v>46.83</v>
          </cell>
          <cell r="F132" t="str">
            <v>调货</v>
          </cell>
          <cell r="G132" t="str">
            <v>丰田2017-201818致炫</v>
          </cell>
          <cell r="H132">
            <v>56</v>
          </cell>
          <cell r="I132">
            <v>55</v>
          </cell>
          <cell r="J132">
            <v>54</v>
          </cell>
          <cell r="K132">
            <v>53</v>
          </cell>
          <cell r="L132">
            <v>53</v>
          </cell>
          <cell r="M132">
            <v>52</v>
          </cell>
        </row>
        <row r="133">
          <cell r="A133" t="str">
            <v>DQ9005J1</v>
          </cell>
          <cell r="B133">
            <v>2282</v>
          </cell>
          <cell r="C133">
            <v>30.0491061154545</v>
          </cell>
          <cell r="D133">
            <v>0</v>
          </cell>
          <cell r="E133">
            <v>30.0491061154545</v>
          </cell>
          <cell r="F133" t="str">
            <v>自制</v>
          </cell>
          <cell r="G133" t="str">
            <v>新蒙迪欧1.5T/新翼虎1.5T</v>
          </cell>
          <cell r="H133">
            <v>41</v>
          </cell>
          <cell r="I133">
            <v>40</v>
          </cell>
          <cell r="J133">
            <v>38</v>
          </cell>
          <cell r="K133">
            <v>37</v>
          </cell>
          <cell r="L133">
            <v>35</v>
          </cell>
          <cell r="M133">
            <v>34</v>
          </cell>
        </row>
        <row r="134">
          <cell r="A134" t="str">
            <v>DQ9036C2</v>
          </cell>
          <cell r="B134">
            <v>2251</v>
          </cell>
          <cell r="C134">
            <v>21.5758208554546</v>
          </cell>
          <cell r="D134">
            <v>0</v>
          </cell>
          <cell r="E134">
            <v>21.5758208554546</v>
          </cell>
          <cell r="F134" t="str">
            <v>自制</v>
          </cell>
          <cell r="G134" t="str">
            <v>jeep 自由光2.0L</v>
          </cell>
          <cell r="H134">
            <v>30</v>
          </cell>
          <cell r="I134">
            <v>29</v>
          </cell>
          <cell r="J134">
            <v>27</v>
          </cell>
          <cell r="K134">
            <v>26</v>
          </cell>
          <cell r="L134">
            <v>25</v>
          </cell>
          <cell r="M134">
            <v>24</v>
          </cell>
        </row>
        <row r="135">
          <cell r="A135" t="str">
            <v>DQ901876</v>
          </cell>
          <cell r="B135">
            <v>2237</v>
          </cell>
          <cell r="C135">
            <v>34.0824536484124</v>
          </cell>
          <cell r="D135">
            <v>2.24845145295789</v>
          </cell>
          <cell r="E135">
            <v>31.8340021954545</v>
          </cell>
          <cell r="F135" t="str">
            <v>自制</v>
          </cell>
          <cell r="G135" t="str">
            <v>丰田凯美瑞2.0L</v>
          </cell>
          <cell r="H135">
            <v>47</v>
          </cell>
          <cell r="I135">
            <v>45</v>
          </cell>
          <cell r="J135">
            <v>43</v>
          </cell>
          <cell r="K135">
            <v>41</v>
          </cell>
          <cell r="L135">
            <v>40</v>
          </cell>
          <cell r="M135">
            <v>38</v>
          </cell>
        </row>
        <row r="136">
          <cell r="A136" t="str">
            <v>DQ9007C1</v>
          </cell>
          <cell r="B136">
            <v>2221</v>
          </cell>
          <cell r="C136">
            <v>30.9049384515031</v>
          </cell>
          <cell r="D136">
            <v>0.82804446604858</v>
          </cell>
          <cell r="E136">
            <v>30.0768939854545</v>
          </cell>
          <cell r="F136" t="str">
            <v>自制</v>
          </cell>
          <cell r="G136" t="str">
            <v>途胜1.6T</v>
          </cell>
          <cell r="H136">
            <v>42</v>
          </cell>
          <cell r="I136">
            <v>41</v>
          </cell>
          <cell r="J136">
            <v>39</v>
          </cell>
          <cell r="K136">
            <v>38</v>
          </cell>
          <cell r="L136">
            <v>36</v>
          </cell>
          <cell r="M136">
            <v>34</v>
          </cell>
        </row>
        <row r="137">
          <cell r="A137" t="str">
            <v>DQ9201A</v>
          </cell>
          <cell r="B137">
            <v>2198</v>
          </cell>
          <cell r="C137">
            <v>22.1721047727273</v>
          </cell>
          <cell r="D137">
            <v>0</v>
          </cell>
          <cell r="E137">
            <v>22.1721047727273</v>
          </cell>
          <cell r="F137" t="str">
            <v>自制</v>
          </cell>
          <cell r="G137" t="str">
            <v>474两插</v>
          </cell>
          <cell r="H137">
            <v>30</v>
          </cell>
          <cell r="I137">
            <v>29</v>
          </cell>
          <cell r="J137">
            <v>28</v>
          </cell>
          <cell r="K137">
            <v>27</v>
          </cell>
          <cell r="L137">
            <v>26</v>
          </cell>
          <cell r="M137">
            <v>25</v>
          </cell>
        </row>
        <row r="138">
          <cell r="A138" t="str">
            <v>DQ9158A1</v>
          </cell>
          <cell r="B138">
            <v>2172</v>
          </cell>
          <cell r="C138">
            <v>23.8625062554545</v>
          </cell>
          <cell r="D138">
            <v>0</v>
          </cell>
          <cell r="E138">
            <v>23.8625062554545</v>
          </cell>
          <cell r="F138" t="str">
            <v>自制</v>
          </cell>
          <cell r="G138" t="str">
            <v>道奇杜兰戈指挥官</v>
          </cell>
          <cell r="H138">
            <v>33</v>
          </cell>
          <cell r="I138">
            <v>32</v>
          </cell>
          <cell r="J138">
            <v>30</v>
          </cell>
          <cell r="K138">
            <v>29</v>
          </cell>
          <cell r="L138">
            <v>28</v>
          </cell>
          <cell r="M138">
            <v>27</v>
          </cell>
        </row>
        <row r="139">
          <cell r="A139" t="str">
            <v>DQ9040C2</v>
          </cell>
          <cell r="B139">
            <v>2147</v>
          </cell>
          <cell r="C139">
            <v>24.1303538121212</v>
          </cell>
          <cell r="D139">
            <v>0</v>
          </cell>
          <cell r="E139">
            <v>24.1303538121212</v>
          </cell>
          <cell r="F139" t="str">
            <v>自制</v>
          </cell>
          <cell r="G139" t="str">
            <v>众泰T300 1.5T</v>
          </cell>
          <cell r="H139">
            <v>33</v>
          </cell>
          <cell r="I139">
            <v>32</v>
          </cell>
          <cell r="J139">
            <v>31</v>
          </cell>
          <cell r="K139">
            <v>29</v>
          </cell>
          <cell r="L139">
            <v>28</v>
          </cell>
          <cell r="M139">
            <v>27</v>
          </cell>
        </row>
        <row r="140">
          <cell r="A140" t="str">
            <v>DQ9038A2</v>
          </cell>
          <cell r="B140">
            <v>2106</v>
          </cell>
          <cell r="C140">
            <v>23.2042255454545</v>
          </cell>
          <cell r="D140">
            <v>0</v>
          </cell>
          <cell r="E140">
            <v>23.2042255454545</v>
          </cell>
          <cell r="F140" t="str">
            <v>自制</v>
          </cell>
          <cell r="G140" t="str">
            <v>别克 英朗 GT 1.5L</v>
          </cell>
          <cell r="H140">
            <v>32</v>
          </cell>
          <cell r="I140">
            <v>31</v>
          </cell>
          <cell r="J140">
            <v>30</v>
          </cell>
          <cell r="K140">
            <v>28</v>
          </cell>
          <cell r="L140">
            <v>27</v>
          </cell>
          <cell r="M140">
            <v>26</v>
          </cell>
        </row>
        <row r="141">
          <cell r="A141" t="str">
            <v>DQ9124A1</v>
          </cell>
          <cell r="B141">
            <v>2090</v>
          </cell>
          <cell r="C141">
            <v>21.1899660284848</v>
          </cell>
          <cell r="D141">
            <v>0</v>
          </cell>
          <cell r="E141">
            <v>21.1899660284848</v>
          </cell>
          <cell r="F141" t="str">
            <v>自制</v>
          </cell>
          <cell r="G141" t="str">
            <v>道奇酷博 锋哲 300C 酷威 铂锐2.0 2.4 2.7</v>
          </cell>
          <cell r="H141">
            <v>29</v>
          </cell>
          <cell r="I141">
            <v>28</v>
          </cell>
          <cell r="J141">
            <v>27</v>
          </cell>
          <cell r="K141">
            <v>26</v>
          </cell>
          <cell r="L141">
            <v>25</v>
          </cell>
          <cell r="M141">
            <v>24</v>
          </cell>
        </row>
        <row r="142">
          <cell r="A142" t="str">
            <v>DQ9207</v>
          </cell>
          <cell r="B142">
            <v>2081</v>
          </cell>
          <cell r="C142">
            <v>22.6516497727273</v>
          </cell>
          <cell r="D142">
            <v>0</v>
          </cell>
          <cell r="E142">
            <v>22.6516497727273</v>
          </cell>
          <cell r="F142" t="str">
            <v>自制</v>
          </cell>
          <cell r="G142" t="str">
            <v>江淮瑞风两插</v>
          </cell>
          <cell r="H142">
            <v>31</v>
          </cell>
          <cell r="I142">
            <v>30</v>
          </cell>
          <cell r="J142">
            <v>29</v>
          </cell>
          <cell r="K142">
            <v>28</v>
          </cell>
          <cell r="L142">
            <v>27</v>
          </cell>
          <cell r="M142">
            <v>25</v>
          </cell>
        </row>
        <row r="143">
          <cell r="A143" t="str">
            <v>DQ9117D1</v>
          </cell>
          <cell r="B143">
            <v>2075</v>
          </cell>
          <cell r="C143">
            <v>27.4481321984848</v>
          </cell>
          <cell r="D143">
            <v>0</v>
          </cell>
          <cell r="E143">
            <v>27.4481321984848</v>
          </cell>
          <cell r="F143" t="str">
            <v>自制</v>
          </cell>
          <cell r="G143" t="str">
            <v>铃木奥拓5 2009-2016款</v>
          </cell>
          <cell r="H143">
            <v>38</v>
          </cell>
          <cell r="I143">
            <v>36</v>
          </cell>
          <cell r="J143">
            <v>35</v>
          </cell>
          <cell r="K143">
            <v>33</v>
          </cell>
          <cell r="L143">
            <v>32</v>
          </cell>
          <cell r="M143">
            <v>31</v>
          </cell>
        </row>
        <row r="144">
          <cell r="A144" t="str">
            <v>DQ9202A</v>
          </cell>
          <cell r="B144">
            <v>2043</v>
          </cell>
          <cell r="C144">
            <v>30.4322632727273</v>
          </cell>
          <cell r="D144">
            <v>0</v>
          </cell>
          <cell r="E144">
            <v>30.4322632727273</v>
          </cell>
          <cell r="F144" t="str">
            <v>自制</v>
          </cell>
          <cell r="G144" t="str">
            <v>三菱铃木</v>
          </cell>
          <cell r="H144">
            <v>42</v>
          </cell>
          <cell r="I144">
            <v>40</v>
          </cell>
          <cell r="J144">
            <v>39</v>
          </cell>
          <cell r="K144">
            <v>37</v>
          </cell>
          <cell r="L144">
            <v>35</v>
          </cell>
          <cell r="M144">
            <v>34</v>
          </cell>
        </row>
        <row r="145">
          <cell r="A145" t="str">
            <v>DQ910837</v>
          </cell>
          <cell r="B145">
            <v>2024</v>
          </cell>
          <cell r="C145">
            <v>25.3835948994545</v>
          </cell>
          <cell r="D145">
            <v>0</v>
          </cell>
          <cell r="E145">
            <v>25.3835948994545</v>
          </cell>
          <cell r="F145" t="str">
            <v>自制</v>
          </cell>
          <cell r="G145" t="str">
            <v>丰田02237</v>
          </cell>
          <cell r="H145">
            <v>35</v>
          </cell>
          <cell r="I145">
            <v>33</v>
          </cell>
          <cell r="J145">
            <v>32</v>
          </cell>
          <cell r="K145">
            <v>31</v>
          </cell>
          <cell r="L145">
            <v>30</v>
          </cell>
          <cell r="M145">
            <v>28</v>
          </cell>
        </row>
        <row r="146">
          <cell r="A146" t="str">
            <v>DQ9021G1</v>
          </cell>
          <cell r="B146">
            <v>2023</v>
          </cell>
          <cell r="C146">
            <v>21.3327123854545</v>
          </cell>
          <cell r="D146">
            <v>0</v>
          </cell>
          <cell r="E146">
            <v>21.3327123854545</v>
          </cell>
          <cell r="F146" t="str">
            <v>自制</v>
          </cell>
          <cell r="G146" t="str">
            <v>SM3  1.6</v>
          </cell>
          <cell r="H146">
            <v>29</v>
          </cell>
          <cell r="I146">
            <v>28</v>
          </cell>
          <cell r="J146">
            <v>27</v>
          </cell>
          <cell r="K146">
            <v>26</v>
          </cell>
          <cell r="L146">
            <v>25</v>
          </cell>
          <cell r="M146">
            <v>24</v>
          </cell>
        </row>
        <row r="147">
          <cell r="A147" t="str">
            <v>DQ9040A1</v>
          </cell>
          <cell r="B147">
            <v>2000</v>
          </cell>
          <cell r="C147">
            <v>22.9419000854545</v>
          </cell>
          <cell r="D147">
            <v>0</v>
          </cell>
          <cell r="E147">
            <v>22.9419000854545</v>
          </cell>
          <cell r="F147" t="str">
            <v>自制</v>
          </cell>
          <cell r="G147" t="str">
            <v>长安CS75 15年款</v>
          </cell>
          <cell r="H147">
            <v>31</v>
          </cell>
          <cell r="I147">
            <v>30</v>
          </cell>
          <cell r="J147">
            <v>29</v>
          </cell>
          <cell r="K147">
            <v>28</v>
          </cell>
          <cell r="L147">
            <v>27</v>
          </cell>
          <cell r="M147">
            <v>26</v>
          </cell>
        </row>
        <row r="148">
          <cell r="A148" t="str">
            <v>DQ9048A1</v>
          </cell>
          <cell r="B148">
            <v>1980</v>
          </cell>
          <cell r="C148">
            <v>22.1136330854545</v>
          </cell>
          <cell r="D148">
            <v>0</v>
          </cell>
          <cell r="E148">
            <v>22.1136330854545</v>
          </cell>
          <cell r="F148" t="str">
            <v>自制</v>
          </cell>
          <cell r="G148" t="str">
            <v>观致 观致3 1.6T、斯威 X3 1.5T</v>
          </cell>
          <cell r="H148">
            <v>30</v>
          </cell>
          <cell r="I148">
            <v>29</v>
          </cell>
          <cell r="J148">
            <v>28</v>
          </cell>
          <cell r="K148">
            <v>27</v>
          </cell>
          <cell r="L148">
            <v>26</v>
          </cell>
          <cell r="M148">
            <v>25</v>
          </cell>
        </row>
        <row r="149">
          <cell r="A149" t="str">
            <v>DQ9007E1</v>
          </cell>
          <cell r="B149">
            <v>1975</v>
          </cell>
          <cell r="C149">
            <v>33.4480977427273</v>
          </cell>
          <cell r="D149">
            <v>0</v>
          </cell>
          <cell r="E149">
            <v>33.4480977427273</v>
          </cell>
          <cell r="F149" t="str">
            <v>自制</v>
          </cell>
          <cell r="G149" t="str">
            <v>现代领动1.4T</v>
          </cell>
          <cell r="H149">
            <v>46</v>
          </cell>
          <cell r="I149">
            <v>44</v>
          </cell>
          <cell r="J149">
            <v>42</v>
          </cell>
          <cell r="K149">
            <v>41</v>
          </cell>
          <cell r="L149">
            <v>39</v>
          </cell>
          <cell r="M149">
            <v>37</v>
          </cell>
        </row>
        <row r="150">
          <cell r="A150" t="str">
            <v>DQ9219B3</v>
          </cell>
          <cell r="B150">
            <v>1944</v>
          </cell>
          <cell r="C150">
            <v>22.6988480973939</v>
          </cell>
          <cell r="D150">
            <v>0</v>
          </cell>
          <cell r="E150">
            <v>22.6988480973939</v>
          </cell>
          <cell r="F150" t="str">
            <v>自制</v>
          </cell>
          <cell r="G150" t="str">
            <v>吉利帝豪</v>
          </cell>
          <cell r="H150">
            <v>31</v>
          </cell>
          <cell r="I150">
            <v>30</v>
          </cell>
          <cell r="J150">
            <v>29</v>
          </cell>
          <cell r="K150">
            <v>28</v>
          </cell>
          <cell r="L150">
            <v>27</v>
          </cell>
          <cell r="M150">
            <v>25</v>
          </cell>
        </row>
        <row r="151">
          <cell r="A151" t="str">
            <v>DQ9206</v>
          </cell>
          <cell r="B151">
            <v>1937</v>
          </cell>
          <cell r="C151">
            <v>30.8133747727273</v>
          </cell>
          <cell r="D151">
            <v>0</v>
          </cell>
          <cell r="E151">
            <v>30.8133747727273</v>
          </cell>
          <cell r="F151" t="str">
            <v>自制</v>
          </cell>
          <cell r="G151" t="str">
            <v>东方之子</v>
          </cell>
          <cell r="H151">
            <v>42</v>
          </cell>
          <cell r="I151">
            <v>41</v>
          </cell>
          <cell r="J151">
            <v>39</v>
          </cell>
          <cell r="K151">
            <v>37</v>
          </cell>
          <cell r="L151">
            <v>36</v>
          </cell>
          <cell r="M151">
            <v>34</v>
          </cell>
        </row>
        <row r="152">
          <cell r="A152" t="str">
            <v>DQ9033C1</v>
          </cell>
          <cell r="B152">
            <v>1928</v>
          </cell>
          <cell r="C152">
            <v>28.5507814035606</v>
          </cell>
          <cell r="D152">
            <v>0</v>
          </cell>
          <cell r="E152">
            <v>28.5507814035606</v>
          </cell>
          <cell r="F152" t="str">
            <v>自制</v>
          </cell>
          <cell r="G152" t="str">
            <v>宝腾 至尊S</v>
          </cell>
          <cell r="H152">
            <v>39</v>
          </cell>
          <cell r="I152">
            <v>38</v>
          </cell>
          <cell r="J152">
            <v>36</v>
          </cell>
          <cell r="K152">
            <v>35</v>
          </cell>
          <cell r="L152">
            <v>33</v>
          </cell>
          <cell r="M152">
            <v>32</v>
          </cell>
        </row>
        <row r="153">
          <cell r="A153" t="str">
            <v>DQ9122A1</v>
          </cell>
          <cell r="B153">
            <v>1925</v>
          </cell>
          <cell r="C153">
            <v>45.0091849393939</v>
          </cell>
          <cell r="D153">
            <v>0</v>
          </cell>
          <cell r="E153">
            <v>45.0091849393939</v>
          </cell>
          <cell r="F153" t="str">
            <v>自制</v>
          </cell>
          <cell r="G153" t="str">
            <v>悍马</v>
          </cell>
          <cell r="H153">
            <v>61</v>
          </cell>
          <cell r="I153">
            <v>59</v>
          </cell>
          <cell r="J153">
            <v>57</v>
          </cell>
          <cell r="K153">
            <v>55</v>
          </cell>
          <cell r="L153">
            <v>52</v>
          </cell>
          <cell r="M153">
            <v>50</v>
          </cell>
        </row>
        <row r="154">
          <cell r="A154" t="str">
            <v>DQ9406</v>
          </cell>
          <cell r="B154">
            <v>1922</v>
          </cell>
          <cell r="C154">
            <v>78.05</v>
          </cell>
          <cell r="D154">
            <v>0</v>
          </cell>
          <cell r="E154">
            <v>78.05</v>
          </cell>
          <cell r="F154" t="str">
            <v>调货</v>
          </cell>
          <cell r="G154" t="str">
            <v>科鲁兹160</v>
          </cell>
          <cell r="H154">
            <v>93</v>
          </cell>
          <cell r="I154">
            <v>92</v>
          </cell>
          <cell r="J154">
            <v>90</v>
          </cell>
          <cell r="K154">
            <v>89</v>
          </cell>
          <cell r="L154">
            <v>88</v>
          </cell>
          <cell r="M154">
            <v>86</v>
          </cell>
        </row>
        <row r="155">
          <cell r="A155" t="str">
            <v>DQ9031B1</v>
          </cell>
          <cell r="B155">
            <v>1896</v>
          </cell>
          <cell r="C155">
            <v>23.0789980787879</v>
          </cell>
          <cell r="D155">
            <v>0</v>
          </cell>
          <cell r="E155">
            <v>23.0789980787879</v>
          </cell>
          <cell r="F155" t="str">
            <v>自制</v>
          </cell>
          <cell r="G155" t="str">
            <v>名爵 ZS 1.5L</v>
          </cell>
          <cell r="H155">
            <v>32</v>
          </cell>
          <cell r="I155">
            <v>31</v>
          </cell>
          <cell r="J155">
            <v>29</v>
          </cell>
          <cell r="K155">
            <v>28</v>
          </cell>
          <cell r="L155">
            <v>27</v>
          </cell>
          <cell r="M155">
            <v>26</v>
          </cell>
        </row>
        <row r="156">
          <cell r="A156" t="str">
            <v>DQ9017C1</v>
          </cell>
          <cell r="B156">
            <v>1880</v>
          </cell>
          <cell r="C156">
            <v>32.4808232803325</v>
          </cell>
          <cell r="D156">
            <v>0.468436164211279</v>
          </cell>
          <cell r="E156">
            <v>32.0123871161212</v>
          </cell>
          <cell r="F156" t="str">
            <v>自制</v>
          </cell>
          <cell r="G156" t="str">
            <v>沃尔沃</v>
          </cell>
          <cell r="H156">
            <v>44</v>
          </cell>
          <cell r="I156">
            <v>43</v>
          </cell>
          <cell r="J156">
            <v>41</v>
          </cell>
          <cell r="K156">
            <v>39</v>
          </cell>
          <cell r="L156">
            <v>38</v>
          </cell>
          <cell r="M156">
            <v>36</v>
          </cell>
        </row>
        <row r="157">
          <cell r="A157" t="str">
            <v>DQ9219A7</v>
          </cell>
          <cell r="B157">
            <v>1850</v>
          </cell>
          <cell r="C157">
            <v>19.7741468477273</v>
          </cell>
          <cell r="D157">
            <v>0</v>
          </cell>
          <cell r="E157">
            <v>19.7741468477273</v>
          </cell>
          <cell r="F157" t="str">
            <v>自制</v>
          </cell>
          <cell r="G157" t="str">
            <v>博瑞1.8T</v>
          </cell>
          <cell r="H157">
            <v>27</v>
          </cell>
          <cell r="I157">
            <v>26</v>
          </cell>
          <cell r="J157">
            <v>25</v>
          </cell>
          <cell r="K157">
            <v>24</v>
          </cell>
          <cell r="L157">
            <v>23</v>
          </cell>
          <cell r="M157">
            <v>22</v>
          </cell>
        </row>
        <row r="158">
          <cell r="A158" t="str">
            <v>DQ9004</v>
          </cell>
          <cell r="B158">
            <v>1784</v>
          </cell>
          <cell r="C158">
            <v>27.2883322727273</v>
          </cell>
          <cell r="D158">
            <v>0</v>
          </cell>
          <cell r="E158">
            <v>27.2883322727273</v>
          </cell>
          <cell r="F158" t="str">
            <v>自制</v>
          </cell>
          <cell r="G158" t="str">
            <v>风度 A32长杆</v>
          </cell>
          <cell r="H158">
            <v>37</v>
          </cell>
          <cell r="I158">
            <v>36</v>
          </cell>
          <cell r="J158">
            <v>35</v>
          </cell>
          <cell r="K158">
            <v>33</v>
          </cell>
          <cell r="L158">
            <v>32</v>
          </cell>
          <cell r="M158">
            <v>31</v>
          </cell>
        </row>
        <row r="159">
          <cell r="A159" t="str">
            <v>DQ9004C</v>
          </cell>
          <cell r="B159">
            <v>1758</v>
          </cell>
          <cell r="C159">
            <v>26.8069895454545</v>
          </cell>
          <cell r="D159">
            <v>0</v>
          </cell>
          <cell r="E159">
            <v>26.8069895454545</v>
          </cell>
          <cell r="F159" t="str">
            <v>自制</v>
          </cell>
          <cell r="G159" t="str">
            <v>风雅A32短杆</v>
          </cell>
          <cell r="H159">
            <v>37</v>
          </cell>
          <cell r="I159">
            <v>35</v>
          </cell>
          <cell r="J159">
            <v>34</v>
          </cell>
          <cell r="K159">
            <v>33</v>
          </cell>
          <cell r="L159">
            <v>31</v>
          </cell>
          <cell r="M159">
            <v>30</v>
          </cell>
        </row>
        <row r="160">
          <cell r="A160" t="str">
            <v>DQ9219A3</v>
          </cell>
          <cell r="B160">
            <v>1753</v>
          </cell>
          <cell r="C160">
            <v>20.0947968477273</v>
          </cell>
          <cell r="D160">
            <v>0</v>
          </cell>
          <cell r="E160">
            <v>20.0947968477273</v>
          </cell>
          <cell r="F160" t="str">
            <v>自制</v>
          </cell>
          <cell r="G160" t="str">
            <v>吉利帝豪1.3T</v>
          </cell>
          <cell r="H160">
            <v>28</v>
          </cell>
          <cell r="I160">
            <v>27</v>
          </cell>
          <cell r="J160">
            <v>26</v>
          </cell>
          <cell r="K160">
            <v>25</v>
          </cell>
          <cell r="L160">
            <v>24</v>
          </cell>
          <cell r="M160">
            <v>23</v>
          </cell>
        </row>
        <row r="161">
          <cell r="A161" t="str">
            <v>DQ901877</v>
          </cell>
          <cell r="B161">
            <v>1750</v>
          </cell>
          <cell r="C161">
            <v>34.2361408354795</v>
          </cell>
          <cell r="D161">
            <v>1.59379079547952</v>
          </cell>
          <cell r="E161">
            <v>32.64235004</v>
          </cell>
          <cell r="F161" t="str">
            <v>自制</v>
          </cell>
          <cell r="G161" t="str">
            <v>雷凌1.5L</v>
          </cell>
          <cell r="H161">
            <v>47</v>
          </cell>
          <cell r="I161">
            <v>45</v>
          </cell>
          <cell r="J161">
            <v>43</v>
          </cell>
          <cell r="K161">
            <v>42</v>
          </cell>
          <cell r="L161">
            <v>40</v>
          </cell>
          <cell r="M161">
            <v>38</v>
          </cell>
        </row>
        <row r="162">
          <cell r="A162" t="str">
            <v>DQ1212W</v>
          </cell>
          <cell r="B162">
            <v>1743</v>
          </cell>
          <cell r="C162">
            <v>30.2701448709091</v>
          </cell>
          <cell r="D162">
            <v>0</v>
          </cell>
          <cell r="E162">
            <v>30.2701448709091</v>
          </cell>
          <cell r="F162" t="str">
            <v>自制</v>
          </cell>
          <cell r="G162" t="str">
            <v>五菱之光B12</v>
          </cell>
          <cell r="H162">
            <v>41</v>
          </cell>
          <cell r="I162">
            <v>40</v>
          </cell>
          <cell r="J162">
            <v>38</v>
          </cell>
          <cell r="K162">
            <v>37</v>
          </cell>
          <cell r="L162">
            <v>35</v>
          </cell>
          <cell r="M162">
            <v>34</v>
          </cell>
        </row>
        <row r="163">
          <cell r="A163" t="str">
            <v>DQ9210A3</v>
          </cell>
          <cell r="B163">
            <v>1711</v>
          </cell>
          <cell r="C163">
            <v>22.0834812927273</v>
          </cell>
          <cell r="D163">
            <v>0</v>
          </cell>
          <cell r="E163">
            <v>22.0834812927273</v>
          </cell>
          <cell r="F163" t="str">
            <v>自制</v>
          </cell>
          <cell r="G163" t="str">
            <v>长安睿行1.5L</v>
          </cell>
          <cell r="H163">
            <v>30</v>
          </cell>
          <cell r="I163">
            <v>29</v>
          </cell>
          <cell r="J163">
            <v>28</v>
          </cell>
          <cell r="K163">
            <v>27</v>
          </cell>
          <cell r="L163">
            <v>26</v>
          </cell>
          <cell r="M163">
            <v>25</v>
          </cell>
        </row>
        <row r="164">
          <cell r="A164" t="str">
            <v>DQ9002F1</v>
          </cell>
          <cell r="B164">
            <v>1698</v>
          </cell>
          <cell r="C164">
            <v>30.4990508727273</v>
          </cell>
          <cell r="D164">
            <v>0</v>
          </cell>
          <cell r="E164">
            <v>30.4990508727273</v>
          </cell>
          <cell r="F164" t="str">
            <v>自制</v>
          </cell>
          <cell r="G164" t="str">
            <v>马自达CX-5 三针</v>
          </cell>
          <cell r="H164">
            <v>42</v>
          </cell>
          <cell r="I164">
            <v>40</v>
          </cell>
          <cell r="J164">
            <v>39</v>
          </cell>
          <cell r="K164">
            <v>37</v>
          </cell>
          <cell r="L164">
            <v>36</v>
          </cell>
          <cell r="M164">
            <v>34</v>
          </cell>
        </row>
        <row r="165">
          <cell r="A165" t="str">
            <v>DQ9035A3</v>
          </cell>
          <cell r="B165">
            <v>1687</v>
          </cell>
          <cell r="C165">
            <v>31.1051002593939</v>
          </cell>
          <cell r="D165">
            <v>0</v>
          </cell>
          <cell r="E165">
            <v>31.1051002593939</v>
          </cell>
          <cell r="F165" t="str">
            <v>自制</v>
          </cell>
          <cell r="G165" t="str">
            <v>长城魏 VV7 VV8</v>
          </cell>
          <cell r="H165">
            <v>42</v>
          </cell>
          <cell r="I165">
            <v>41</v>
          </cell>
          <cell r="J165">
            <v>39</v>
          </cell>
          <cell r="K165">
            <v>38</v>
          </cell>
          <cell r="L165">
            <v>36</v>
          </cell>
          <cell r="M165">
            <v>35</v>
          </cell>
        </row>
        <row r="166">
          <cell r="A166" t="str">
            <v>DQ9117C1</v>
          </cell>
          <cell r="B166">
            <v>1674</v>
          </cell>
          <cell r="C166">
            <v>38.766</v>
          </cell>
          <cell r="D166">
            <v>0</v>
          </cell>
          <cell r="E166">
            <v>38.766</v>
          </cell>
          <cell r="F166" t="str">
            <v>调货</v>
          </cell>
          <cell r="G166" t="str">
            <v>铃木启悦1.6L</v>
          </cell>
          <cell r="H166">
            <v>47</v>
          </cell>
          <cell r="I166">
            <v>46</v>
          </cell>
          <cell r="J166">
            <v>45</v>
          </cell>
          <cell r="K166">
            <v>44</v>
          </cell>
          <cell r="L166">
            <v>44</v>
          </cell>
          <cell r="M166">
            <v>43</v>
          </cell>
        </row>
        <row r="167">
          <cell r="A167" t="str">
            <v>DQ9019Q1</v>
          </cell>
          <cell r="B167">
            <v>1672</v>
          </cell>
          <cell r="C167">
            <v>25.4644261804545</v>
          </cell>
          <cell r="D167">
            <v>0</v>
          </cell>
          <cell r="E167">
            <v>25.4644261804545</v>
          </cell>
          <cell r="F167" t="str">
            <v>自制</v>
          </cell>
          <cell r="G167" t="str">
            <v>长城哈弗H9</v>
          </cell>
          <cell r="H167">
            <v>35</v>
          </cell>
          <cell r="I167">
            <v>34</v>
          </cell>
          <cell r="J167">
            <v>32</v>
          </cell>
          <cell r="K167">
            <v>31</v>
          </cell>
          <cell r="L167">
            <v>30</v>
          </cell>
          <cell r="M167">
            <v>29</v>
          </cell>
        </row>
        <row r="168">
          <cell r="A168" t="str">
            <v>DQ921812</v>
          </cell>
          <cell r="B168">
            <v>1648</v>
          </cell>
          <cell r="C168">
            <v>25.5753735977273</v>
          </cell>
          <cell r="D168">
            <v>0</v>
          </cell>
          <cell r="E168">
            <v>25.5753735977273</v>
          </cell>
          <cell r="F168" t="str">
            <v>自制</v>
          </cell>
          <cell r="G168" t="str">
            <v>吉普3400</v>
          </cell>
          <cell r="H168">
            <v>35</v>
          </cell>
          <cell r="I168">
            <v>34</v>
          </cell>
          <cell r="J168">
            <v>32</v>
          </cell>
          <cell r="K168">
            <v>31</v>
          </cell>
          <cell r="L168">
            <v>30</v>
          </cell>
          <cell r="M168">
            <v>29</v>
          </cell>
        </row>
        <row r="169">
          <cell r="A169" t="str">
            <v>DQ9050A1</v>
          </cell>
          <cell r="B169">
            <v>1644</v>
          </cell>
          <cell r="C169">
            <v>34.2465215893128</v>
          </cell>
          <cell r="D169">
            <v>1.7471034338583</v>
          </cell>
          <cell r="E169">
            <v>32.4994181554545</v>
          </cell>
          <cell r="F169" t="str">
            <v>自制</v>
          </cell>
          <cell r="G169" t="str">
            <v>帕杰罗劲畅</v>
          </cell>
          <cell r="H169">
            <v>47</v>
          </cell>
          <cell r="I169">
            <v>45</v>
          </cell>
          <cell r="J169">
            <v>43</v>
          </cell>
          <cell r="K169">
            <v>42</v>
          </cell>
          <cell r="L169">
            <v>40</v>
          </cell>
          <cell r="M169">
            <v>38</v>
          </cell>
        </row>
        <row r="170">
          <cell r="A170" t="str">
            <v>DQ910807</v>
          </cell>
          <cell r="B170">
            <v>1641</v>
          </cell>
          <cell r="C170">
            <v>30.076529853351</v>
          </cell>
          <cell r="D170">
            <v>1.67301519956314</v>
          </cell>
          <cell r="E170">
            <v>28.4035146537879</v>
          </cell>
          <cell r="F170" t="str">
            <v>自制</v>
          </cell>
          <cell r="G170" t="str">
            <v>威驰</v>
          </cell>
          <cell r="H170">
            <v>41</v>
          </cell>
          <cell r="I170">
            <v>40</v>
          </cell>
          <cell r="J170">
            <v>38</v>
          </cell>
          <cell r="K170">
            <v>37</v>
          </cell>
          <cell r="L170">
            <v>35</v>
          </cell>
          <cell r="M170">
            <v>34</v>
          </cell>
        </row>
        <row r="171">
          <cell r="A171" t="str">
            <v>DQ9004B</v>
          </cell>
          <cell r="B171">
            <v>1610</v>
          </cell>
          <cell r="C171">
            <v>31.0241746054545</v>
          </cell>
          <cell r="D171">
            <v>0</v>
          </cell>
          <cell r="E171">
            <v>31.0241746054545</v>
          </cell>
          <cell r="F171" t="str">
            <v>自制</v>
          </cell>
          <cell r="G171" t="str">
            <v>A33短杆</v>
          </cell>
          <cell r="H171">
            <v>42</v>
          </cell>
          <cell r="I171">
            <v>41</v>
          </cell>
          <cell r="J171">
            <v>39</v>
          </cell>
          <cell r="K171">
            <v>38</v>
          </cell>
          <cell r="L171">
            <v>36</v>
          </cell>
          <cell r="M171">
            <v>35</v>
          </cell>
        </row>
        <row r="172">
          <cell r="A172" t="str">
            <v>DQ9031C1</v>
          </cell>
          <cell r="B172">
            <v>1607</v>
          </cell>
          <cell r="C172">
            <v>30.5388957454545</v>
          </cell>
          <cell r="D172">
            <v>0</v>
          </cell>
          <cell r="E172">
            <v>30.5388957454545</v>
          </cell>
          <cell r="F172" t="str">
            <v>自制</v>
          </cell>
          <cell r="G172" t="str">
            <v>荣威I6 PLUS 1.6L,RX3 1.6l</v>
          </cell>
          <cell r="H172">
            <v>42</v>
          </cell>
          <cell r="I172">
            <v>40</v>
          </cell>
          <cell r="J172">
            <v>39</v>
          </cell>
          <cell r="K172">
            <v>37</v>
          </cell>
          <cell r="L172">
            <v>36</v>
          </cell>
          <cell r="M172">
            <v>34</v>
          </cell>
        </row>
        <row r="173">
          <cell r="A173" t="str">
            <v>DQ9039D1</v>
          </cell>
          <cell r="B173">
            <v>1596</v>
          </cell>
          <cell r="C173">
            <v>29.4610569927273</v>
          </cell>
          <cell r="D173">
            <v>0</v>
          </cell>
          <cell r="E173">
            <v>29.4610569927273</v>
          </cell>
          <cell r="F173" t="str">
            <v>自制</v>
          </cell>
          <cell r="G173" t="str">
            <v>宝骏730 第二代1.5T</v>
          </cell>
          <cell r="H173">
            <v>40</v>
          </cell>
          <cell r="I173">
            <v>39</v>
          </cell>
          <cell r="J173">
            <v>37</v>
          </cell>
          <cell r="K173">
            <v>36</v>
          </cell>
          <cell r="L173">
            <v>34</v>
          </cell>
          <cell r="M173">
            <v>33</v>
          </cell>
        </row>
        <row r="174">
          <cell r="A174" t="str">
            <v>DQ9110</v>
          </cell>
          <cell r="B174">
            <v>1550</v>
          </cell>
          <cell r="C174">
            <v>26.3642854121212</v>
          </cell>
          <cell r="D174">
            <v>0</v>
          </cell>
          <cell r="E174">
            <v>26.3642854121212</v>
          </cell>
          <cell r="F174" t="str">
            <v>自制</v>
          </cell>
          <cell r="G174" t="str">
            <v>宝马分体</v>
          </cell>
          <cell r="H174">
            <v>36</v>
          </cell>
          <cell r="I174">
            <v>35</v>
          </cell>
          <cell r="J174">
            <v>33</v>
          </cell>
          <cell r="K174">
            <v>32</v>
          </cell>
          <cell r="L174">
            <v>31</v>
          </cell>
          <cell r="M174">
            <v>30</v>
          </cell>
        </row>
        <row r="175">
          <cell r="A175" t="str">
            <v>DQ9210</v>
          </cell>
          <cell r="B175">
            <v>1519</v>
          </cell>
          <cell r="C175">
            <v>21.3607812927273</v>
          </cell>
          <cell r="D175">
            <v>0</v>
          </cell>
          <cell r="E175">
            <v>21.3607812927273</v>
          </cell>
          <cell r="F175" t="str">
            <v>自制</v>
          </cell>
          <cell r="G175" t="str">
            <v>瑞虎</v>
          </cell>
          <cell r="H175">
            <v>29</v>
          </cell>
          <cell r="I175">
            <v>28</v>
          </cell>
          <cell r="J175">
            <v>27</v>
          </cell>
          <cell r="K175">
            <v>26</v>
          </cell>
          <cell r="L175">
            <v>25</v>
          </cell>
          <cell r="M175">
            <v>24</v>
          </cell>
        </row>
        <row r="176">
          <cell r="A176" t="str">
            <v>DQ9037C4</v>
          </cell>
          <cell r="B176">
            <v>1507</v>
          </cell>
          <cell r="C176">
            <v>27.9133016621212</v>
          </cell>
          <cell r="D176">
            <v>0</v>
          </cell>
          <cell r="E176">
            <v>27.9133016621212</v>
          </cell>
          <cell r="F176" t="str">
            <v>自制</v>
          </cell>
          <cell r="G176" t="str">
            <v>广汽传祺GM61.5T</v>
          </cell>
          <cell r="H176">
            <v>38</v>
          </cell>
          <cell r="I176">
            <v>37</v>
          </cell>
          <cell r="J176">
            <v>35</v>
          </cell>
          <cell r="K176">
            <v>34</v>
          </cell>
          <cell r="L176">
            <v>33</v>
          </cell>
          <cell r="M176">
            <v>31</v>
          </cell>
        </row>
        <row r="177">
          <cell r="A177" t="str">
            <v>DQ9012A2</v>
          </cell>
          <cell r="B177">
            <v>1499</v>
          </cell>
          <cell r="C177">
            <v>38.6</v>
          </cell>
          <cell r="D177">
            <v>0</v>
          </cell>
          <cell r="E177">
            <v>38.6</v>
          </cell>
          <cell r="F177" t="str">
            <v>调货</v>
          </cell>
          <cell r="G177" t="str">
            <v>奔腾 B50 1.6L</v>
          </cell>
          <cell r="H177">
            <v>46</v>
          </cell>
          <cell r="I177">
            <v>46</v>
          </cell>
          <cell r="J177">
            <v>45</v>
          </cell>
          <cell r="K177">
            <v>44</v>
          </cell>
          <cell r="L177">
            <v>44</v>
          </cell>
          <cell r="M177">
            <v>43</v>
          </cell>
        </row>
        <row r="178">
          <cell r="A178" t="str">
            <v>DQ9213</v>
          </cell>
          <cell r="B178">
            <v>1487</v>
          </cell>
          <cell r="C178">
            <v>24.1485767727273</v>
          </cell>
          <cell r="D178">
            <v>0</v>
          </cell>
          <cell r="E178">
            <v>24.1485767727273</v>
          </cell>
          <cell r="F178" t="str">
            <v>自制</v>
          </cell>
          <cell r="G178" t="str">
            <v>长安之星二代CB10</v>
          </cell>
          <cell r="H178">
            <v>33</v>
          </cell>
          <cell r="I178">
            <v>32</v>
          </cell>
          <cell r="J178">
            <v>31</v>
          </cell>
          <cell r="K178">
            <v>29</v>
          </cell>
          <cell r="L178">
            <v>28</v>
          </cell>
          <cell r="M178">
            <v>27</v>
          </cell>
        </row>
        <row r="179">
          <cell r="A179" t="str">
            <v>DQ9005G1</v>
          </cell>
          <cell r="B179">
            <v>1469</v>
          </cell>
          <cell r="C179">
            <v>29.8291061154546</v>
          </cell>
          <cell r="D179">
            <v>0</v>
          </cell>
          <cell r="E179">
            <v>29.8291061154546</v>
          </cell>
          <cell r="F179" t="str">
            <v>自制</v>
          </cell>
          <cell r="G179" t="str">
            <v>福特 翼博 1.6T</v>
          </cell>
          <cell r="H179">
            <v>41</v>
          </cell>
          <cell r="I179">
            <v>39</v>
          </cell>
          <cell r="J179">
            <v>38</v>
          </cell>
          <cell r="K179">
            <v>36</v>
          </cell>
          <cell r="L179">
            <v>35</v>
          </cell>
          <cell r="M179">
            <v>33</v>
          </cell>
        </row>
        <row r="180">
          <cell r="A180" t="str">
            <v>DQ9109F1</v>
          </cell>
          <cell r="B180">
            <v>1464</v>
          </cell>
          <cell r="C180">
            <v>26.6972450454546</v>
          </cell>
          <cell r="D180">
            <v>0</v>
          </cell>
          <cell r="E180">
            <v>26.6972450454546</v>
          </cell>
          <cell r="F180" t="str">
            <v>自制</v>
          </cell>
          <cell r="G180" t="str">
            <v>本田 雅阁</v>
          </cell>
          <cell r="H180">
            <v>37</v>
          </cell>
          <cell r="I180">
            <v>35</v>
          </cell>
          <cell r="J180">
            <v>34</v>
          </cell>
          <cell r="K180">
            <v>33</v>
          </cell>
          <cell r="L180">
            <v>31</v>
          </cell>
          <cell r="M180">
            <v>30</v>
          </cell>
        </row>
        <row r="181">
          <cell r="A181" t="str">
            <v>DQ9003G5</v>
          </cell>
          <cell r="B181">
            <v>1462</v>
          </cell>
          <cell r="C181">
            <v>27.0109299854545</v>
          </cell>
          <cell r="D181">
            <v>0</v>
          </cell>
          <cell r="E181">
            <v>27.0109299854545</v>
          </cell>
          <cell r="F181" t="str">
            <v>自制</v>
          </cell>
          <cell r="G181" t="str">
            <v>日产尼桑</v>
          </cell>
          <cell r="H181">
            <v>37</v>
          </cell>
          <cell r="I181">
            <v>36</v>
          </cell>
          <cell r="J181">
            <v>34</v>
          </cell>
          <cell r="K181">
            <v>33</v>
          </cell>
          <cell r="L181">
            <v>32</v>
          </cell>
          <cell r="M181">
            <v>30</v>
          </cell>
        </row>
        <row r="182">
          <cell r="A182" t="str">
            <v>DQ9005D2</v>
          </cell>
          <cell r="B182">
            <v>1454</v>
          </cell>
          <cell r="C182">
            <v>16.0723728508182</v>
          </cell>
          <cell r="D182">
            <v>0</v>
          </cell>
          <cell r="E182">
            <v>16.0723728508182</v>
          </cell>
          <cell r="F182" t="str">
            <v>自制</v>
          </cell>
          <cell r="G182" t="str">
            <v>福特蒙迪欧</v>
          </cell>
          <cell r="H182">
            <v>22</v>
          </cell>
          <cell r="I182">
            <v>21</v>
          </cell>
          <cell r="J182">
            <v>21</v>
          </cell>
          <cell r="K182">
            <v>20</v>
          </cell>
          <cell r="L182">
            <v>19</v>
          </cell>
          <cell r="M182">
            <v>18</v>
          </cell>
        </row>
        <row r="183">
          <cell r="A183" t="str">
            <v>DQ9069A1</v>
          </cell>
          <cell r="B183">
            <v>1443</v>
          </cell>
          <cell r="C183">
            <v>42.63</v>
          </cell>
          <cell r="D183">
            <v>0</v>
          </cell>
          <cell r="E183">
            <v>42.63</v>
          </cell>
          <cell r="F183" t="str">
            <v>调货</v>
          </cell>
          <cell r="G183" t="str">
            <v>长安CS55 PLUS 1.5T</v>
          </cell>
          <cell r="H183">
            <v>51</v>
          </cell>
          <cell r="I183">
            <v>50</v>
          </cell>
          <cell r="J183">
            <v>50</v>
          </cell>
          <cell r="K183">
            <v>49</v>
          </cell>
          <cell r="L183">
            <v>48</v>
          </cell>
          <cell r="M183">
            <v>47</v>
          </cell>
        </row>
        <row r="184">
          <cell r="A184" t="str">
            <v>DQ9025G1</v>
          </cell>
          <cell r="B184">
            <v>1407</v>
          </cell>
          <cell r="C184">
            <v>64.8345360929974</v>
          </cell>
          <cell r="D184">
            <v>0.901555570270119</v>
          </cell>
          <cell r="E184">
            <v>63.9329805227273</v>
          </cell>
          <cell r="F184" t="str">
            <v>自制</v>
          </cell>
          <cell r="G184" t="str">
            <v>奔驰GLA2001.6T</v>
          </cell>
          <cell r="H184">
            <v>88</v>
          </cell>
          <cell r="I184">
            <v>85</v>
          </cell>
          <cell r="J184">
            <v>82</v>
          </cell>
          <cell r="K184">
            <v>78</v>
          </cell>
          <cell r="L184">
            <v>75</v>
          </cell>
          <cell r="M184">
            <v>72</v>
          </cell>
        </row>
        <row r="185">
          <cell r="A185" t="str">
            <v>DQ9058A1</v>
          </cell>
          <cell r="B185">
            <v>1403</v>
          </cell>
          <cell r="C185">
            <v>38.43</v>
          </cell>
          <cell r="D185">
            <v>0</v>
          </cell>
          <cell r="E185">
            <v>38.43</v>
          </cell>
          <cell r="F185" t="str">
            <v>调货</v>
          </cell>
          <cell r="G185" t="str">
            <v>捷途 1.5T,瑞虎3、瑞虎7</v>
          </cell>
          <cell r="H185">
            <v>46</v>
          </cell>
          <cell r="I185">
            <v>45</v>
          </cell>
          <cell r="J185">
            <v>45</v>
          </cell>
          <cell r="K185">
            <v>44</v>
          </cell>
          <cell r="L185">
            <v>44</v>
          </cell>
          <cell r="M185">
            <v>43</v>
          </cell>
        </row>
        <row r="186">
          <cell r="A186" t="str">
            <v>DQ901869</v>
          </cell>
          <cell r="B186">
            <v>1388</v>
          </cell>
          <cell r="C186">
            <v>47.5480236</v>
          </cell>
          <cell r="D186">
            <v>1.7680236</v>
          </cell>
          <cell r="E186">
            <v>45.78</v>
          </cell>
          <cell r="F186" t="str">
            <v>调货</v>
          </cell>
          <cell r="G186" t="str">
            <v>丰田汉兰达2.0T</v>
          </cell>
          <cell r="H186">
            <v>57</v>
          </cell>
          <cell r="I186">
            <v>56</v>
          </cell>
          <cell r="J186">
            <v>55</v>
          </cell>
          <cell r="K186">
            <v>54</v>
          </cell>
          <cell r="L186">
            <v>54</v>
          </cell>
          <cell r="M186">
            <v>53</v>
          </cell>
        </row>
        <row r="187">
          <cell r="A187" t="str">
            <v>DQ9113B4</v>
          </cell>
          <cell r="B187">
            <v>1388</v>
          </cell>
          <cell r="C187">
            <v>29.8387027218182</v>
          </cell>
          <cell r="D187">
            <v>0</v>
          </cell>
          <cell r="E187">
            <v>29.8387027218182</v>
          </cell>
          <cell r="F187" t="str">
            <v>自制</v>
          </cell>
          <cell r="G187" t="str">
            <v>三菱 Pajero (帕杰罗) 3.0L  2011款</v>
          </cell>
          <cell r="H187">
            <v>41</v>
          </cell>
          <cell r="I187">
            <v>39</v>
          </cell>
          <cell r="J187">
            <v>38</v>
          </cell>
          <cell r="K187">
            <v>36</v>
          </cell>
          <cell r="L187">
            <v>35</v>
          </cell>
          <cell r="M187">
            <v>33</v>
          </cell>
        </row>
        <row r="188">
          <cell r="A188" t="str">
            <v>DQ9104C1</v>
          </cell>
          <cell r="B188">
            <v>1374</v>
          </cell>
          <cell r="C188">
            <v>21.0237512993939</v>
          </cell>
          <cell r="D188">
            <v>0</v>
          </cell>
          <cell r="E188">
            <v>21.0237512993939</v>
          </cell>
          <cell r="F188" t="str">
            <v>自制</v>
          </cell>
          <cell r="G188" t="str">
            <v>雷诺CLIO1.2</v>
          </cell>
          <cell r="H188">
            <v>29</v>
          </cell>
          <cell r="I188">
            <v>28</v>
          </cell>
          <cell r="J188">
            <v>27</v>
          </cell>
          <cell r="K188">
            <v>26</v>
          </cell>
          <cell r="L188">
            <v>25</v>
          </cell>
          <cell r="M188">
            <v>24</v>
          </cell>
        </row>
        <row r="189">
          <cell r="A189" t="str">
            <v>DQ9004A</v>
          </cell>
          <cell r="B189">
            <v>1364</v>
          </cell>
          <cell r="C189">
            <v>31.7593401327273</v>
          </cell>
          <cell r="D189">
            <v>0</v>
          </cell>
          <cell r="E189">
            <v>31.7593401327273</v>
          </cell>
          <cell r="F189" t="str">
            <v>自制</v>
          </cell>
          <cell r="G189" t="str">
            <v>风度A33</v>
          </cell>
          <cell r="H189">
            <v>43</v>
          </cell>
          <cell r="I189">
            <v>42</v>
          </cell>
          <cell r="J189">
            <v>40</v>
          </cell>
          <cell r="K189">
            <v>39</v>
          </cell>
          <cell r="L189">
            <v>37</v>
          </cell>
          <cell r="M189">
            <v>35</v>
          </cell>
        </row>
        <row r="190">
          <cell r="A190" t="str">
            <v>DQ910835</v>
          </cell>
          <cell r="B190">
            <v>1362</v>
          </cell>
          <cell r="C190">
            <v>28.0766150654545</v>
          </cell>
          <cell r="D190">
            <v>0</v>
          </cell>
          <cell r="E190">
            <v>28.0766150654545</v>
          </cell>
          <cell r="F190" t="str">
            <v>自制</v>
          </cell>
          <cell r="G190" t="str">
            <v>丰田02235</v>
          </cell>
          <cell r="H190">
            <v>38</v>
          </cell>
          <cell r="I190">
            <v>37</v>
          </cell>
          <cell r="J190">
            <v>36</v>
          </cell>
          <cell r="K190">
            <v>34</v>
          </cell>
          <cell r="L190">
            <v>33</v>
          </cell>
          <cell r="M190">
            <v>31</v>
          </cell>
        </row>
        <row r="191">
          <cell r="A191" t="str">
            <v>DQ6204</v>
          </cell>
          <cell r="B191">
            <v>1333</v>
          </cell>
          <cell r="C191">
            <v>26.3800542575758</v>
          </cell>
          <cell r="D191">
            <v>0</v>
          </cell>
          <cell r="E191">
            <v>26.3800542575758</v>
          </cell>
          <cell r="F191" t="str">
            <v>自制</v>
          </cell>
          <cell r="G191" t="str">
            <v>别克君威 GL8商务车</v>
          </cell>
          <cell r="H191">
            <v>36</v>
          </cell>
          <cell r="I191">
            <v>35</v>
          </cell>
          <cell r="J191">
            <v>33</v>
          </cell>
          <cell r="K191">
            <v>32</v>
          </cell>
          <cell r="L191">
            <v>31</v>
          </cell>
          <cell r="M191">
            <v>30</v>
          </cell>
        </row>
        <row r="192">
          <cell r="A192" t="str">
            <v>DQ9003B4</v>
          </cell>
          <cell r="B192">
            <v>1324</v>
          </cell>
          <cell r="C192">
            <v>27.1591989854545</v>
          </cell>
          <cell r="D192">
            <v>0</v>
          </cell>
          <cell r="E192">
            <v>27.1591989854545</v>
          </cell>
          <cell r="F192" t="str">
            <v>自制</v>
          </cell>
          <cell r="G192" t="str">
            <v>SM7</v>
          </cell>
          <cell r="H192">
            <v>37</v>
          </cell>
          <cell r="I192">
            <v>36</v>
          </cell>
          <cell r="J192">
            <v>34</v>
          </cell>
          <cell r="K192">
            <v>33</v>
          </cell>
          <cell r="L192">
            <v>32</v>
          </cell>
          <cell r="M192">
            <v>30</v>
          </cell>
        </row>
        <row r="193">
          <cell r="A193" t="str">
            <v>DQ9007F1</v>
          </cell>
          <cell r="B193">
            <v>1301</v>
          </cell>
          <cell r="C193">
            <v>32.0257277954546</v>
          </cell>
          <cell r="D193">
            <v>0</v>
          </cell>
          <cell r="E193">
            <v>32.0257277954546</v>
          </cell>
          <cell r="F193" t="str">
            <v>自制</v>
          </cell>
          <cell r="G193" t="str">
            <v>起亚K3 1.5L</v>
          </cell>
          <cell r="H193">
            <v>44</v>
          </cell>
          <cell r="I193">
            <v>42</v>
          </cell>
          <cell r="J193">
            <v>41</v>
          </cell>
          <cell r="K193">
            <v>39</v>
          </cell>
          <cell r="L193">
            <v>37</v>
          </cell>
          <cell r="M193">
            <v>36</v>
          </cell>
        </row>
        <row r="194">
          <cell r="A194" t="str">
            <v>DQ9039A1</v>
          </cell>
          <cell r="B194">
            <v>1275</v>
          </cell>
          <cell r="C194">
            <v>23.6321968787879</v>
          </cell>
          <cell r="D194">
            <v>0</v>
          </cell>
          <cell r="E194">
            <v>23.6321968787879</v>
          </cell>
          <cell r="F194" t="str">
            <v>自制</v>
          </cell>
          <cell r="G194" t="str">
            <v>五菱宏光 1.2L</v>
          </cell>
          <cell r="H194">
            <v>32</v>
          </cell>
          <cell r="I194">
            <v>31</v>
          </cell>
          <cell r="J194">
            <v>30</v>
          </cell>
          <cell r="K194">
            <v>29</v>
          </cell>
          <cell r="L194">
            <v>28</v>
          </cell>
          <cell r="M194">
            <v>26</v>
          </cell>
        </row>
        <row r="195">
          <cell r="A195" t="str">
            <v>DQ9130E2</v>
          </cell>
          <cell r="B195">
            <v>1256</v>
          </cell>
          <cell r="C195">
            <v>22.4379756527273</v>
          </cell>
          <cell r="D195">
            <v>0</v>
          </cell>
          <cell r="E195">
            <v>22.4379756527273</v>
          </cell>
          <cell r="F195" t="str">
            <v>自制</v>
          </cell>
          <cell r="G195" t="str">
            <v>福特F150</v>
          </cell>
          <cell r="H195">
            <v>31</v>
          </cell>
          <cell r="I195">
            <v>30</v>
          </cell>
          <cell r="J195">
            <v>29</v>
          </cell>
          <cell r="K195">
            <v>27</v>
          </cell>
          <cell r="L195">
            <v>26</v>
          </cell>
          <cell r="M195">
            <v>25</v>
          </cell>
        </row>
        <row r="196">
          <cell r="A196" t="str">
            <v>DQ9005E</v>
          </cell>
          <cell r="B196">
            <v>1244</v>
          </cell>
          <cell r="C196">
            <v>15.8762002144545</v>
          </cell>
          <cell r="D196">
            <v>0</v>
          </cell>
          <cell r="E196">
            <v>15.8762002144545</v>
          </cell>
          <cell r="F196" t="str">
            <v>自制</v>
          </cell>
          <cell r="G196" t="str">
            <v>福特翼虎</v>
          </cell>
          <cell r="H196">
            <v>22</v>
          </cell>
          <cell r="I196">
            <v>21</v>
          </cell>
          <cell r="J196">
            <v>20</v>
          </cell>
          <cell r="K196">
            <v>20</v>
          </cell>
          <cell r="L196">
            <v>19</v>
          </cell>
          <cell r="M196">
            <v>18</v>
          </cell>
        </row>
        <row r="197">
          <cell r="A197" t="str">
            <v>DQ9059A1</v>
          </cell>
          <cell r="B197">
            <v>1235</v>
          </cell>
          <cell r="C197">
            <v>23.1338780154545</v>
          </cell>
          <cell r="D197">
            <v>0</v>
          </cell>
          <cell r="E197">
            <v>23.1338780154545</v>
          </cell>
          <cell r="F197" t="str">
            <v>自制</v>
          </cell>
          <cell r="G197" t="str">
            <v>北京汽车</v>
          </cell>
          <cell r="H197">
            <v>32</v>
          </cell>
          <cell r="I197">
            <v>31</v>
          </cell>
          <cell r="J197">
            <v>29</v>
          </cell>
          <cell r="K197">
            <v>28</v>
          </cell>
          <cell r="L197">
            <v>27</v>
          </cell>
          <cell r="M197">
            <v>26</v>
          </cell>
        </row>
        <row r="198">
          <cell r="A198" t="str">
            <v>DQ910820</v>
          </cell>
          <cell r="B198">
            <v>1208</v>
          </cell>
          <cell r="C198">
            <v>35.6602474927273</v>
          </cell>
          <cell r="D198">
            <v>0</v>
          </cell>
          <cell r="E198">
            <v>35.6602474927273</v>
          </cell>
          <cell r="F198" t="str">
            <v>自制</v>
          </cell>
          <cell r="G198" t="str">
            <v>一汽森雅</v>
          </cell>
          <cell r="H198">
            <v>49</v>
          </cell>
          <cell r="I198">
            <v>47</v>
          </cell>
          <cell r="J198">
            <v>45</v>
          </cell>
          <cell r="K198">
            <v>43</v>
          </cell>
          <cell r="L198">
            <v>42</v>
          </cell>
          <cell r="M198">
            <v>40</v>
          </cell>
        </row>
        <row r="199">
          <cell r="A199" t="str">
            <v>DQ9037C1</v>
          </cell>
          <cell r="B199">
            <v>1202</v>
          </cell>
          <cell r="C199">
            <v>29.2355676621212</v>
          </cell>
          <cell r="D199">
            <v>0</v>
          </cell>
          <cell r="E199">
            <v>29.2355676621212</v>
          </cell>
          <cell r="F199" t="str">
            <v>自制</v>
          </cell>
          <cell r="G199" t="str">
            <v>哈弗H6蓝标1.5T</v>
          </cell>
          <cell r="H199">
            <v>40</v>
          </cell>
          <cell r="I199">
            <v>39</v>
          </cell>
          <cell r="J199">
            <v>37</v>
          </cell>
          <cell r="K199">
            <v>36</v>
          </cell>
          <cell r="L199">
            <v>34</v>
          </cell>
          <cell r="M199">
            <v>33</v>
          </cell>
        </row>
        <row r="200">
          <cell r="A200" t="str">
            <v>DQ9045E1</v>
          </cell>
          <cell r="B200">
            <v>1199</v>
          </cell>
          <cell r="C200">
            <v>32.4060856854545</v>
          </cell>
          <cell r="D200">
            <v>0</v>
          </cell>
          <cell r="E200">
            <v>32.4060856854545</v>
          </cell>
          <cell r="F200" t="str">
            <v>自制</v>
          </cell>
          <cell r="G200" t="str">
            <v>斯巴鲁XV 2.0L</v>
          </cell>
          <cell r="H200">
            <v>44</v>
          </cell>
          <cell r="I200">
            <v>43</v>
          </cell>
          <cell r="J200">
            <v>41</v>
          </cell>
          <cell r="K200">
            <v>39</v>
          </cell>
          <cell r="L200">
            <v>38</v>
          </cell>
          <cell r="M200">
            <v>36</v>
          </cell>
        </row>
        <row r="201">
          <cell r="A201" t="str">
            <v>DQ9101S1</v>
          </cell>
          <cell r="B201">
            <v>1180</v>
          </cell>
          <cell r="C201">
            <v>17.5754527118182</v>
          </cell>
          <cell r="D201">
            <v>0</v>
          </cell>
          <cell r="E201">
            <v>17.5754527118182</v>
          </cell>
          <cell r="F201" t="str">
            <v>自制</v>
          </cell>
          <cell r="G201" t="str">
            <v>现代雅尊</v>
          </cell>
          <cell r="H201">
            <v>24</v>
          </cell>
          <cell r="I201">
            <v>23</v>
          </cell>
          <cell r="J201">
            <v>22</v>
          </cell>
          <cell r="K201">
            <v>22</v>
          </cell>
          <cell r="L201">
            <v>21</v>
          </cell>
          <cell r="M201">
            <v>20</v>
          </cell>
        </row>
        <row r="202">
          <cell r="A202" t="str">
            <v>DQ9003</v>
          </cell>
          <cell r="B202">
            <v>1151</v>
          </cell>
          <cell r="C202">
            <v>26.3426282634545</v>
          </cell>
          <cell r="D202">
            <v>0</v>
          </cell>
          <cell r="E202">
            <v>26.3426282634545</v>
          </cell>
          <cell r="F202" t="str">
            <v>自制</v>
          </cell>
          <cell r="G202" t="str">
            <v>红旗A4E</v>
          </cell>
          <cell r="H202">
            <v>36</v>
          </cell>
          <cell r="I202">
            <v>35</v>
          </cell>
          <cell r="J202">
            <v>33</v>
          </cell>
          <cell r="K202">
            <v>32</v>
          </cell>
          <cell r="L202">
            <v>31</v>
          </cell>
          <cell r="M202">
            <v>29</v>
          </cell>
        </row>
        <row r="203">
          <cell r="A203" t="str">
            <v>DQ9047A1</v>
          </cell>
          <cell r="B203">
            <v>1149</v>
          </cell>
          <cell r="C203">
            <v>23.2565847493939</v>
          </cell>
          <cell r="D203">
            <v>0</v>
          </cell>
          <cell r="E203">
            <v>23.2565847493939</v>
          </cell>
          <cell r="F203" t="str">
            <v>自制</v>
          </cell>
          <cell r="G203" t="str">
            <v>荣威大通 2.0T</v>
          </cell>
          <cell r="H203">
            <v>32</v>
          </cell>
          <cell r="I203">
            <v>31</v>
          </cell>
          <cell r="J203">
            <v>30</v>
          </cell>
          <cell r="K203">
            <v>28</v>
          </cell>
          <cell r="L203">
            <v>27</v>
          </cell>
          <cell r="M203">
            <v>26</v>
          </cell>
        </row>
        <row r="204">
          <cell r="A204" t="str">
            <v>DQ9039C1</v>
          </cell>
          <cell r="B204">
            <v>1144</v>
          </cell>
          <cell r="C204">
            <v>23.6273171127273</v>
          </cell>
          <cell r="D204">
            <v>0</v>
          </cell>
          <cell r="E204">
            <v>23.6273171127273</v>
          </cell>
          <cell r="F204" t="str">
            <v>自制</v>
          </cell>
          <cell r="G204" t="str">
            <v>宝骏1.5T</v>
          </cell>
          <cell r="H204">
            <v>32</v>
          </cell>
          <cell r="I204">
            <v>31</v>
          </cell>
          <cell r="J204">
            <v>30</v>
          </cell>
          <cell r="K204">
            <v>29</v>
          </cell>
          <cell r="L204">
            <v>28</v>
          </cell>
          <cell r="M204">
            <v>26</v>
          </cell>
        </row>
        <row r="205">
          <cell r="A205" t="str">
            <v>DQ9127A1</v>
          </cell>
          <cell r="B205">
            <v>1140</v>
          </cell>
          <cell r="C205">
            <v>30.7118493763596</v>
          </cell>
          <cell r="D205">
            <v>1.18533929090512</v>
          </cell>
          <cell r="E205">
            <v>29.5265100854545</v>
          </cell>
          <cell r="F205" t="str">
            <v>自制</v>
          </cell>
          <cell r="G205" t="str">
            <v>尼桑阳光N16</v>
          </cell>
          <cell r="H205">
            <v>42</v>
          </cell>
          <cell r="I205">
            <v>40</v>
          </cell>
          <cell r="J205">
            <v>39</v>
          </cell>
          <cell r="K205">
            <v>37</v>
          </cell>
          <cell r="L205">
            <v>36</v>
          </cell>
          <cell r="M205">
            <v>34</v>
          </cell>
        </row>
        <row r="206">
          <cell r="A206" t="str">
            <v>DQ6108</v>
          </cell>
          <cell r="B206">
            <v>1112</v>
          </cell>
          <cell r="C206">
            <v>28.2524815976131</v>
          </cell>
          <cell r="D206">
            <v>-0.810586993296</v>
          </cell>
          <cell r="E206">
            <v>29.0630685909091</v>
          </cell>
          <cell r="F206" t="str">
            <v>自制</v>
          </cell>
          <cell r="G206" t="str">
            <v>丰田8A</v>
          </cell>
          <cell r="H206">
            <v>39</v>
          </cell>
          <cell r="I206">
            <v>37</v>
          </cell>
          <cell r="J206">
            <v>36</v>
          </cell>
          <cell r="K206">
            <v>34</v>
          </cell>
          <cell r="L206">
            <v>33</v>
          </cell>
          <cell r="M206">
            <v>32</v>
          </cell>
        </row>
        <row r="207">
          <cell r="A207" t="str">
            <v>DQ9219A8</v>
          </cell>
          <cell r="B207">
            <v>1098</v>
          </cell>
          <cell r="C207">
            <v>20.4687968477273</v>
          </cell>
          <cell r="D207">
            <v>0</v>
          </cell>
          <cell r="E207">
            <v>20.4687968477273</v>
          </cell>
          <cell r="F207" t="str">
            <v>自制</v>
          </cell>
          <cell r="G207" t="str">
            <v>GS8 2.0T</v>
          </cell>
          <cell r="H207">
            <v>28</v>
          </cell>
          <cell r="I207">
            <v>27</v>
          </cell>
          <cell r="J207">
            <v>26</v>
          </cell>
          <cell r="K207">
            <v>25</v>
          </cell>
          <cell r="L207">
            <v>24</v>
          </cell>
          <cell r="M207">
            <v>23</v>
          </cell>
        </row>
        <row r="208">
          <cell r="A208" t="str">
            <v>DQ9040C3</v>
          </cell>
          <cell r="B208">
            <v>1092</v>
          </cell>
          <cell r="C208">
            <v>23.6957413487879</v>
          </cell>
          <cell r="D208">
            <v>0</v>
          </cell>
          <cell r="E208">
            <v>23.6957413487879</v>
          </cell>
          <cell r="F208" t="str">
            <v>自制</v>
          </cell>
          <cell r="G208" t="str">
            <v>海狮X30L</v>
          </cell>
          <cell r="H208">
            <v>32</v>
          </cell>
          <cell r="I208">
            <v>31</v>
          </cell>
          <cell r="J208">
            <v>30</v>
          </cell>
          <cell r="K208">
            <v>29</v>
          </cell>
          <cell r="L208">
            <v>28</v>
          </cell>
          <cell r="M208">
            <v>27</v>
          </cell>
        </row>
        <row r="209">
          <cell r="A209" t="str">
            <v>DQ9010G1</v>
          </cell>
          <cell r="B209">
            <v>1086</v>
          </cell>
          <cell r="C209">
            <v>32.0582406054545</v>
          </cell>
          <cell r="D209">
            <v>0</v>
          </cell>
          <cell r="E209">
            <v>32.0582406054545</v>
          </cell>
          <cell r="F209" t="str">
            <v>自制</v>
          </cell>
          <cell r="G209" t="str">
            <v>本田锋范</v>
          </cell>
          <cell r="H209">
            <v>44</v>
          </cell>
          <cell r="I209">
            <v>42</v>
          </cell>
          <cell r="J209">
            <v>41</v>
          </cell>
          <cell r="K209">
            <v>39</v>
          </cell>
          <cell r="L209">
            <v>37</v>
          </cell>
          <cell r="M209">
            <v>36</v>
          </cell>
        </row>
        <row r="210">
          <cell r="A210" t="str">
            <v>DQ9216</v>
          </cell>
          <cell r="B210">
            <v>1085</v>
          </cell>
          <cell r="C210">
            <v>21.7380668827273</v>
          </cell>
          <cell r="D210">
            <v>0</v>
          </cell>
          <cell r="E210">
            <v>21.7380668827273</v>
          </cell>
          <cell r="F210" t="str">
            <v>自制</v>
          </cell>
          <cell r="G210" t="str">
            <v>荣威550 1.8T黑杆</v>
          </cell>
          <cell r="H210">
            <v>30</v>
          </cell>
          <cell r="I210">
            <v>29</v>
          </cell>
          <cell r="J210">
            <v>28</v>
          </cell>
          <cell r="K210">
            <v>27</v>
          </cell>
          <cell r="L210">
            <v>25</v>
          </cell>
          <cell r="M210">
            <v>24</v>
          </cell>
        </row>
        <row r="211">
          <cell r="A211" t="str">
            <v>DQ9132F1</v>
          </cell>
          <cell r="B211">
            <v>1076</v>
          </cell>
          <cell r="C211">
            <v>30.9490914660606</v>
          </cell>
          <cell r="D211">
            <v>0</v>
          </cell>
          <cell r="E211">
            <v>30.9490914660606</v>
          </cell>
          <cell r="F211" t="str">
            <v>自制</v>
          </cell>
          <cell r="G211" t="str">
            <v>大发</v>
          </cell>
          <cell r="H211">
            <v>42</v>
          </cell>
          <cell r="I211">
            <v>41</v>
          </cell>
          <cell r="J211">
            <v>39</v>
          </cell>
          <cell r="K211">
            <v>38</v>
          </cell>
          <cell r="L211">
            <v>36</v>
          </cell>
          <cell r="M211">
            <v>35</v>
          </cell>
        </row>
        <row r="212">
          <cell r="A212" t="str">
            <v>DQ9219A6</v>
          </cell>
          <cell r="B212">
            <v>1074</v>
          </cell>
          <cell r="C212">
            <v>19.5200468477273</v>
          </cell>
          <cell r="D212">
            <v>0</v>
          </cell>
          <cell r="E212">
            <v>19.5200468477273</v>
          </cell>
          <cell r="F212" t="str">
            <v>自制</v>
          </cell>
          <cell r="G212" t="str">
            <v>长城哈弗 H6 1.5T 14款</v>
          </cell>
          <cell r="H212">
            <v>27</v>
          </cell>
          <cell r="I212">
            <v>26</v>
          </cell>
          <cell r="J212">
            <v>25</v>
          </cell>
          <cell r="K212">
            <v>24</v>
          </cell>
          <cell r="L212">
            <v>23</v>
          </cell>
          <cell r="M212">
            <v>22</v>
          </cell>
        </row>
        <row r="213">
          <cell r="A213" t="str">
            <v>DQ9036A1</v>
          </cell>
          <cell r="B213">
            <v>1057</v>
          </cell>
          <cell r="C213">
            <v>26.7439648387879</v>
          </cell>
          <cell r="D213">
            <v>0</v>
          </cell>
          <cell r="E213">
            <v>26.7439648387879</v>
          </cell>
          <cell r="F213" t="str">
            <v>自制</v>
          </cell>
          <cell r="G213" t="str">
            <v>菲亚特 飞翔 致悦 1.4T</v>
          </cell>
          <cell r="H213">
            <v>37</v>
          </cell>
          <cell r="I213">
            <v>35</v>
          </cell>
          <cell r="J213">
            <v>34</v>
          </cell>
          <cell r="K213">
            <v>33</v>
          </cell>
          <cell r="L213">
            <v>31</v>
          </cell>
          <cell r="M213">
            <v>30</v>
          </cell>
        </row>
        <row r="214">
          <cell r="A214" t="str">
            <v>DQ9010J1</v>
          </cell>
          <cell r="B214">
            <v>1053</v>
          </cell>
          <cell r="C214">
            <v>30.5933412993939</v>
          </cell>
          <cell r="D214">
            <v>0</v>
          </cell>
          <cell r="E214">
            <v>30.5933412993939</v>
          </cell>
          <cell r="F214" t="str">
            <v>自制</v>
          </cell>
          <cell r="G214" t="str">
            <v>14款飞度</v>
          </cell>
          <cell r="H214">
            <v>42</v>
          </cell>
          <cell r="I214">
            <v>40</v>
          </cell>
          <cell r="J214">
            <v>39</v>
          </cell>
          <cell r="K214">
            <v>37</v>
          </cell>
          <cell r="L214">
            <v>36</v>
          </cell>
          <cell r="M214">
            <v>34</v>
          </cell>
        </row>
        <row r="215">
          <cell r="A215" t="str">
            <v>DQ9076A1</v>
          </cell>
          <cell r="B215">
            <v>1036</v>
          </cell>
          <cell r="C215">
            <v>34.603497045743</v>
          </cell>
          <cell r="D215">
            <v>3.17976680028848</v>
          </cell>
          <cell r="E215">
            <v>31.4237302454545</v>
          </cell>
          <cell r="F215" t="str">
            <v>自制</v>
          </cell>
          <cell r="G215" t="str">
            <v>本田 LIFE 2009</v>
          </cell>
          <cell r="H215">
            <v>47</v>
          </cell>
          <cell r="I215">
            <v>45</v>
          </cell>
          <cell r="J215">
            <v>44</v>
          </cell>
          <cell r="K215">
            <v>42</v>
          </cell>
          <cell r="L215">
            <v>40</v>
          </cell>
          <cell r="M215">
            <v>39</v>
          </cell>
        </row>
        <row r="216">
          <cell r="A216" t="str">
            <v>DQ9025J1</v>
          </cell>
          <cell r="B216">
            <v>1020</v>
          </cell>
          <cell r="C216">
            <v>51.9007735514116</v>
          </cell>
          <cell r="D216">
            <v>15.4986363686843</v>
          </cell>
          <cell r="E216">
            <v>36.4021371827273</v>
          </cell>
          <cell r="F216" t="str">
            <v>自制</v>
          </cell>
          <cell r="G216" t="str">
            <v>奔驰E260</v>
          </cell>
          <cell r="H216">
            <v>71</v>
          </cell>
          <cell r="I216">
            <v>68</v>
          </cell>
          <cell r="J216">
            <v>65</v>
          </cell>
          <cell r="K216">
            <v>63</v>
          </cell>
          <cell r="L216">
            <v>60</v>
          </cell>
          <cell r="M216">
            <v>58</v>
          </cell>
        </row>
        <row r="217">
          <cell r="A217" t="str">
            <v>DQ9005L1</v>
          </cell>
          <cell r="B217">
            <v>1019</v>
          </cell>
          <cell r="C217">
            <v>29.6017288427273</v>
          </cell>
          <cell r="D217">
            <v>0</v>
          </cell>
          <cell r="E217">
            <v>29.6017288427273</v>
          </cell>
          <cell r="F217" t="str">
            <v>自制</v>
          </cell>
          <cell r="G217" t="str">
            <v>福特翼博1.0T</v>
          </cell>
          <cell r="H217">
            <v>40</v>
          </cell>
          <cell r="I217">
            <v>39</v>
          </cell>
          <cell r="J217">
            <v>38</v>
          </cell>
          <cell r="K217">
            <v>36</v>
          </cell>
          <cell r="L217">
            <v>35</v>
          </cell>
          <cell r="M217">
            <v>33</v>
          </cell>
        </row>
        <row r="218">
          <cell r="A218" t="str">
            <v>DQ9153A3</v>
          </cell>
          <cell r="B218">
            <v>1002</v>
          </cell>
          <cell r="C218">
            <v>21.0305862784848</v>
          </cell>
          <cell r="D218">
            <v>0</v>
          </cell>
          <cell r="E218">
            <v>21.0305862784848</v>
          </cell>
          <cell r="F218" t="str">
            <v>自制</v>
          </cell>
          <cell r="G218" t="str">
            <v>长丰猎豹</v>
          </cell>
          <cell r="H218">
            <v>29</v>
          </cell>
          <cell r="I218">
            <v>28</v>
          </cell>
          <cell r="J218">
            <v>27</v>
          </cell>
          <cell r="K218">
            <v>26</v>
          </cell>
          <cell r="L218">
            <v>25</v>
          </cell>
          <cell r="M218">
            <v>24</v>
          </cell>
        </row>
        <row r="219">
          <cell r="A219" t="str">
            <v>DQ9003B2</v>
          </cell>
          <cell r="B219">
            <v>997</v>
          </cell>
          <cell r="C219">
            <v>27.3801482634545</v>
          </cell>
          <cell r="D219">
            <v>0</v>
          </cell>
          <cell r="E219">
            <v>27.3801482634545</v>
          </cell>
          <cell r="F219" t="str">
            <v>自制</v>
          </cell>
          <cell r="G219" t="str">
            <v>天籁侧插</v>
          </cell>
          <cell r="H219">
            <v>37</v>
          </cell>
          <cell r="I219">
            <v>36</v>
          </cell>
          <cell r="J219">
            <v>35</v>
          </cell>
          <cell r="K219">
            <v>33</v>
          </cell>
          <cell r="L219">
            <v>32</v>
          </cell>
          <cell r="M219">
            <v>31</v>
          </cell>
        </row>
        <row r="220">
          <cell r="A220" t="str">
            <v>DQ9113D1</v>
          </cell>
          <cell r="B220">
            <v>979</v>
          </cell>
          <cell r="C220">
            <v>24.8242948091515</v>
          </cell>
          <cell r="D220">
            <v>0</v>
          </cell>
          <cell r="E220">
            <v>24.8242948091515</v>
          </cell>
          <cell r="F220" t="str">
            <v>自制</v>
          </cell>
          <cell r="G220" t="str">
            <v>4G69</v>
          </cell>
          <cell r="H220">
            <v>34</v>
          </cell>
          <cell r="I220">
            <v>33</v>
          </cell>
          <cell r="J220">
            <v>32</v>
          </cell>
          <cell r="K220">
            <v>30</v>
          </cell>
          <cell r="L220">
            <v>29</v>
          </cell>
          <cell r="M220">
            <v>28</v>
          </cell>
        </row>
        <row r="221">
          <cell r="A221" t="str">
            <v>DQ9003A4</v>
          </cell>
          <cell r="B221">
            <v>975</v>
          </cell>
          <cell r="C221">
            <v>25.6533997454545</v>
          </cell>
          <cell r="D221">
            <v>0</v>
          </cell>
          <cell r="E221">
            <v>25.6533997454545</v>
          </cell>
          <cell r="F221" t="str">
            <v>自制</v>
          </cell>
          <cell r="G221" t="str">
            <v>日立/马自达3</v>
          </cell>
          <cell r="H221">
            <v>35</v>
          </cell>
          <cell r="I221">
            <v>34</v>
          </cell>
          <cell r="J221">
            <v>33</v>
          </cell>
          <cell r="K221">
            <v>31</v>
          </cell>
          <cell r="L221">
            <v>30</v>
          </cell>
          <cell r="M221">
            <v>29</v>
          </cell>
        </row>
        <row r="222">
          <cell r="A222" t="str">
            <v>DQ9050A4</v>
          </cell>
          <cell r="B222">
            <v>972</v>
          </cell>
          <cell r="C222">
            <v>34.4181337976345</v>
          </cell>
          <cell r="D222">
            <v>1.81421564218001</v>
          </cell>
          <cell r="E222">
            <v>32.6039181554545</v>
          </cell>
          <cell r="F222" t="str">
            <v>自制</v>
          </cell>
          <cell r="G222" t="str">
            <v>铃木雨燕SX4 1.4T</v>
          </cell>
          <cell r="H222">
            <v>47</v>
          </cell>
          <cell r="I222">
            <v>45</v>
          </cell>
          <cell r="J222">
            <v>44</v>
          </cell>
          <cell r="K222">
            <v>42</v>
          </cell>
          <cell r="L222">
            <v>40</v>
          </cell>
          <cell r="M222">
            <v>38</v>
          </cell>
        </row>
        <row r="223">
          <cell r="A223" t="str">
            <v>DQ9036F1</v>
          </cell>
          <cell r="B223">
            <v>968</v>
          </cell>
          <cell r="C223">
            <v>26.1764515054545</v>
          </cell>
          <cell r="D223">
            <v>0</v>
          </cell>
          <cell r="E223">
            <v>26.1764515054545</v>
          </cell>
          <cell r="F223" t="str">
            <v>自制</v>
          </cell>
          <cell r="G223" t="str">
            <v>指南者1.4T</v>
          </cell>
          <cell r="H223">
            <v>36</v>
          </cell>
          <cell r="I223">
            <v>35</v>
          </cell>
          <cell r="J223">
            <v>33</v>
          </cell>
          <cell r="K223">
            <v>32</v>
          </cell>
          <cell r="L223">
            <v>31</v>
          </cell>
          <cell r="M223">
            <v>29</v>
          </cell>
        </row>
        <row r="224">
          <cell r="A224" t="str">
            <v>DQ9037C5</v>
          </cell>
          <cell r="B224">
            <v>953</v>
          </cell>
          <cell r="C224">
            <v>29.1211676621212</v>
          </cell>
          <cell r="D224">
            <v>0</v>
          </cell>
          <cell r="E224">
            <v>29.1211676621212</v>
          </cell>
          <cell r="F224" t="str">
            <v>自制</v>
          </cell>
          <cell r="G224" t="str">
            <v>吉利博越</v>
          </cell>
          <cell r="H224">
            <v>40</v>
          </cell>
          <cell r="I224">
            <v>38</v>
          </cell>
          <cell r="J224">
            <v>37</v>
          </cell>
          <cell r="K224">
            <v>35</v>
          </cell>
          <cell r="L224">
            <v>34</v>
          </cell>
          <cell r="M224">
            <v>33</v>
          </cell>
        </row>
        <row r="225">
          <cell r="A225" t="str">
            <v>DQ9116B</v>
          </cell>
          <cell r="B225">
            <v>936</v>
          </cell>
          <cell r="C225">
            <v>27.4777047654546</v>
          </cell>
          <cell r="D225">
            <v>0</v>
          </cell>
          <cell r="E225">
            <v>27.4777047654546</v>
          </cell>
          <cell r="F225" t="str">
            <v>自制</v>
          </cell>
          <cell r="G225" t="str">
            <v>473QB发动机</v>
          </cell>
          <cell r="H225">
            <v>38</v>
          </cell>
          <cell r="I225">
            <v>36</v>
          </cell>
          <cell r="J225">
            <v>35</v>
          </cell>
          <cell r="K225">
            <v>33</v>
          </cell>
          <cell r="L225">
            <v>32</v>
          </cell>
          <cell r="M225">
            <v>31</v>
          </cell>
        </row>
        <row r="226">
          <cell r="A226" t="str">
            <v>DQ9007D1</v>
          </cell>
          <cell r="B226">
            <v>925</v>
          </cell>
          <cell r="C226">
            <v>31.7215487427273</v>
          </cell>
          <cell r="D226">
            <v>0</v>
          </cell>
          <cell r="E226">
            <v>31.7215487427273</v>
          </cell>
          <cell r="F226" t="str">
            <v>自制</v>
          </cell>
          <cell r="G226" t="str">
            <v>现代名图1.6T</v>
          </cell>
          <cell r="H226">
            <v>43</v>
          </cell>
          <cell r="I226">
            <v>42</v>
          </cell>
          <cell r="J226">
            <v>40</v>
          </cell>
          <cell r="K226">
            <v>39</v>
          </cell>
          <cell r="L226">
            <v>37</v>
          </cell>
          <cell r="M226">
            <v>35</v>
          </cell>
        </row>
        <row r="227">
          <cell r="A227" t="str">
            <v>DQ9402A3</v>
          </cell>
          <cell r="B227">
            <v>918</v>
          </cell>
          <cell r="C227">
            <v>119.99988</v>
          </cell>
          <cell r="D227">
            <v>-0.120120000000005</v>
          </cell>
          <cell r="E227">
            <v>120.12</v>
          </cell>
          <cell r="F227" t="str">
            <v>调货</v>
          </cell>
          <cell r="G227" t="str">
            <v>标致2.0L 新款</v>
          </cell>
          <cell r="H227">
            <v>143</v>
          </cell>
          <cell r="I227">
            <v>141</v>
          </cell>
          <cell r="J227">
            <v>138</v>
          </cell>
          <cell r="K227">
            <v>136</v>
          </cell>
          <cell r="L227">
            <v>135</v>
          </cell>
          <cell r="M227">
            <v>132</v>
          </cell>
        </row>
        <row r="228">
          <cell r="A228" t="str">
            <v>DQ9007G1</v>
          </cell>
          <cell r="B228">
            <v>911</v>
          </cell>
          <cell r="C228">
            <v>31.3052647427273</v>
          </cell>
          <cell r="D228">
            <v>0</v>
          </cell>
          <cell r="E228">
            <v>31.3052647427273</v>
          </cell>
          <cell r="F228" t="str">
            <v>自制</v>
          </cell>
          <cell r="G228" t="str">
            <v>现代04110</v>
          </cell>
          <cell r="H228">
            <v>43</v>
          </cell>
          <cell r="I228">
            <v>41</v>
          </cell>
          <cell r="J228">
            <v>40</v>
          </cell>
          <cell r="K228">
            <v>38</v>
          </cell>
          <cell r="L228">
            <v>37</v>
          </cell>
          <cell r="M228">
            <v>35</v>
          </cell>
        </row>
        <row r="229">
          <cell r="A229" t="str">
            <v>DQ9045A1</v>
          </cell>
          <cell r="B229">
            <v>899</v>
          </cell>
          <cell r="C229">
            <v>30.8054559621212</v>
          </cell>
          <cell r="D229">
            <v>0</v>
          </cell>
          <cell r="E229">
            <v>30.8054559621212</v>
          </cell>
          <cell r="F229" t="str">
            <v>自制</v>
          </cell>
          <cell r="G229" t="str">
            <v>斯巴鲁森林人</v>
          </cell>
          <cell r="H229">
            <v>42</v>
          </cell>
          <cell r="I229">
            <v>41</v>
          </cell>
          <cell r="J229">
            <v>39</v>
          </cell>
          <cell r="K229">
            <v>37</v>
          </cell>
          <cell r="L229">
            <v>36</v>
          </cell>
          <cell r="M229">
            <v>34</v>
          </cell>
        </row>
        <row r="230">
          <cell r="A230" t="str">
            <v>DQ9107E1</v>
          </cell>
          <cell r="B230">
            <v>898</v>
          </cell>
          <cell r="C230">
            <v>17.8526587784848</v>
          </cell>
          <cell r="D230">
            <v>0</v>
          </cell>
          <cell r="E230">
            <v>17.8526587784848</v>
          </cell>
          <cell r="F230" t="str">
            <v>自制</v>
          </cell>
          <cell r="G230" t="str">
            <v>东南汽车1.5T 东风景逸1.5T</v>
          </cell>
          <cell r="H230">
            <v>25</v>
          </cell>
          <cell r="I230">
            <v>24</v>
          </cell>
          <cell r="J230">
            <v>23</v>
          </cell>
          <cell r="K230">
            <v>22</v>
          </cell>
          <cell r="L230">
            <v>21</v>
          </cell>
          <cell r="M230">
            <v>20</v>
          </cell>
        </row>
        <row r="231">
          <cell r="A231" t="str">
            <v>DQ6202</v>
          </cell>
          <cell r="B231">
            <v>894</v>
          </cell>
          <cell r="C231">
            <v>63.16</v>
          </cell>
          <cell r="D231">
            <v>0</v>
          </cell>
          <cell r="E231">
            <v>63.16</v>
          </cell>
          <cell r="F231" t="str">
            <v>调货</v>
          </cell>
          <cell r="G231" t="str">
            <v>索纳塔1.8</v>
          </cell>
          <cell r="H231">
            <v>76</v>
          </cell>
          <cell r="I231">
            <v>74</v>
          </cell>
          <cell r="J231">
            <v>73</v>
          </cell>
          <cell r="K231">
            <v>72</v>
          </cell>
          <cell r="L231">
            <v>71</v>
          </cell>
          <cell r="M231">
            <v>70</v>
          </cell>
        </row>
        <row r="232">
          <cell r="A232" t="str">
            <v>DQ9126A2</v>
          </cell>
          <cell r="B232">
            <v>891</v>
          </cell>
          <cell r="C232">
            <v>31.4979583204545</v>
          </cell>
          <cell r="D232">
            <v>0</v>
          </cell>
          <cell r="E232">
            <v>31.4979583204545</v>
          </cell>
          <cell r="F232" t="str">
            <v>自制</v>
          </cell>
          <cell r="G232" t="str">
            <v>路虎风神者</v>
          </cell>
          <cell r="H232">
            <v>43</v>
          </cell>
          <cell r="I232">
            <v>41</v>
          </cell>
          <cell r="J232">
            <v>40</v>
          </cell>
          <cell r="K232">
            <v>38</v>
          </cell>
          <cell r="L232">
            <v>37</v>
          </cell>
          <cell r="M232">
            <v>35</v>
          </cell>
        </row>
        <row r="233">
          <cell r="A233" t="str">
            <v>DQ9133A1</v>
          </cell>
          <cell r="B233">
            <v>887</v>
          </cell>
          <cell r="C233">
            <v>50.5575</v>
          </cell>
          <cell r="D233">
            <v>0</v>
          </cell>
          <cell r="E233">
            <v>50.5575</v>
          </cell>
          <cell r="F233" t="str">
            <v>调货</v>
          </cell>
          <cell r="G233" t="str">
            <v>保时捷卡宴</v>
          </cell>
          <cell r="H233">
            <v>61</v>
          </cell>
          <cell r="I233">
            <v>60</v>
          </cell>
          <cell r="J233">
            <v>59</v>
          </cell>
          <cell r="K233">
            <v>58</v>
          </cell>
          <cell r="L233">
            <v>57</v>
          </cell>
          <cell r="M233">
            <v>56</v>
          </cell>
        </row>
        <row r="234">
          <cell r="A234" t="str">
            <v>DQ9003H7</v>
          </cell>
          <cell r="B234">
            <v>885</v>
          </cell>
          <cell r="C234">
            <v>28.1547117454545</v>
          </cell>
          <cell r="D234">
            <v>0</v>
          </cell>
          <cell r="E234">
            <v>28.1547117454545</v>
          </cell>
          <cell r="F234" t="str">
            <v>自制</v>
          </cell>
          <cell r="G234" t="str">
            <v>日产途乐</v>
          </cell>
          <cell r="H234">
            <v>39</v>
          </cell>
          <cell r="I234">
            <v>37</v>
          </cell>
          <cell r="J234">
            <v>36</v>
          </cell>
          <cell r="K234">
            <v>34</v>
          </cell>
          <cell r="L234">
            <v>33</v>
          </cell>
          <cell r="M234">
            <v>31</v>
          </cell>
        </row>
        <row r="235">
          <cell r="A235" t="str">
            <v>DQ9021C</v>
          </cell>
          <cell r="B235">
            <v>875</v>
          </cell>
          <cell r="C235">
            <v>21.0086952854545</v>
          </cell>
          <cell r="D235">
            <v>0</v>
          </cell>
          <cell r="E235">
            <v>21.0086952854545</v>
          </cell>
          <cell r="F235" t="str">
            <v>自制</v>
          </cell>
          <cell r="G235" t="str">
            <v>广汽传祺</v>
          </cell>
          <cell r="H235">
            <v>29</v>
          </cell>
          <cell r="I235">
            <v>28</v>
          </cell>
          <cell r="J235">
            <v>27</v>
          </cell>
          <cell r="K235">
            <v>26</v>
          </cell>
          <cell r="L235">
            <v>25</v>
          </cell>
          <cell r="M235">
            <v>24</v>
          </cell>
        </row>
        <row r="236">
          <cell r="A236" t="str">
            <v>DQ9113G1</v>
          </cell>
          <cell r="B236">
            <v>872</v>
          </cell>
          <cell r="C236">
            <v>30.2811605511515</v>
          </cell>
          <cell r="D236">
            <v>0</v>
          </cell>
          <cell r="E236">
            <v>30.2811605511515</v>
          </cell>
          <cell r="F236" t="str">
            <v>自制</v>
          </cell>
          <cell r="G236" t="str">
            <v>三菱蓝瑟</v>
          </cell>
          <cell r="H236">
            <v>41</v>
          </cell>
          <cell r="I236">
            <v>40</v>
          </cell>
          <cell r="J236">
            <v>38</v>
          </cell>
          <cell r="K236">
            <v>37</v>
          </cell>
          <cell r="L236">
            <v>35</v>
          </cell>
          <cell r="M236">
            <v>34</v>
          </cell>
        </row>
        <row r="237">
          <cell r="A237" t="str">
            <v>DQ9073A1</v>
          </cell>
          <cell r="B237">
            <v>843</v>
          </cell>
          <cell r="C237">
            <v>34.8552752727273</v>
          </cell>
          <cell r="D237">
            <v>0</v>
          </cell>
          <cell r="E237">
            <v>34.8552752727273</v>
          </cell>
          <cell r="F237" t="str">
            <v>自制</v>
          </cell>
          <cell r="G237" t="str">
            <v>雪佛兰SPARK 1.4L</v>
          </cell>
          <cell r="H237">
            <v>48</v>
          </cell>
          <cell r="I237">
            <v>46</v>
          </cell>
          <cell r="J237">
            <v>44</v>
          </cell>
          <cell r="K237">
            <v>42</v>
          </cell>
          <cell r="L237">
            <v>41</v>
          </cell>
          <cell r="M237">
            <v>39</v>
          </cell>
        </row>
        <row r="238">
          <cell r="A238" t="str">
            <v>DQ910845</v>
          </cell>
          <cell r="B238">
            <v>819</v>
          </cell>
          <cell r="C238">
            <v>25.1201448994545</v>
          </cell>
          <cell r="D238">
            <v>0</v>
          </cell>
          <cell r="E238">
            <v>25.1201448994545</v>
          </cell>
          <cell r="F238" t="str">
            <v>自制</v>
          </cell>
          <cell r="G238" t="str">
            <v>丰田02245</v>
          </cell>
          <cell r="H238">
            <v>34</v>
          </cell>
          <cell r="I238">
            <v>33</v>
          </cell>
          <cell r="J238">
            <v>32</v>
          </cell>
          <cell r="K238">
            <v>31</v>
          </cell>
          <cell r="L238">
            <v>29</v>
          </cell>
          <cell r="M238">
            <v>28</v>
          </cell>
        </row>
        <row r="239">
          <cell r="A239" t="str">
            <v>DQ9113D2</v>
          </cell>
          <cell r="B239">
            <v>811</v>
          </cell>
          <cell r="C239">
            <v>24.7496683011515</v>
          </cell>
          <cell r="D239">
            <v>0</v>
          </cell>
          <cell r="E239">
            <v>24.7496683011515</v>
          </cell>
          <cell r="F239" t="str">
            <v>自制</v>
          </cell>
          <cell r="G239" t="str">
            <v>4G63/69</v>
          </cell>
          <cell r="H239">
            <v>34</v>
          </cell>
          <cell r="I239">
            <v>33</v>
          </cell>
          <cell r="J239">
            <v>31</v>
          </cell>
          <cell r="K239">
            <v>30</v>
          </cell>
          <cell r="L239">
            <v>29</v>
          </cell>
          <cell r="M239">
            <v>28</v>
          </cell>
        </row>
        <row r="240">
          <cell r="A240" t="str">
            <v>DQ9035A1</v>
          </cell>
          <cell r="B240">
            <v>801</v>
          </cell>
          <cell r="C240">
            <v>31.6199002593939</v>
          </cell>
          <cell r="D240">
            <v>0</v>
          </cell>
          <cell r="E240">
            <v>31.6199002593939</v>
          </cell>
          <cell r="F240" t="str">
            <v>自制</v>
          </cell>
          <cell r="G240" t="str">
            <v>一汽奔腾B70</v>
          </cell>
          <cell r="H240">
            <v>43</v>
          </cell>
          <cell r="I240">
            <v>42</v>
          </cell>
          <cell r="J240">
            <v>40</v>
          </cell>
          <cell r="K240">
            <v>38</v>
          </cell>
          <cell r="L240">
            <v>37</v>
          </cell>
          <cell r="M240">
            <v>35</v>
          </cell>
        </row>
        <row r="241">
          <cell r="A241" t="str">
            <v>DQ9101Z</v>
          </cell>
          <cell r="B241">
            <v>800</v>
          </cell>
          <cell r="C241">
            <v>18.6547907846917</v>
          </cell>
          <cell r="D241">
            <v>0</v>
          </cell>
          <cell r="E241">
            <v>18.6547907846917</v>
          </cell>
          <cell r="F241" t="str">
            <v>自制</v>
          </cell>
          <cell r="G241" t="str">
            <v>新胜达 2.7L（三插）</v>
          </cell>
          <cell r="H241">
            <v>26</v>
          </cell>
          <cell r="I241">
            <v>25</v>
          </cell>
          <cell r="J241">
            <v>24</v>
          </cell>
          <cell r="K241">
            <v>23</v>
          </cell>
          <cell r="L241">
            <v>22</v>
          </cell>
          <cell r="M241">
            <v>21</v>
          </cell>
        </row>
        <row r="242">
          <cell r="A242" t="str">
            <v>DQ9217A</v>
          </cell>
          <cell r="B242">
            <v>789</v>
          </cell>
          <cell r="C242">
            <v>30.0845125727273</v>
          </cell>
          <cell r="D242">
            <v>0</v>
          </cell>
          <cell r="E242">
            <v>30.0845125727273</v>
          </cell>
          <cell r="F242" t="str">
            <v>自制</v>
          </cell>
          <cell r="G242" t="str">
            <v>海马 福美来1.8</v>
          </cell>
          <cell r="H242">
            <v>41</v>
          </cell>
          <cell r="I242">
            <v>40</v>
          </cell>
          <cell r="J242">
            <v>38</v>
          </cell>
          <cell r="K242">
            <v>37</v>
          </cell>
          <cell r="L242">
            <v>35</v>
          </cell>
          <cell r="M242">
            <v>34</v>
          </cell>
        </row>
        <row r="243">
          <cell r="A243" t="str">
            <v>DQ9025E1</v>
          </cell>
          <cell r="B243">
            <v>789</v>
          </cell>
          <cell r="C243">
            <v>84.6544402247191</v>
          </cell>
          <cell r="D243">
            <v>-3.1255597752809</v>
          </cell>
          <cell r="E243">
            <v>87.78</v>
          </cell>
          <cell r="F243" t="str">
            <v>调货</v>
          </cell>
          <cell r="G243" t="str">
            <v>奔驰A2769067900</v>
          </cell>
          <cell r="H243">
            <v>101</v>
          </cell>
          <cell r="I243">
            <v>100</v>
          </cell>
          <cell r="J243">
            <v>98</v>
          </cell>
          <cell r="K243">
            <v>96</v>
          </cell>
          <cell r="L243">
            <v>95</v>
          </cell>
          <cell r="M243">
            <v>94</v>
          </cell>
        </row>
        <row r="244">
          <cell r="A244" t="str">
            <v>DQ9016C1</v>
          </cell>
          <cell r="B244">
            <v>778</v>
          </cell>
          <cell r="C244">
            <v>41.58</v>
          </cell>
          <cell r="D244">
            <v>0</v>
          </cell>
          <cell r="E244">
            <v>41.58</v>
          </cell>
          <cell r="F244" t="str">
            <v>调货</v>
          </cell>
          <cell r="G244" t="str">
            <v>别克英朗1.0T</v>
          </cell>
          <cell r="H244">
            <v>50</v>
          </cell>
          <cell r="I244">
            <v>49</v>
          </cell>
          <cell r="J244">
            <v>48</v>
          </cell>
          <cell r="K244">
            <v>47</v>
          </cell>
          <cell r="L244">
            <v>47</v>
          </cell>
          <cell r="M244">
            <v>46</v>
          </cell>
        </row>
        <row r="245">
          <cell r="A245" t="str">
            <v>DQ9051A1</v>
          </cell>
          <cell r="B245">
            <v>771</v>
          </cell>
          <cell r="C245">
            <v>28.2609128656473</v>
          </cell>
          <cell r="D245">
            <v>5.42168558019285</v>
          </cell>
          <cell r="E245">
            <v>22.8392272854545</v>
          </cell>
          <cell r="F245" t="str">
            <v>自制</v>
          </cell>
          <cell r="G245" t="str">
            <v>双龙柯兰多</v>
          </cell>
          <cell r="H245">
            <v>39</v>
          </cell>
          <cell r="I245">
            <v>37</v>
          </cell>
          <cell r="J245">
            <v>36</v>
          </cell>
          <cell r="K245">
            <v>34</v>
          </cell>
          <cell r="L245">
            <v>33</v>
          </cell>
          <cell r="M245">
            <v>32</v>
          </cell>
        </row>
        <row r="246">
          <cell r="A246" t="str">
            <v>DQ9216A</v>
          </cell>
          <cell r="B246">
            <v>765</v>
          </cell>
          <cell r="C246">
            <v>21.6858168827273</v>
          </cell>
          <cell r="D246">
            <v>0</v>
          </cell>
          <cell r="E246">
            <v>21.6858168827273</v>
          </cell>
          <cell r="F246" t="str">
            <v>自制</v>
          </cell>
          <cell r="G246" t="str">
            <v>荣威550 1.8红杆</v>
          </cell>
          <cell r="H246">
            <v>30</v>
          </cell>
          <cell r="I246">
            <v>29</v>
          </cell>
          <cell r="J246">
            <v>28</v>
          </cell>
          <cell r="K246">
            <v>27</v>
          </cell>
          <cell r="L246">
            <v>25</v>
          </cell>
          <cell r="M246">
            <v>24</v>
          </cell>
        </row>
        <row r="247">
          <cell r="A247" t="str">
            <v>DQ9037C3</v>
          </cell>
          <cell r="B247">
            <v>759</v>
          </cell>
          <cell r="C247">
            <v>29.7003176621212</v>
          </cell>
          <cell r="D247">
            <v>0</v>
          </cell>
          <cell r="E247">
            <v>29.7003176621212</v>
          </cell>
          <cell r="F247" t="str">
            <v>自制</v>
          </cell>
          <cell r="G247" t="str">
            <v>东风小康</v>
          </cell>
          <cell r="H247">
            <v>41</v>
          </cell>
          <cell r="I247">
            <v>39</v>
          </cell>
          <cell r="J247">
            <v>38</v>
          </cell>
          <cell r="K247">
            <v>36</v>
          </cell>
          <cell r="L247">
            <v>35</v>
          </cell>
          <cell r="M247">
            <v>33</v>
          </cell>
        </row>
        <row r="248">
          <cell r="A248" t="str">
            <v>DQ9103G1</v>
          </cell>
          <cell r="B248">
            <v>752</v>
          </cell>
          <cell r="C248">
            <v>30.8298370254545</v>
          </cell>
          <cell r="D248">
            <v>0</v>
          </cell>
          <cell r="E248">
            <v>30.8298370254545</v>
          </cell>
          <cell r="F248" t="str">
            <v>自制</v>
          </cell>
          <cell r="G248" t="str">
            <v>奥迪 A4L 2.0T</v>
          </cell>
          <cell r="H248">
            <v>42</v>
          </cell>
          <cell r="I248">
            <v>41</v>
          </cell>
          <cell r="J248">
            <v>39</v>
          </cell>
          <cell r="K248">
            <v>37</v>
          </cell>
          <cell r="L248">
            <v>36</v>
          </cell>
          <cell r="M248">
            <v>34</v>
          </cell>
        </row>
        <row r="249">
          <cell r="A249" t="str">
            <v>DQ6406</v>
          </cell>
          <cell r="B249">
            <v>741</v>
          </cell>
          <cell r="C249">
            <v>34.2483418181818</v>
          </cell>
          <cell r="D249">
            <v>0</v>
          </cell>
          <cell r="E249">
            <v>34.2483418181818</v>
          </cell>
          <cell r="F249" t="str">
            <v>自制</v>
          </cell>
          <cell r="G249" t="str">
            <v>五菱之光 西门子系统</v>
          </cell>
          <cell r="H249">
            <v>47</v>
          </cell>
          <cell r="I249">
            <v>45</v>
          </cell>
          <cell r="J249">
            <v>43</v>
          </cell>
          <cell r="K249">
            <v>42</v>
          </cell>
          <cell r="L249">
            <v>40</v>
          </cell>
          <cell r="M249">
            <v>38</v>
          </cell>
        </row>
        <row r="250">
          <cell r="A250" t="str">
            <v>DQ9217</v>
          </cell>
          <cell r="B250">
            <v>732</v>
          </cell>
          <cell r="C250">
            <v>30.0113625727273</v>
          </cell>
          <cell r="D250">
            <v>0</v>
          </cell>
          <cell r="E250">
            <v>30.0113625727273</v>
          </cell>
          <cell r="F250" t="str">
            <v>自制</v>
          </cell>
          <cell r="G250" t="str">
            <v>海马福美来1.6</v>
          </cell>
          <cell r="H250">
            <v>41</v>
          </cell>
          <cell r="I250">
            <v>40</v>
          </cell>
          <cell r="J250">
            <v>38</v>
          </cell>
          <cell r="K250">
            <v>37</v>
          </cell>
          <cell r="L250">
            <v>35</v>
          </cell>
          <cell r="M250">
            <v>34</v>
          </cell>
        </row>
        <row r="251">
          <cell r="A251" t="str">
            <v>DQ9113F1</v>
          </cell>
          <cell r="B251">
            <v>731</v>
          </cell>
          <cell r="C251">
            <v>24.5214183011515</v>
          </cell>
          <cell r="D251">
            <v>0</v>
          </cell>
          <cell r="E251">
            <v>24.5214183011515</v>
          </cell>
          <cell r="F251" t="str">
            <v>自制</v>
          </cell>
          <cell r="G251" t="str">
            <v>三菱SMART</v>
          </cell>
          <cell r="H251">
            <v>34</v>
          </cell>
          <cell r="I251">
            <v>32</v>
          </cell>
          <cell r="J251">
            <v>31</v>
          </cell>
          <cell r="K251">
            <v>30</v>
          </cell>
          <cell r="L251">
            <v>29</v>
          </cell>
          <cell r="M251">
            <v>27</v>
          </cell>
        </row>
        <row r="252">
          <cell r="A252" t="str">
            <v>DQ9103R</v>
          </cell>
          <cell r="B252">
            <v>712</v>
          </cell>
          <cell r="C252">
            <v>29.5470950118182</v>
          </cell>
          <cell r="D252">
            <v>0</v>
          </cell>
          <cell r="E252">
            <v>29.5470950118182</v>
          </cell>
          <cell r="F252" t="str">
            <v>自制</v>
          </cell>
          <cell r="G252" t="str">
            <v>奥迪3.0 红头</v>
          </cell>
          <cell r="H252">
            <v>40</v>
          </cell>
          <cell r="I252">
            <v>39</v>
          </cell>
          <cell r="J252">
            <v>37</v>
          </cell>
          <cell r="K252">
            <v>36</v>
          </cell>
          <cell r="L252">
            <v>34</v>
          </cell>
          <cell r="M252">
            <v>33</v>
          </cell>
        </row>
        <row r="253">
          <cell r="A253" t="str">
            <v>DQ9007M1</v>
          </cell>
          <cell r="B253">
            <v>705</v>
          </cell>
          <cell r="C253">
            <v>34.8359775454545</v>
          </cell>
          <cell r="D253">
            <v>0</v>
          </cell>
          <cell r="E253">
            <v>34.8359775454545</v>
          </cell>
          <cell r="F253" t="str">
            <v>自制</v>
          </cell>
          <cell r="G253" t="str">
            <v>现代伊兰特</v>
          </cell>
          <cell r="H253">
            <v>48</v>
          </cell>
          <cell r="I253">
            <v>46</v>
          </cell>
          <cell r="J253">
            <v>44</v>
          </cell>
          <cell r="K253">
            <v>42</v>
          </cell>
          <cell r="L253">
            <v>41</v>
          </cell>
          <cell r="M253">
            <v>39</v>
          </cell>
        </row>
        <row r="254">
          <cell r="A254" t="str">
            <v>DQ9037A1</v>
          </cell>
          <cell r="B254">
            <v>701</v>
          </cell>
          <cell r="C254">
            <v>29.1424191787879</v>
          </cell>
          <cell r="D254">
            <v>0</v>
          </cell>
          <cell r="E254">
            <v>29.1424191787879</v>
          </cell>
          <cell r="F254" t="str">
            <v>自制</v>
          </cell>
          <cell r="G254" t="str">
            <v>比亚迪476 (KRK)</v>
          </cell>
          <cell r="H254">
            <v>40</v>
          </cell>
          <cell r="I254">
            <v>38</v>
          </cell>
          <cell r="J254">
            <v>37</v>
          </cell>
          <cell r="K254">
            <v>35</v>
          </cell>
          <cell r="L254">
            <v>34</v>
          </cell>
          <cell r="M254">
            <v>33</v>
          </cell>
        </row>
        <row r="255">
          <cell r="A255" t="str">
            <v>DQ9035B1</v>
          </cell>
          <cell r="B255">
            <v>695</v>
          </cell>
          <cell r="C255">
            <v>34.7222274377972</v>
          </cell>
          <cell r="D255">
            <v>2.67149719234255</v>
          </cell>
          <cell r="E255">
            <v>32.0507302454546</v>
          </cell>
          <cell r="F255" t="str">
            <v>自制</v>
          </cell>
          <cell r="G255" t="str">
            <v>日产逍客1.2T</v>
          </cell>
          <cell r="H255">
            <v>47</v>
          </cell>
          <cell r="I255">
            <v>46</v>
          </cell>
          <cell r="J255">
            <v>44</v>
          </cell>
          <cell r="K255">
            <v>42</v>
          </cell>
          <cell r="L255">
            <v>40</v>
          </cell>
          <cell r="M255">
            <v>39</v>
          </cell>
        </row>
        <row r="256">
          <cell r="A256" t="str">
            <v>DQ9215B</v>
          </cell>
          <cell r="B256">
            <v>691</v>
          </cell>
          <cell r="C256">
            <v>24.2265417727273</v>
          </cell>
          <cell r="D256">
            <v>0</v>
          </cell>
          <cell r="E256">
            <v>24.2265417727273</v>
          </cell>
          <cell r="F256" t="str">
            <v>自制</v>
          </cell>
          <cell r="G256" t="str">
            <v>长城哈弗 H6/H5 2.0L</v>
          </cell>
          <cell r="H256">
            <v>33</v>
          </cell>
          <cell r="I256">
            <v>32</v>
          </cell>
          <cell r="J256">
            <v>31</v>
          </cell>
          <cell r="K256">
            <v>30</v>
          </cell>
          <cell r="L256">
            <v>28</v>
          </cell>
          <cell r="M256">
            <v>27</v>
          </cell>
        </row>
        <row r="257">
          <cell r="A257" t="str">
            <v>DQ9153A1</v>
          </cell>
          <cell r="B257">
            <v>679</v>
          </cell>
          <cell r="C257">
            <v>21.2923862784848</v>
          </cell>
          <cell r="D257">
            <v>0</v>
          </cell>
          <cell r="E257">
            <v>21.2923862784848</v>
          </cell>
          <cell r="F257" t="str">
            <v>自制</v>
          </cell>
          <cell r="G257" t="str">
            <v>东风风神A60</v>
          </cell>
          <cell r="H257">
            <v>29</v>
          </cell>
          <cell r="I257">
            <v>28</v>
          </cell>
          <cell r="J257">
            <v>27</v>
          </cell>
          <cell r="K257">
            <v>26</v>
          </cell>
          <cell r="L257">
            <v>25</v>
          </cell>
          <cell r="M257">
            <v>24</v>
          </cell>
        </row>
        <row r="258">
          <cell r="A258" t="str">
            <v>DQ9043A1</v>
          </cell>
          <cell r="B258">
            <v>671</v>
          </cell>
          <cell r="C258">
            <v>36.6</v>
          </cell>
          <cell r="D258">
            <v>0</v>
          </cell>
          <cell r="E258">
            <v>36.6</v>
          </cell>
          <cell r="F258" t="str">
            <v>调货</v>
          </cell>
          <cell r="G258" t="str">
            <v>北汽BJ40 2.3T</v>
          </cell>
          <cell r="H258">
            <v>44</v>
          </cell>
          <cell r="I258">
            <v>43</v>
          </cell>
          <cell r="J258">
            <v>43</v>
          </cell>
          <cell r="K258">
            <v>42</v>
          </cell>
          <cell r="L258">
            <v>41</v>
          </cell>
          <cell r="M258">
            <v>41</v>
          </cell>
        </row>
        <row r="259">
          <cell r="A259" t="str">
            <v>DQ910806</v>
          </cell>
          <cell r="B259">
            <v>661</v>
          </cell>
          <cell r="C259">
            <v>29.9934170488323</v>
          </cell>
          <cell r="D259">
            <v>1.95258339504444</v>
          </cell>
          <cell r="E259">
            <v>28.0408336537879</v>
          </cell>
          <cell r="F259" t="str">
            <v>自制</v>
          </cell>
          <cell r="G259" t="str">
            <v>凯美瑞</v>
          </cell>
          <cell r="H259">
            <v>41</v>
          </cell>
          <cell r="I259">
            <v>39</v>
          </cell>
          <cell r="J259">
            <v>38</v>
          </cell>
          <cell r="K259">
            <v>36</v>
          </cell>
          <cell r="L259">
            <v>35</v>
          </cell>
          <cell r="M259">
            <v>33</v>
          </cell>
        </row>
        <row r="260">
          <cell r="A260" t="str">
            <v>DQ9204A</v>
          </cell>
          <cell r="B260">
            <v>658</v>
          </cell>
          <cell r="C260">
            <v>32.6757229857273</v>
          </cell>
          <cell r="D260">
            <v>0</v>
          </cell>
          <cell r="E260">
            <v>32.6757229857273</v>
          </cell>
          <cell r="F260" t="str">
            <v>自制</v>
          </cell>
          <cell r="G260" t="str">
            <v>特拉卡</v>
          </cell>
          <cell r="H260">
            <v>45</v>
          </cell>
          <cell r="I260">
            <v>43</v>
          </cell>
          <cell r="J260">
            <v>41</v>
          </cell>
          <cell r="K260">
            <v>40</v>
          </cell>
          <cell r="L260">
            <v>38</v>
          </cell>
          <cell r="M260">
            <v>36</v>
          </cell>
        </row>
        <row r="261">
          <cell r="A261" t="str">
            <v>DQ9025H1</v>
          </cell>
          <cell r="B261">
            <v>657</v>
          </cell>
          <cell r="C261">
            <v>84.646832738764</v>
          </cell>
          <cell r="D261">
            <v>-3.23816726123596</v>
          </cell>
          <cell r="E261">
            <v>87.885</v>
          </cell>
          <cell r="F261" t="str">
            <v>调货</v>
          </cell>
          <cell r="G261" t="str">
            <v>奔驰A2709060500</v>
          </cell>
          <cell r="H261">
            <v>101</v>
          </cell>
          <cell r="I261">
            <v>100</v>
          </cell>
          <cell r="J261">
            <v>98</v>
          </cell>
          <cell r="K261">
            <v>96</v>
          </cell>
          <cell r="L261">
            <v>95</v>
          </cell>
          <cell r="M261">
            <v>94</v>
          </cell>
        </row>
        <row r="262">
          <cell r="A262" t="str">
            <v>DQ9066A1</v>
          </cell>
          <cell r="B262">
            <v>655</v>
          </cell>
          <cell r="C262">
            <v>41.58</v>
          </cell>
          <cell r="D262">
            <v>0</v>
          </cell>
          <cell r="E262">
            <v>41.58</v>
          </cell>
          <cell r="F262" t="str">
            <v>调货</v>
          </cell>
          <cell r="G262" t="str">
            <v>吉利缤越1.5T</v>
          </cell>
          <cell r="H262">
            <v>50</v>
          </cell>
          <cell r="I262">
            <v>49</v>
          </cell>
          <cell r="J262">
            <v>48</v>
          </cell>
          <cell r="K262">
            <v>47</v>
          </cell>
          <cell r="L262">
            <v>47</v>
          </cell>
          <cell r="M262">
            <v>46</v>
          </cell>
        </row>
        <row r="263">
          <cell r="A263" t="str">
            <v>DQ9407</v>
          </cell>
          <cell r="B263">
            <v>654</v>
          </cell>
          <cell r="C263">
            <v>122.9025</v>
          </cell>
          <cell r="D263">
            <v>0</v>
          </cell>
          <cell r="E263">
            <v>122.9025</v>
          </cell>
          <cell r="F263" t="str">
            <v>调货</v>
          </cell>
          <cell r="G263" t="str">
            <v>雪佛兰索尼克</v>
          </cell>
          <cell r="H263">
            <v>147</v>
          </cell>
          <cell r="I263">
            <v>144</v>
          </cell>
          <cell r="J263">
            <v>142</v>
          </cell>
          <cell r="K263">
            <v>139</v>
          </cell>
          <cell r="L263">
            <v>138</v>
          </cell>
          <cell r="M263">
            <v>136</v>
          </cell>
        </row>
        <row r="264">
          <cell r="A264" t="str">
            <v>DQ9117A</v>
          </cell>
          <cell r="B264">
            <v>651</v>
          </cell>
          <cell r="C264">
            <v>27.8065560918182</v>
          </cell>
          <cell r="D264">
            <v>0</v>
          </cell>
          <cell r="E264">
            <v>27.8065560918182</v>
          </cell>
          <cell r="F264" t="str">
            <v>自制</v>
          </cell>
          <cell r="G264" t="str">
            <v>北斗星K14B（日立系统）</v>
          </cell>
          <cell r="H264">
            <v>38</v>
          </cell>
          <cell r="I264">
            <v>37</v>
          </cell>
          <cell r="J264">
            <v>35</v>
          </cell>
          <cell r="K264">
            <v>34</v>
          </cell>
          <cell r="L264">
            <v>32</v>
          </cell>
          <cell r="M264">
            <v>31</v>
          </cell>
        </row>
        <row r="265">
          <cell r="A265" t="str">
            <v>DQ9016F1</v>
          </cell>
          <cell r="B265">
            <v>648</v>
          </cell>
          <cell r="C265">
            <v>40.5728271127273</v>
          </cell>
          <cell r="D265">
            <v>0</v>
          </cell>
          <cell r="E265">
            <v>40.5728271127273</v>
          </cell>
          <cell r="F265" t="str">
            <v>自制</v>
          </cell>
          <cell r="G265" t="str">
            <v>昂科旗</v>
          </cell>
          <cell r="H265">
            <v>55</v>
          </cell>
          <cell r="I265">
            <v>53</v>
          </cell>
          <cell r="J265">
            <v>51</v>
          </cell>
          <cell r="K265">
            <v>49</v>
          </cell>
          <cell r="L265">
            <v>47</v>
          </cell>
          <cell r="M265">
            <v>45</v>
          </cell>
        </row>
        <row r="266">
          <cell r="A266" t="str">
            <v>DQ9213A2</v>
          </cell>
          <cell r="B266">
            <v>646</v>
          </cell>
          <cell r="C266">
            <v>24.0994199727273</v>
          </cell>
          <cell r="D266">
            <v>0</v>
          </cell>
          <cell r="E266">
            <v>24.0994199727273</v>
          </cell>
          <cell r="F266" t="str">
            <v>自制</v>
          </cell>
          <cell r="G266" t="str">
            <v>长安悦翔V3</v>
          </cell>
          <cell r="H266">
            <v>33</v>
          </cell>
          <cell r="I266">
            <v>32</v>
          </cell>
          <cell r="J266">
            <v>31</v>
          </cell>
          <cell r="K266">
            <v>29</v>
          </cell>
          <cell r="L266">
            <v>28</v>
          </cell>
          <cell r="M266">
            <v>27</v>
          </cell>
        </row>
        <row r="267">
          <cell r="A267" t="str">
            <v>DQ9045C1</v>
          </cell>
          <cell r="B267">
            <v>643</v>
          </cell>
          <cell r="C267">
            <v>32.7740356854545</v>
          </cell>
          <cell r="D267">
            <v>0</v>
          </cell>
          <cell r="E267">
            <v>32.7740356854545</v>
          </cell>
          <cell r="F267" t="str">
            <v>自制</v>
          </cell>
          <cell r="G267" t="str">
            <v>斯巴鲁傲虎 2.0T</v>
          </cell>
          <cell r="H267">
            <v>45</v>
          </cell>
          <cell r="I267">
            <v>43</v>
          </cell>
          <cell r="J267">
            <v>41</v>
          </cell>
          <cell r="K267">
            <v>40</v>
          </cell>
          <cell r="L267">
            <v>38</v>
          </cell>
          <cell r="M267">
            <v>37</v>
          </cell>
        </row>
        <row r="268">
          <cell r="A268" t="str">
            <v>DQ6107</v>
          </cell>
          <cell r="B268">
            <v>639</v>
          </cell>
          <cell r="C268">
            <v>25.61</v>
          </cell>
          <cell r="D268">
            <v>0</v>
          </cell>
          <cell r="E268">
            <v>25.61</v>
          </cell>
          <cell r="F268" t="str">
            <v>调货</v>
          </cell>
          <cell r="G268" t="str">
            <v>本田雅阁</v>
          </cell>
          <cell r="H268">
            <v>31</v>
          </cell>
          <cell r="I268">
            <v>30</v>
          </cell>
          <cell r="J268">
            <v>30</v>
          </cell>
          <cell r="K268">
            <v>29</v>
          </cell>
          <cell r="L268">
            <v>29</v>
          </cell>
          <cell r="M268">
            <v>29</v>
          </cell>
        </row>
        <row r="269">
          <cell r="A269" t="str">
            <v>DQ9130D2</v>
          </cell>
          <cell r="B269">
            <v>625</v>
          </cell>
          <cell r="C269">
            <v>22.5984338727273</v>
          </cell>
          <cell r="D269">
            <v>0</v>
          </cell>
          <cell r="E269">
            <v>22.5984338727273</v>
          </cell>
          <cell r="F269" t="str">
            <v>自制</v>
          </cell>
          <cell r="G269" t="str">
            <v>福特野马</v>
          </cell>
          <cell r="H269">
            <v>31</v>
          </cell>
          <cell r="I269">
            <v>30</v>
          </cell>
          <cell r="J269">
            <v>29</v>
          </cell>
          <cell r="K269">
            <v>28</v>
          </cell>
          <cell r="L269">
            <v>26</v>
          </cell>
          <cell r="M269">
            <v>25</v>
          </cell>
        </row>
        <row r="270">
          <cell r="A270" t="str">
            <v>DQ9212A</v>
          </cell>
          <cell r="B270">
            <v>624</v>
          </cell>
          <cell r="C270">
            <v>27.0220139027273</v>
          </cell>
          <cell r="D270">
            <v>0</v>
          </cell>
          <cell r="E270">
            <v>27.0220139027273</v>
          </cell>
          <cell r="F270" t="str">
            <v>自制</v>
          </cell>
          <cell r="G270" t="str">
            <v>中华尊驰/骏捷4G93</v>
          </cell>
          <cell r="H270">
            <v>37</v>
          </cell>
          <cell r="I270">
            <v>36</v>
          </cell>
          <cell r="J270">
            <v>34</v>
          </cell>
          <cell r="K270">
            <v>33</v>
          </cell>
          <cell r="L270">
            <v>32</v>
          </cell>
          <cell r="M270">
            <v>30</v>
          </cell>
        </row>
        <row r="271">
          <cell r="A271" t="str">
            <v>DQ9126A1</v>
          </cell>
          <cell r="B271">
            <v>618</v>
          </cell>
          <cell r="C271">
            <v>30.6071942651515</v>
          </cell>
          <cell r="D271">
            <v>0</v>
          </cell>
          <cell r="E271">
            <v>30.6071942651515</v>
          </cell>
          <cell r="F271" t="str">
            <v>自制</v>
          </cell>
          <cell r="G271" t="str">
            <v>路虎揽胜/极光</v>
          </cell>
          <cell r="H271">
            <v>42</v>
          </cell>
          <cell r="I271">
            <v>40</v>
          </cell>
          <cell r="J271">
            <v>39</v>
          </cell>
          <cell r="K271">
            <v>37</v>
          </cell>
          <cell r="L271">
            <v>36</v>
          </cell>
          <cell r="M271">
            <v>34</v>
          </cell>
        </row>
        <row r="272">
          <cell r="A272" t="str">
            <v>DQ6407B</v>
          </cell>
          <cell r="B272">
            <v>605</v>
          </cell>
          <cell r="C272">
            <v>39.4562854310291</v>
          </cell>
          <cell r="D272">
            <v>-0.193669087152681</v>
          </cell>
          <cell r="E272">
            <v>39.6499545181818</v>
          </cell>
          <cell r="F272" t="str">
            <v>自制</v>
          </cell>
          <cell r="G272" t="str">
            <v>嘉年华1.5</v>
          </cell>
          <cell r="H272">
            <v>54</v>
          </cell>
          <cell r="I272">
            <v>52</v>
          </cell>
          <cell r="J272">
            <v>50</v>
          </cell>
          <cell r="K272">
            <v>48</v>
          </cell>
          <cell r="L272">
            <v>46</v>
          </cell>
          <cell r="M272">
            <v>44</v>
          </cell>
        </row>
        <row r="273">
          <cell r="A273" t="str">
            <v>DQ9074A1</v>
          </cell>
          <cell r="B273">
            <v>604</v>
          </cell>
          <cell r="C273">
            <v>41.58</v>
          </cell>
          <cell r="D273">
            <v>0</v>
          </cell>
          <cell r="E273">
            <v>41.58</v>
          </cell>
          <cell r="F273" t="str">
            <v>调货</v>
          </cell>
          <cell r="G273" t="str">
            <v>广汽传祺GM8 2.0T</v>
          </cell>
          <cell r="H273">
            <v>50</v>
          </cell>
          <cell r="I273">
            <v>49</v>
          </cell>
          <cell r="J273">
            <v>48</v>
          </cell>
          <cell r="K273">
            <v>47</v>
          </cell>
          <cell r="L273">
            <v>47</v>
          </cell>
          <cell r="M273">
            <v>46</v>
          </cell>
        </row>
        <row r="274">
          <cell r="A274" t="str">
            <v>DQ4115A1</v>
          </cell>
          <cell r="B274">
            <v>600</v>
          </cell>
          <cell r="C274">
            <v>32.82741</v>
          </cell>
          <cell r="D274">
            <v>0</v>
          </cell>
          <cell r="E274">
            <v>32.82741</v>
          </cell>
          <cell r="F274" t="str">
            <v>调货</v>
          </cell>
          <cell r="G274" t="str">
            <v>90919-02098</v>
          </cell>
          <cell r="H274">
            <v>40</v>
          </cell>
          <cell r="I274">
            <v>39</v>
          </cell>
          <cell r="J274">
            <v>38</v>
          </cell>
          <cell r="K274">
            <v>38</v>
          </cell>
          <cell r="L274">
            <v>37</v>
          </cell>
          <cell r="M274">
            <v>37</v>
          </cell>
        </row>
        <row r="275">
          <cell r="A275" t="str">
            <v>DQ9208</v>
          </cell>
          <cell r="B275">
            <v>599</v>
          </cell>
          <cell r="C275">
            <v>33.0322447227273</v>
          </cell>
          <cell r="D275">
            <v>0</v>
          </cell>
          <cell r="E275">
            <v>33.0322447227273</v>
          </cell>
          <cell r="F275" t="str">
            <v>自制</v>
          </cell>
          <cell r="G275" t="str">
            <v>江淮瑞风 三插</v>
          </cell>
          <cell r="H275">
            <v>45</v>
          </cell>
          <cell r="I275">
            <v>43</v>
          </cell>
          <cell r="J275">
            <v>42</v>
          </cell>
          <cell r="K275">
            <v>40</v>
          </cell>
          <cell r="L275">
            <v>38</v>
          </cell>
          <cell r="M275">
            <v>37</v>
          </cell>
        </row>
        <row r="276">
          <cell r="A276" t="str">
            <v>DQ9030A2</v>
          </cell>
          <cell r="B276">
            <v>596</v>
          </cell>
          <cell r="C276">
            <v>35.2667366027842</v>
          </cell>
          <cell r="D276">
            <v>1.29238905732974</v>
          </cell>
          <cell r="E276">
            <v>33.9743475454545</v>
          </cell>
          <cell r="F276" t="str">
            <v>自制</v>
          </cell>
          <cell r="G276" t="str">
            <v>比亚迪S7(灰色杆）</v>
          </cell>
          <cell r="H276">
            <v>48</v>
          </cell>
          <cell r="I276">
            <v>46</v>
          </cell>
          <cell r="J276">
            <v>45</v>
          </cell>
          <cell r="K276">
            <v>43</v>
          </cell>
          <cell r="L276">
            <v>41</v>
          </cell>
          <cell r="M276">
            <v>39</v>
          </cell>
        </row>
        <row r="277">
          <cell r="A277" t="str">
            <v>DQ9209L</v>
          </cell>
          <cell r="B277">
            <v>595</v>
          </cell>
          <cell r="C277">
            <v>21.5341691227273</v>
          </cell>
          <cell r="D277">
            <v>0</v>
          </cell>
          <cell r="E277">
            <v>21.5341691227273</v>
          </cell>
          <cell r="F277" t="str">
            <v>自制</v>
          </cell>
          <cell r="G277" t="str">
            <v>菱悦V3</v>
          </cell>
          <cell r="H277">
            <v>30</v>
          </cell>
          <cell r="I277">
            <v>28</v>
          </cell>
          <cell r="J277">
            <v>27</v>
          </cell>
          <cell r="K277">
            <v>26</v>
          </cell>
          <cell r="L277">
            <v>25</v>
          </cell>
          <cell r="M277">
            <v>24</v>
          </cell>
        </row>
        <row r="278">
          <cell r="A278" t="str">
            <v>DQ9041A1</v>
          </cell>
          <cell r="B278">
            <v>582</v>
          </cell>
          <cell r="C278">
            <v>23.3640420154545</v>
          </cell>
          <cell r="D278">
            <v>0</v>
          </cell>
          <cell r="E278">
            <v>23.3640420154545</v>
          </cell>
          <cell r="F278" t="str">
            <v>自制</v>
          </cell>
          <cell r="G278" t="str">
            <v>众泰大迈X5 1.5T</v>
          </cell>
          <cell r="H278">
            <v>32</v>
          </cell>
          <cell r="I278">
            <v>31</v>
          </cell>
          <cell r="J278">
            <v>30</v>
          </cell>
          <cell r="K278">
            <v>29</v>
          </cell>
          <cell r="L278">
            <v>27</v>
          </cell>
          <cell r="M278">
            <v>26</v>
          </cell>
        </row>
        <row r="279">
          <cell r="A279" t="str">
            <v>DQ9021</v>
          </cell>
          <cell r="B279">
            <v>571</v>
          </cell>
          <cell r="C279">
            <v>22.3333991054545</v>
          </cell>
          <cell r="D279">
            <v>0</v>
          </cell>
          <cell r="E279">
            <v>22.3333991054545</v>
          </cell>
          <cell r="F279" t="str">
            <v>自制</v>
          </cell>
          <cell r="G279" t="str">
            <v>比亚迪F0</v>
          </cell>
          <cell r="H279">
            <v>31</v>
          </cell>
          <cell r="I279">
            <v>30</v>
          </cell>
          <cell r="J279">
            <v>28</v>
          </cell>
          <cell r="K279">
            <v>27</v>
          </cell>
          <cell r="L279">
            <v>26</v>
          </cell>
          <cell r="M279">
            <v>25</v>
          </cell>
        </row>
        <row r="280">
          <cell r="A280" t="str">
            <v>DQ9062A1</v>
          </cell>
          <cell r="B280">
            <v>564</v>
          </cell>
          <cell r="C280">
            <v>41.58</v>
          </cell>
          <cell r="D280">
            <v>0</v>
          </cell>
          <cell r="E280">
            <v>41.58</v>
          </cell>
          <cell r="F280" t="str">
            <v>调货</v>
          </cell>
          <cell r="G280" t="str">
            <v>东风风行 风行M7</v>
          </cell>
          <cell r="H280">
            <v>50</v>
          </cell>
          <cell r="I280">
            <v>49</v>
          </cell>
          <cell r="J280">
            <v>48</v>
          </cell>
          <cell r="K280">
            <v>47</v>
          </cell>
          <cell r="L280">
            <v>47</v>
          </cell>
          <cell r="M280">
            <v>46</v>
          </cell>
        </row>
        <row r="281">
          <cell r="A281" t="str">
            <v>DQ9013</v>
          </cell>
          <cell r="B281">
            <v>555</v>
          </cell>
          <cell r="C281">
            <v>39.6</v>
          </cell>
          <cell r="D281">
            <v>0</v>
          </cell>
          <cell r="E281">
            <v>39.6</v>
          </cell>
          <cell r="F281" t="str">
            <v>调货</v>
          </cell>
          <cell r="G281" t="str">
            <v>铃木（笔式）</v>
          </cell>
          <cell r="H281">
            <v>48</v>
          </cell>
          <cell r="I281">
            <v>47</v>
          </cell>
          <cell r="J281">
            <v>46</v>
          </cell>
          <cell r="K281">
            <v>45</v>
          </cell>
          <cell r="L281">
            <v>45</v>
          </cell>
          <cell r="M281">
            <v>44</v>
          </cell>
        </row>
        <row r="282">
          <cell r="A282" t="str">
            <v>DQ9003H8</v>
          </cell>
          <cell r="B282">
            <v>553</v>
          </cell>
          <cell r="C282">
            <v>27.8130609854545</v>
          </cell>
          <cell r="D282">
            <v>0</v>
          </cell>
          <cell r="E282">
            <v>27.8130609854545</v>
          </cell>
          <cell r="F282" t="str">
            <v>自制</v>
          </cell>
          <cell r="G282" t="str">
            <v>SM3 2.0</v>
          </cell>
          <cell r="H282">
            <v>38</v>
          </cell>
          <cell r="I282">
            <v>37</v>
          </cell>
          <cell r="J282">
            <v>35</v>
          </cell>
          <cell r="K282">
            <v>34</v>
          </cell>
          <cell r="L282">
            <v>32</v>
          </cell>
          <cell r="M282">
            <v>31</v>
          </cell>
        </row>
        <row r="283">
          <cell r="A283" t="str">
            <v>DQ9118</v>
          </cell>
          <cell r="B283">
            <v>551</v>
          </cell>
          <cell r="C283">
            <v>29.8184078514546</v>
          </cell>
          <cell r="D283">
            <v>0</v>
          </cell>
          <cell r="E283">
            <v>29.8184078514546</v>
          </cell>
          <cell r="F283" t="str">
            <v>自制</v>
          </cell>
          <cell r="G283" t="str">
            <v>夏利N5</v>
          </cell>
          <cell r="H283">
            <v>41</v>
          </cell>
          <cell r="I283">
            <v>39</v>
          </cell>
          <cell r="J283">
            <v>38</v>
          </cell>
          <cell r="K283">
            <v>36</v>
          </cell>
          <cell r="L283">
            <v>35</v>
          </cell>
          <cell r="M283">
            <v>33</v>
          </cell>
        </row>
        <row r="284">
          <cell r="A284" t="str">
            <v>DQ9031E1</v>
          </cell>
          <cell r="B284">
            <v>551</v>
          </cell>
          <cell r="C284">
            <v>37.0852382843024</v>
          </cell>
          <cell r="D284">
            <v>1.37774888884791</v>
          </cell>
          <cell r="E284">
            <v>35.7074893954545</v>
          </cell>
          <cell r="F284" t="str">
            <v>自制</v>
          </cell>
          <cell r="G284" t="str">
            <v>MG6 1.5T</v>
          </cell>
          <cell r="H284">
            <v>51</v>
          </cell>
          <cell r="I284">
            <v>49</v>
          </cell>
          <cell r="J284">
            <v>47</v>
          </cell>
          <cell r="K284">
            <v>45</v>
          </cell>
          <cell r="L284">
            <v>43</v>
          </cell>
          <cell r="M284">
            <v>41</v>
          </cell>
        </row>
        <row r="285">
          <cell r="A285" t="str">
            <v>DQ9002A</v>
          </cell>
          <cell r="B285">
            <v>544</v>
          </cell>
          <cell r="C285">
            <v>19.3255487654545</v>
          </cell>
          <cell r="D285">
            <v>0</v>
          </cell>
          <cell r="E285">
            <v>19.3255487654545</v>
          </cell>
          <cell r="F285" t="str">
            <v>自制</v>
          </cell>
          <cell r="G285" t="str">
            <v>马六两插</v>
          </cell>
          <cell r="H285">
            <v>27</v>
          </cell>
          <cell r="I285">
            <v>26</v>
          </cell>
          <cell r="J285">
            <v>25</v>
          </cell>
          <cell r="K285">
            <v>24</v>
          </cell>
          <cell r="L285">
            <v>23</v>
          </cell>
          <cell r="M285">
            <v>22</v>
          </cell>
        </row>
        <row r="286">
          <cell r="A286" t="str">
            <v>DQ9215A</v>
          </cell>
          <cell r="B286">
            <v>541</v>
          </cell>
          <cell r="C286">
            <v>23.4397337727273</v>
          </cell>
          <cell r="D286">
            <v>0</v>
          </cell>
          <cell r="E286">
            <v>23.4397337727273</v>
          </cell>
          <cell r="F286" t="str">
            <v>自制</v>
          </cell>
          <cell r="G286" t="str">
            <v>比亚迪F3</v>
          </cell>
          <cell r="H286">
            <v>32</v>
          </cell>
          <cell r="I286">
            <v>31</v>
          </cell>
          <cell r="J286">
            <v>30</v>
          </cell>
          <cell r="K286">
            <v>29</v>
          </cell>
          <cell r="L286">
            <v>27</v>
          </cell>
          <cell r="M286">
            <v>26</v>
          </cell>
        </row>
        <row r="287">
          <cell r="A287" t="str">
            <v>DQ9130D1</v>
          </cell>
          <cell r="B287">
            <v>538</v>
          </cell>
          <cell r="C287">
            <v>22.0781338727273</v>
          </cell>
          <cell r="D287">
            <v>0</v>
          </cell>
          <cell r="E287">
            <v>22.0781338727273</v>
          </cell>
          <cell r="F287" t="str">
            <v>自制</v>
          </cell>
          <cell r="G287" t="str">
            <v>福特林肯</v>
          </cell>
          <cell r="H287">
            <v>30</v>
          </cell>
          <cell r="I287">
            <v>29</v>
          </cell>
          <cell r="J287">
            <v>28</v>
          </cell>
          <cell r="K287">
            <v>27</v>
          </cell>
          <cell r="L287">
            <v>26</v>
          </cell>
          <cell r="M287">
            <v>25</v>
          </cell>
        </row>
        <row r="288">
          <cell r="A288" t="str">
            <v>DQ9007L1</v>
          </cell>
          <cell r="B288">
            <v>530</v>
          </cell>
          <cell r="C288">
            <v>31.1044139283333</v>
          </cell>
          <cell r="D288">
            <v>0</v>
          </cell>
          <cell r="E288">
            <v>31.1044139283333</v>
          </cell>
          <cell r="F288" t="str">
            <v>自制</v>
          </cell>
          <cell r="G288" t="str">
            <v>现代IX35</v>
          </cell>
          <cell r="H288">
            <v>42</v>
          </cell>
          <cell r="I288">
            <v>41</v>
          </cell>
          <cell r="J288">
            <v>39</v>
          </cell>
          <cell r="K288">
            <v>38</v>
          </cell>
          <cell r="L288">
            <v>36</v>
          </cell>
          <cell r="M288">
            <v>35</v>
          </cell>
        </row>
        <row r="289">
          <cell r="A289" t="str">
            <v>DQ9132C1</v>
          </cell>
          <cell r="B289">
            <v>521</v>
          </cell>
          <cell r="C289">
            <v>29.6548029054545</v>
          </cell>
          <cell r="D289">
            <v>0</v>
          </cell>
          <cell r="E289">
            <v>29.6548029054545</v>
          </cell>
          <cell r="F289" t="str">
            <v>自制</v>
          </cell>
          <cell r="G289" t="str">
            <v>一汽森雅M80  1.5L</v>
          </cell>
          <cell r="H289">
            <v>41</v>
          </cell>
          <cell r="I289">
            <v>39</v>
          </cell>
          <cell r="J289">
            <v>38</v>
          </cell>
          <cell r="K289">
            <v>36</v>
          </cell>
          <cell r="L289">
            <v>35</v>
          </cell>
          <cell r="M289">
            <v>33</v>
          </cell>
        </row>
        <row r="290">
          <cell r="A290" t="str">
            <v>DQ9209K2</v>
          </cell>
          <cell r="B290">
            <v>519</v>
          </cell>
          <cell r="C290">
            <v>26.7684217727273</v>
          </cell>
          <cell r="D290">
            <v>0</v>
          </cell>
          <cell r="E290">
            <v>26.7684217727273</v>
          </cell>
          <cell r="F290" t="str">
            <v>自制</v>
          </cell>
          <cell r="G290" t="str">
            <v>长安CS75</v>
          </cell>
          <cell r="H290">
            <v>37</v>
          </cell>
          <cell r="I290">
            <v>35</v>
          </cell>
          <cell r="J290">
            <v>34</v>
          </cell>
          <cell r="K290">
            <v>33</v>
          </cell>
          <cell r="L290">
            <v>31</v>
          </cell>
          <cell r="M290">
            <v>30</v>
          </cell>
        </row>
        <row r="291">
          <cell r="A291" t="str">
            <v>DQ9132H1</v>
          </cell>
          <cell r="B291">
            <v>518</v>
          </cell>
          <cell r="C291">
            <v>29.9730577387879</v>
          </cell>
          <cell r="D291">
            <v>0</v>
          </cell>
          <cell r="E291">
            <v>29.9730577387879</v>
          </cell>
          <cell r="F291" t="str">
            <v>自制</v>
          </cell>
          <cell r="G291" t="str">
            <v>丰田Agya (9004A-19005)</v>
          </cell>
          <cell r="H291">
            <v>41</v>
          </cell>
          <cell r="I291">
            <v>39</v>
          </cell>
          <cell r="J291">
            <v>38</v>
          </cell>
          <cell r="K291">
            <v>36</v>
          </cell>
          <cell r="L291">
            <v>35</v>
          </cell>
          <cell r="M291">
            <v>33</v>
          </cell>
        </row>
        <row r="292">
          <cell r="A292" t="str">
            <v>DQ9162A1</v>
          </cell>
          <cell r="B292">
            <v>516</v>
          </cell>
          <cell r="C292">
            <v>54.6735</v>
          </cell>
          <cell r="D292">
            <v>0</v>
          </cell>
          <cell r="E292">
            <v>54.6735</v>
          </cell>
          <cell r="F292" t="str">
            <v>调货</v>
          </cell>
          <cell r="G292" t="str">
            <v>吉普道奇</v>
          </cell>
          <cell r="H292">
            <v>66</v>
          </cell>
          <cell r="I292">
            <v>64</v>
          </cell>
          <cell r="J292">
            <v>63</v>
          </cell>
          <cell r="K292">
            <v>62</v>
          </cell>
          <cell r="L292">
            <v>62</v>
          </cell>
          <cell r="M292">
            <v>61</v>
          </cell>
        </row>
        <row r="293">
          <cell r="A293" t="str">
            <v>DQ9034A4</v>
          </cell>
          <cell r="B293">
            <v>512</v>
          </cell>
          <cell r="C293">
            <v>27.2940953727273</v>
          </cell>
          <cell r="D293">
            <v>0</v>
          </cell>
          <cell r="E293">
            <v>27.2940953727273</v>
          </cell>
          <cell r="F293" t="str">
            <v>自制</v>
          </cell>
          <cell r="G293" t="str">
            <v>纳智捷优6 1.8T</v>
          </cell>
          <cell r="H293">
            <v>37</v>
          </cell>
          <cell r="I293">
            <v>36</v>
          </cell>
          <cell r="J293">
            <v>35</v>
          </cell>
          <cell r="K293">
            <v>33</v>
          </cell>
          <cell r="L293">
            <v>32</v>
          </cell>
          <cell r="M293">
            <v>31</v>
          </cell>
        </row>
        <row r="294">
          <cell r="A294" t="str">
            <v>DQ4105A1</v>
          </cell>
          <cell r="B294">
            <v>510</v>
          </cell>
          <cell r="C294">
            <v>31.535332275</v>
          </cell>
          <cell r="D294">
            <v>0</v>
          </cell>
          <cell r="E294">
            <v>31.535332275</v>
          </cell>
          <cell r="F294" t="str">
            <v>自制</v>
          </cell>
          <cell r="G294" t="str">
            <v>雪佛兰科迈罗</v>
          </cell>
          <cell r="H294">
            <v>43</v>
          </cell>
          <cell r="I294">
            <v>41</v>
          </cell>
          <cell r="J294">
            <v>40</v>
          </cell>
          <cell r="K294">
            <v>38</v>
          </cell>
          <cell r="L294">
            <v>37</v>
          </cell>
          <cell r="M294">
            <v>35</v>
          </cell>
        </row>
        <row r="295">
          <cell r="A295" t="str">
            <v>DQ9025F1</v>
          </cell>
          <cell r="B295">
            <v>509</v>
          </cell>
          <cell r="C295">
            <v>64.6928507531693</v>
          </cell>
          <cell r="D295">
            <v>0.392281745441981</v>
          </cell>
          <cell r="E295">
            <v>64.3005690077273</v>
          </cell>
          <cell r="F295" t="str">
            <v>自制</v>
          </cell>
          <cell r="G295" t="str">
            <v>奔驰S400L(新奔驰276系列)</v>
          </cell>
          <cell r="H295">
            <v>88</v>
          </cell>
          <cell r="I295">
            <v>85</v>
          </cell>
          <cell r="J295">
            <v>81</v>
          </cell>
          <cell r="K295">
            <v>78</v>
          </cell>
          <cell r="L295">
            <v>75</v>
          </cell>
          <cell r="M295">
            <v>72</v>
          </cell>
        </row>
        <row r="296">
          <cell r="A296" t="str">
            <v>DQ9017A1</v>
          </cell>
          <cell r="B296">
            <v>504</v>
          </cell>
          <cell r="C296">
            <v>32.4790886227669</v>
          </cell>
          <cell r="D296">
            <v>0.0597015066457342</v>
          </cell>
          <cell r="E296">
            <v>32.4193871161212</v>
          </cell>
          <cell r="F296" t="str">
            <v>自制</v>
          </cell>
          <cell r="G296" t="str">
            <v>沃尔沃</v>
          </cell>
          <cell r="H296">
            <v>44</v>
          </cell>
          <cell r="I296">
            <v>43</v>
          </cell>
          <cell r="J296">
            <v>41</v>
          </cell>
          <cell r="K296">
            <v>39</v>
          </cell>
          <cell r="L296">
            <v>38</v>
          </cell>
          <cell r="M296">
            <v>36</v>
          </cell>
        </row>
        <row r="297">
          <cell r="A297" t="str">
            <v>DQ9068A1</v>
          </cell>
          <cell r="B297">
            <v>503</v>
          </cell>
          <cell r="C297">
            <v>43.68</v>
          </cell>
          <cell r="D297">
            <v>0</v>
          </cell>
          <cell r="E297">
            <v>43.68</v>
          </cell>
          <cell r="F297" t="str">
            <v>调货</v>
          </cell>
          <cell r="G297" t="str">
            <v>宝沃BX5 1.4T /福田伽途GT 1.4T</v>
          </cell>
          <cell r="H297">
            <v>52</v>
          </cell>
          <cell r="I297">
            <v>52</v>
          </cell>
          <cell r="J297">
            <v>51</v>
          </cell>
          <cell r="K297">
            <v>50</v>
          </cell>
          <cell r="L297">
            <v>49</v>
          </cell>
          <cell r="M297">
            <v>49</v>
          </cell>
        </row>
        <row r="298">
          <cell r="A298" t="str">
            <v>DQ9209Q</v>
          </cell>
          <cell r="B298">
            <v>495</v>
          </cell>
          <cell r="C298">
            <v>21.4005191227273</v>
          </cell>
          <cell r="D298">
            <v>0</v>
          </cell>
          <cell r="E298">
            <v>21.4005191227273</v>
          </cell>
          <cell r="F298" t="str">
            <v>自制</v>
          </cell>
          <cell r="G298" t="str">
            <v>奇瑞开瑞</v>
          </cell>
          <cell r="H298">
            <v>29</v>
          </cell>
          <cell r="I298">
            <v>28</v>
          </cell>
          <cell r="J298">
            <v>27</v>
          </cell>
          <cell r="K298">
            <v>26</v>
          </cell>
          <cell r="L298">
            <v>25</v>
          </cell>
          <cell r="M298">
            <v>24</v>
          </cell>
        </row>
        <row r="299">
          <cell r="A299" t="str">
            <v>DQ9205A2</v>
          </cell>
          <cell r="B299">
            <v>494</v>
          </cell>
          <cell r="C299">
            <v>34.3653099727273</v>
          </cell>
          <cell r="D299">
            <v>0</v>
          </cell>
          <cell r="E299">
            <v>34.3653099727273</v>
          </cell>
          <cell r="F299" t="str">
            <v>自制</v>
          </cell>
          <cell r="G299" t="str">
            <v>菱智1.5L</v>
          </cell>
          <cell r="H299">
            <v>47</v>
          </cell>
          <cell r="I299">
            <v>45</v>
          </cell>
          <cell r="J299">
            <v>43</v>
          </cell>
          <cell r="K299">
            <v>42</v>
          </cell>
          <cell r="L299">
            <v>40</v>
          </cell>
          <cell r="M299">
            <v>38</v>
          </cell>
        </row>
        <row r="300">
          <cell r="A300" t="str">
            <v>DQ9046B1</v>
          </cell>
          <cell r="B300">
            <v>492</v>
          </cell>
          <cell r="C300">
            <v>23.0860012854545</v>
          </cell>
          <cell r="D300">
            <v>0</v>
          </cell>
          <cell r="E300">
            <v>23.0860012854545</v>
          </cell>
          <cell r="F300" t="str">
            <v>自制</v>
          </cell>
          <cell r="G300" t="str">
            <v>吉利美日 2.0L</v>
          </cell>
          <cell r="H300">
            <v>32</v>
          </cell>
          <cell r="I300">
            <v>31</v>
          </cell>
          <cell r="J300">
            <v>29</v>
          </cell>
          <cell r="K300">
            <v>28</v>
          </cell>
          <cell r="L300">
            <v>27</v>
          </cell>
          <cell r="M300">
            <v>26</v>
          </cell>
        </row>
        <row r="301">
          <cell r="A301" t="str">
            <v>DQ9219C1</v>
          </cell>
          <cell r="B301">
            <v>487</v>
          </cell>
          <cell r="C301">
            <v>23.3871523427273</v>
          </cell>
          <cell r="D301">
            <v>0</v>
          </cell>
          <cell r="E301">
            <v>23.3871523427273</v>
          </cell>
          <cell r="F301" t="str">
            <v>自制</v>
          </cell>
          <cell r="G301" t="str">
            <v>瑞虎5 2.0/瑞虎3 1.6</v>
          </cell>
          <cell r="H301">
            <v>32</v>
          </cell>
          <cell r="I301">
            <v>31</v>
          </cell>
          <cell r="J301">
            <v>30</v>
          </cell>
          <cell r="K301">
            <v>29</v>
          </cell>
          <cell r="L301">
            <v>27</v>
          </cell>
          <cell r="M301">
            <v>26</v>
          </cell>
        </row>
        <row r="302">
          <cell r="A302" t="str">
            <v>DQ9132E1</v>
          </cell>
          <cell r="B302">
            <v>483</v>
          </cell>
          <cell r="C302">
            <v>28.5967229821212</v>
          </cell>
          <cell r="D302">
            <v>0</v>
          </cell>
          <cell r="E302">
            <v>28.5967229821212</v>
          </cell>
          <cell r="F302" t="str">
            <v>自制</v>
          </cell>
          <cell r="G302" t="str">
            <v>大发 米拉</v>
          </cell>
          <cell r="H302">
            <v>39</v>
          </cell>
          <cell r="I302">
            <v>38</v>
          </cell>
          <cell r="J302">
            <v>36</v>
          </cell>
          <cell r="K302">
            <v>35</v>
          </cell>
          <cell r="L302">
            <v>33</v>
          </cell>
          <cell r="M302">
            <v>32</v>
          </cell>
        </row>
        <row r="303">
          <cell r="A303" t="str">
            <v>DQ9212</v>
          </cell>
          <cell r="B303">
            <v>482</v>
          </cell>
          <cell r="C303">
            <v>24.8817439027273</v>
          </cell>
          <cell r="D303">
            <v>0</v>
          </cell>
          <cell r="E303">
            <v>24.8817439027273</v>
          </cell>
          <cell r="F303" t="str">
            <v>自制</v>
          </cell>
          <cell r="G303" t="str">
            <v>中华4G94</v>
          </cell>
          <cell r="H303">
            <v>34</v>
          </cell>
          <cell r="I303">
            <v>33</v>
          </cell>
          <cell r="J303">
            <v>32</v>
          </cell>
          <cell r="K303">
            <v>30</v>
          </cell>
          <cell r="L303">
            <v>29</v>
          </cell>
          <cell r="M303">
            <v>28</v>
          </cell>
        </row>
        <row r="304">
          <cell r="A304" t="str">
            <v>DQ9132J1</v>
          </cell>
          <cell r="B304">
            <v>476</v>
          </cell>
          <cell r="C304">
            <v>34.5375017754545</v>
          </cell>
          <cell r="D304">
            <v>0</v>
          </cell>
          <cell r="E304">
            <v>34.5375017754545</v>
          </cell>
          <cell r="F304" t="str">
            <v>自制</v>
          </cell>
          <cell r="G304" t="str">
            <v>大发B2050</v>
          </cell>
          <cell r="H304">
            <v>47</v>
          </cell>
          <cell r="I304">
            <v>45</v>
          </cell>
          <cell r="J304">
            <v>44</v>
          </cell>
          <cell r="K304">
            <v>42</v>
          </cell>
          <cell r="L304">
            <v>40</v>
          </cell>
          <cell r="M304">
            <v>38</v>
          </cell>
        </row>
        <row r="305">
          <cell r="A305" t="str">
            <v>DQ9219B1</v>
          </cell>
          <cell r="B305">
            <v>466</v>
          </cell>
          <cell r="C305">
            <v>24.1508480973939</v>
          </cell>
          <cell r="D305">
            <v>0</v>
          </cell>
          <cell r="E305">
            <v>24.1508480973939</v>
          </cell>
          <cell r="F305" t="str">
            <v>自制</v>
          </cell>
          <cell r="G305" t="str">
            <v>瑞风M3/M4</v>
          </cell>
          <cell r="H305">
            <v>33</v>
          </cell>
          <cell r="I305">
            <v>32</v>
          </cell>
          <cell r="J305">
            <v>31</v>
          </cell>
          <cell r="K305">
            <v>29</v>
          </cell>
          <cell r="L305">
            <v>28</v>
          </cell>
          <cell r="M305">
            <v>27</v>
          </cell>
        </row>
        <row r="306">
          <cell r="A306" t="str">
            <v>DQ9209S</v>
          </cell>
          <cell r="B306">
            <v>460</v>
          </cell>
          <cell r="C306">
            <v>23.6087691227273</v>
          </cell>
          <cell r="D306">
            <v>0</v>
          </cell>
          <cell r="E306">
            <v>23.6087691227273</v>
          </cell>
          <cell r="F306" t="str">
            <v>自制</v>
          </cell>
          <cell r="G306" t="str">
            <v>比亚迪S6</v>
          </cell>
          <cell r="H306">
            <v>32</v>
          </cell>
          <cell r="I306">
            <v>31</v>
          </cell>
          <cell r="J306">
            <v>30</v>
          </cell>
          <cell r="K306">
            <v>29</v>
          </cell>
          <cell r="L306">
            <v>28</v>
          </cell>
          <cell r="M306">
            <v>26</v>
          </cell>
        </row>
        <row r="307">
          <cell r="A307" t="str">
            <v>DQ9219A5</v>
          </cell>
          <cell r="B307">
            <v>460</v>
          </cell>
          <cell r="C307">
            <v>19.4677968477273</v>
          </cell>
          <cell r="D307">
            <v>0</v>
          </cell>
          <cell r="E307">
            <v>19.4677968477273</v>
          </cell>
          <cell r="F307" t="str">
            <v>自制</v>
          </cell>
          <cell r="G307" t="str">
            <v>哈飞骏意</v>
          </cell>
          <cell r="H307">
            <v>27</v>
          </cell>
          <cell r="I307">
            <v>26</v>
          </cell>
          <cell r="J307">
            <v>25</v>
          </cell>
          <cell r="K307">
            <v>24</v>
          </cell>
          <cell r="L307">
            <v>23</v>
          </cell>
          <cell r="M307">
            <v>22</v>
          </cell>
        </row>
        <row r="308">
          <cell r="A308" t="str">
            <v>DQ9130C1</v>
          </cell>
          <cell r="B308">
            <v>456</v>
          </cell>
          <cell r="C308">
            <v>24.7045738994545</v>
          </cell>
          <cell r="D308">
            <v>0</v>
          </cell>
          <cell r="E308">
            <v>24.7045738994545</v>
          </cell>
          <cell r="F308" t="str">
            <v>自制</v>
          </cell>
          <cell r="G308" t="str">
            <v>福特翼虎(美规)3.0L</v>
          </cell>
          <cell r="H308">
            <v>34</v>
          </cell>
          <cell r="I308">
            <v>33</v>
          </cell>
          <cell r="J308">
            <v>31</v>
          </cell>
          <cell r="K308">
            <v>30</v>
          </cell>
          <cell r="L308">
            <v>29</v>
          </cell>
          <cell r="M308">
            <v>28</v>
          </cell>
        </row>
        <row r="309">
          <cell r="A309" t="str">
            <v>DQ910829</v>
          </cell>
          <cell r="B309">
            <v>454</v>
          </cell>
          <cell r="C309">
            <v>27.7336450994545</v>
          </cell>
          <cell r="D309">
            <v>0</v>
          </cell>
          <cell r="E309">
            <v>27.7336450994545</v>
          </cell>
          <cell r="F309" t="str">
            <v>自制</v>
          </cell>
          <cell r="G309" t="str">
            <v>丰田02229</v>
          </cell>
          <cell r="H309">
            <v>38</v>
          </cell>
          <cell r="I309">
            <v>37</v>
          </cell>
          <cell r="J309">
            <v>35</v>
          </cell>
          <cell r="K309">
            <v>34</v>
          </cell>
          <cell r="L309">
            <v>32</v>
          </cell>
          <cell r="M309">
            <v>31</v>
          </cell>
        </row>
        <row r="310">
          <cell r="A310" t="str">
            <v>DQ9217B</v>
          </cell>
          <cell r="B310">
            <v>452</v>
          </cell>
          <cell r="C310">
            <v>30.0955125727273</v>
          </cell>
          <cell r="D310">
            <v>0</v>
          </cell>
          <cell r="E310">
            <v>30.0955125727273</v>
          </cell>
          <cell r="F310" t="str">
            <v>自制</v>
          </cell>
          <cell r="G310" t="str">
            <v>福美来短杆（国外）</v>
          </cell>
          <cell r="H310">
            <v>41</v>
          </cell>
          <cell r="I310">
            <v>40</v>
          </cell>
          <cell r="J310">
            <v>38</v>
          </cell>
          <cell r="K310">
            <v>37</v>
          </cell>
          <cell r="L310">
            <v>35</v>
          </cell>
          <cell r="M310">
            <v>34</v>
          </cell>
        </row>
        <row r="311">
          <cell r="A311" t="str">
            <v>DQ9036B1</v>
          </cell>
          <cell r="B311">
            <v>450</v>
          </cell>
          <cell r="C311">
            <v>26.7642256154545</v>
          </cell>
          <cell r="D311">
            <v>0</v>
          </cell>
          <cell r="E311">
            <v>26.7642256154545</v>
          </cell>
          <cell r="F311" t="str">
            <v>自制</v>
          </cell>
          <cell r="G311" t="str">
            <v>菲亚特</v>
          </cell>
          <cell r="H311">
            <v>37</v>
          </cell>
          <cell r="I311">
            <v>35</v>
          </cell>
          <cell r="J311">
            <v>34</v>
          </cell>
          <cell r="K311">
            <v>33</v>
          </cell>
          <cell r="L311">
            <v>31</v>
          </cell>
          <cell r="M311">
            <v>30</v>
          </cell>
        </row>
        <row r="312">
          <cell r="A312" t="str">
            <v>DQ9026A2</v>
          </cell>
          <cell r="B312">
            <v>449</v>
          </cell>
          <cell r="C312">
            <v>33.6490030495063</v>
          </cell>
          <cell r="D312">
            <v>3.25175342405179</v>
          </cell>
          <cell r="E312">
            <v>30.3972496254545</v>
          </cell>
          <cell r="F312" t="str">
            <v>自制</v>
          </cell>
          <cell r="G312" t="str">
            <v>捷豹 XJL(进口) 5.0L/5.0T</v>
          </cell>
          <cell r="H312">
            <v>46</v>
          </cell>
          <cell r="I312">
            <v>44</v>
          </cell>
          <cell r="J312">
            <v>43</v>
          </cell>
          <cell r="K312">
            <v>41</v>
          </cell>
          <cell r="L312">
            <v>39</v>
          </cell>
          <cell r="M312">
            <v>38</v>
          </cell>
        </row>
        <row r="313">
          <cell r="A313" t="str">
            <v>DQ9026A1</v>
          </cell>
          <cell r="B313">
            <v>448</v>
          </cell>
          <cell r="C313">
            <v>33.6409288549993</v>
          </cell>
          <cell r="D313">
            <v>2.73839601499933</v>
          </cell>
          <cell r="E313">
            <v>30.90253284</v>
          </cell>
          <cell r="F313" t="str">
            <v>自制</v>
          </cell>
          <cell r="G313" t="str">
            <v>路虎5.0T</v>
          </cell>
          <cell r="H313">
            <v>46</v>
          </cell>
          <cell r="I313">
            <v>44</v>
          </cell>
          <cell r="J313">
            <v>43</v>
          </cell>
          <cell r="K313">
            <v>41</v>
          </cell>
          <cell r="L313">
            <v>39</v>
          </cell>
          <cell r="M313">
            <v>38</v>
          </cell>
        </row>
        <row r="314">
          <cell r="A314" t="str">
            <v>DQ9062A3</v>
          </cell>
          <cell r="B314">
            <v>448</v>
          </cell>
          <cell r="C314">
            <v>41.58</v>
          </cell>
          <cell r="D314">
            <v>0</v>
          </cell>
          <cell r="E314">
            <v>41.58</v>
          </cell>
          <cell r="F314" t="str">
            <v>调货</v>
          </cell>
          <cell r="G314" t="str">
            <v>长城风骏5 2.4L</v>
          </cell>
          <cell r="H314">
            <v>50</v>
          </cell>
          <cell r="I314">
            <v>49</v>
          </cell>
          <cell r="J314">
            <v>48</v>
          </cell>
          <cell r="K314">
            <v>47</v>
          </cell>
          <cell r="L314">
            <v>47</v>
          </cell>
          <cell r="M314">
            <v>46</v>
          </cell>
        </row>
        <row r="315">
          <cell r="A315" t="str">
            <v>DQ9101C2</v>
          </cell>
          <cell r="B315">
            <v>447</v>
          </cell>
          <cell r="C315">
            <v>19.3371692984848</v>
          </cell>
          <cell r="D315">
            <v>0</v>
          </cell>
          <cell r="E315">
            <v>19.3371692984848</v>
          </cell>
          <cell r="F315" t="str">
            <v>自制</v>
          </cell>
          <cell r="G315" t="str">
            <v>现代ix35</v>
          </cell>
          <cell r="H315">
            <v>27</v>
          </cell>
          <cell r="I315">
            <v>26</v>
          </cell>
          <cell r="J315">
            <v>25</v>
          </cell>
          <cell r="K315">
            <v>24</v>
          </cell>
          <cell r="L315">
            <v>23</v>
          </cell>
          <cell r="M315">
            <v>22</v>
          </cell>
        </row>
        <row r="316">
          <cell r="A316" t="str">
            <v>DQ9209J</v>
          </cell>
          <cell r="B316">
            <v>446</v>
          </cell>
          <cell r="C316">
            <v>21.6535191227273</v>
          </cell>
          <cell r="D316">
            <v>0</v>
          </cell>
          <cell r="E316">
            <v>21.6535191227273</v>
          </cell>
          <cell r="F316" t="str">
            <v>自制</v>
          </cell>
          <cell r="G316" t="str">
            <v>吉利远景</v>
          </cell>
          <cell r="H316">
            <v>30</v>
          </cell>
          <cell r="I316">
            <v>29</v>
          </cell>
          <cell r="J316">
            <v>28</v>
          </cell>
          <cell r="K316">
            <v>26</v>
          </cell>
          <cell r="L316">
            <v>25</v>
          </cell>
          <cell r="M316">
            <v>24</v>
          </cell>
        </row>
        <row r="317">
          <cell r="A317" t="str">
            <v>DQ9010D</v>
          </cell>
          <cell r="B317">
            <v>441</v>
          </cell>
          <cell r="C317">
            <v>25.6337332454545</v>
          </cell>
          <cell r="D317">
            <v>0</v>
          </cell>
          <cell r="E317">
            <v>25.6337332454545</v>
          </cell>
          <cell r="F317" t="str">
            <v>自制</v>
          </cell>
          <cell r="G317" t="str">
            <v>新飞度</v>
          </cell>
          <cell r="H317">
            <v>35</v>
          </cell>
          <cell r="I317">
            <v>34</v>
          </cell>
          <cell r="J317">
            <v>33</v>
          </cell>
          <cell r="K317">
            <v>31</v>
          </cell>
          <cell r="L317">
            <v>30</v>
          </cell>
          <cell r="M317">
            <v>29</v>
          </cell>
        </row>
        <row r="318">
          <cell r="A318" t="str">
            <v>DQ4201A1</v>
          </cell>
          <cell r="B318">
            <v>440</v>
          </cell>
          <cell r="C318">
            <v>47.1765</v>
          </cell>
          <cell r="D318">
            <v>0</v>
          </cell>
          <cell r="E318">
            <v>47.1765</v>
          </cell>
          <cell r="F318" t="str">
            <v>调货</v>
          </cell>
          <cell r="G318" t="str">
            <v>奔驰210</v>
          </cell>
          <cell r="H318">
            <v>57</v>
          </cell>
          <cell r="I318">
            <v>56</v>
          </cell>
          <cell r="J318">
            <v>55</v>
          </cell>
          <cell r="K318">
            <v>54</v>
          </cell>
          <cell r="L318">
            <v>53</v>
          </cell>
          <cell r="M318">
            <v>52</v>
          </cell>
        </row>
        <row r="319">
          <cell r="A319" t="str">
            <v>DQ9045D1</v>
          </cell>
          <cell r="B319">
            <v>435</v>
          </cell>
          <cell r="C319">
            <v>48.93</v>
          </cell>
          <cell r="D319">
            <v>0</v>
          </cell>
          <cell r="E319">
            <v>48.93</v>
          </cell>
          <cell r="F319" t="str">
            <v>调货</v>
          </cell>
          <cell r="G319" t="str">
            <v>斯巴鲁森林人2.0L</v>
          </cell>
          <cell r="H319">
            <v>59</v>
          </cell>
          <cell r="I319">
            <v>58</v>
          </cell>
          <cell r="J319">
            <v>57</v>
          </cell>
          <cell r="K319">
            <v>56</v>
          </cell>
          <cell r="L319">
            <v>55</v>
          </cell>
          <cell r="M319">
            <v>54</v>
          </cell>
        </row>
        <row r="320">
          <cell r="A320" t="str">
            <v>DQ9103F</v>
          </cell>
          <cell r="B320">
            <v>434</v>
          </cell>
          <cell r="C320">
            <v>40.7444012454546</v>
          </cell>
          <cell r="D320">
            <v>0</v>
          </cell>
          <cell r="E320">
            <v>40.7444012454546</v>
          </cell>
          <cell r="F320" t="str">
            <v>自制</v>
          </cell>
          <cell r="G320" t="str">
            <v>途观 1.8T</v>
          </cell>
          <cell r="H320">
            <v>56</v>
          </cell>
          <cell r="I320">
            <v>53</v>
          </cell>
          <cell r="J320">
            <v>51</v>
          </cell>
          <cell r="K320">
            <v>49</v>
          </cell>
          <cell r="L320">
            <v>47</v>
          </cell>
          <cell r="M320">
            <v>45</v>
          </cell>
        </row>
        <row r="321">
          <cell r="A321" t="str">
            <v>DQ910804</v>
          </cell>
          <cell r="B321">
            <v>434</v>
          </cell>
          <cell r="C321">
            <v>30.0163285890977</v>
          </cell>
          <cell r="D321">
            <v>1.85724493530978</v>
          </cell>
          <cell r="E321">
            <v>28.1590836537879</v>
          </cell>
          <cell r="F321" t="str">
            <v>自制</v>
          </cell>
          <cell r="G321" t="str">
            <v>锐志</v>
          </cell>
          <cell r="H321">
            <v>41</v>
          </cell>
          <cell r="I321">
            <v>40</v>
          </cell>
          <cell r="J321">
            <v>38</v>
          </cell>
          <cell r="K321">
            <v>37</v>
          </cell>
          <cell r="L321">
            <v>35</v>
          </cell>
          <cell r="M321">
            <v>34</v>
          </cell>
        </row>
        <row r="322">
          <cell r="A322" t="str">
            <v>DQ9003F1</v>
          </cell>
          <cell r="B322">
            <v>425</v>
          </cell>
          <cell r="C322">
            <v>27.9605389066907</v>
          </cell>
          <cell r="D322">
            <v>1.18203892123617</v>
          </cell>
          <cell r="E322">
            <v>26.7784999854545</v>
          </cell>
          <cell r="F322" t="str">
            <v>自制</v>
          </cell>
          <cell r="G322" t="str">
            <v>日产 370Z  V6 3.7L/英菲尼迪</v>
          </cell>
          <cell r="H322">
            <v>38</v>
          </cell>
          <cell r="I322">
            <v>37</v>
          </cell>
          <cell r="J322">
            <v>35</v>
          </cell>
          <cell r="K322">
            <v>34</v>
          </cell>
          <cell r="L322">
            <v>33</v>
          </cell>
          <cell r="M322">
            <v>31</v>
          </cell>
        </row>
        <row r="323">
          <cell r="A323" t="str">
            <v>DQ9064A1</v>
          </cell>
          <cell r="B323">
            <v>422</v>
          </cell>
          <cell r="C323">
            <v>32.9593761008059</v>
          </cell>
          <cell r="D323">
            <v>0.472771295351296</v>
          </cell>
          <cell r="E323">
            <v>32.4866048054546</v>
          </cell>
          <cell r="F323" t="str">
            <v>自制</v>
          </cell>
          <cell r="G323" t="str">
            <v>上汽MAXUS G10</v>
          </cell>
          <cell r="H323">
            <v>45</v>
          </cell>
          <cell r="I323">
            <v>43</v>
          </cell>
          <cell r="J323">
            <v>42</v>
          </cell>
          <cell r="K323">
            <v>40</v>
          </cell>
          <cell r="L323">
            <v>38</v>
          </cell>
          <cell r="M323">
            <v>37</v>
          </cell>
        </row>
        <row r="324">
          <cell r="A324" t="str">
            <v>DQ9062A2</v>
          </cell>
          <cell r="B324">
            <v>422</v>
          </cell>
          <cell r="C324">
            <v>41.58</v>
          </cell>
          <cell r="D324">
            <v>0</v>
          </cell>
          <cell r="E324">
            <v>41.58</v>
          </cell>
          <cell r="F324" t="str">
            <v>调货</v>
          </cell>
          <cell r="G324" t="str">
            <v>新款东风柳汽</v>
          </cell>
          <cell r="H324">
            <v>50</v>
          </cell>
          <cell r="I324">
            <v>49</v>
          </cell>
          <cell r="J324">
            <v>48</v>
          </cell>
          <cell r="K324">
            <v>47</v>
          </cell>
          <cell r="L324">
            <v>47</v>
          </cell>
          <cell r="M324">
            <v>46</v>
          </cell>
        </row>
        <row r="325">
          <cell r="A325" t="str">
            <v>DQ9046A2</v>
          </cell>
          <cell r="B325">
            <v>421</v>
          </cell>
          <cell r="C325">
            <v>22.4727512854545</v>
          </cell>
          <cell r="D325">
            <v>0</v>
          </cell>
          <cell r="E325">
            <v>22.4727512854545</v>
          </cell>
          <cell r="F325" t="str">
            <v>自制</v>
          </cell>
          <cell r="G325" t="str">
            <v>力帆330 1.3L</v>
          </cell>
          <cell r="H325">
            <v>31</v>
          </cell>
          <cell r="I325">
            <v>30</v>
          </cell>
          <cell r="J325">
            <v>29</v>
          </cell>
          <cell r="K325">
            <v>27</v>
          </cell>
          <cell r="L325">
            <v>26</v>
          </cell>
          <cell r="M325">
            <v>25</v>
          </cell>
        </row>
        <row r="326">
          <cell r="A326" t="str">
            <v>DQ9132K1</v>
          </cell>
          <cell r="B326">
            <v>415</v>
          </cell>
          <cell r="C326">
            <v>35.0338358994545</v>
          </cell>
          <cell r="D326">
            <v>0</v>
          </cell>
          <cell r="E326">
            <v>35.0338358994545</v>
          </cell>
          <cell r="F326" t="str">
            <v>自制</v>
          </cell>
          <cell r="G326" t="str">
            <v>大发B2040</v>
          </cell>
          <cell r="H326">
            <v>48</v>
          </cell>
          <cell r="I326">
            <v>46</v>
          </cell>
          <cell r="J326">
            <v>44</v>
          </cell>
          <cell r="K326">
            <v>43</v>
          </cell>
          <cell r="L326">
            <v>41</v>
          </cell>
          <cell r="M326">
            <v>39</v>
          </cell>
        </row>
        <row r="327">
          <cell r="A327" t="str">
            <v>DQ9025K1</v>
          </cell>
          <cell r="B327">
            <v>407</v>
          </cell>
          <cell r="C327">
            <v>45.5128625279493</v>
          </cell>
          <cell r="D327">
            <v>7.24889669522196</v>
          </cell>
          <cell r="E327">
            <v>38.2639658327273</v>
          </cell>
          <cell r="F327" t="str">
            <v>自制</v>
          </cell>
          <cell r="G327" t="str">
            <v>奔驰1.3T</v>
          </cell>
          <cell r="H327">
            <v>62</v>
          </cell>
          <cell r="I327">
            <v>60</v>
          </cell>
          <cell r="J327">
            <v>57</v>
          </cell>
          <cell r="K327">
            <v>55</v>
          </cell>
          <cell r="L327">
            <v>53</v>
          </cell>
          <cell r="M327">
            <v>51</v>
          </cell>
        </row>
        <row r="328">
          <cell r="A328" t="str">
            <v>DQ9113E1</v>
          </cell>
          <cell r="B328">
            <v>403</v>
          </cell>
          <cell r="C328">
            <v>31.8200887551515</v>
          </cell>
          <cell r="D328">
            <v>0</v>
          </cell>
          <cell r="E328">
            <v>31.8200887551515</v>
          </cell>
          <cell r="F328" t="str">
            <v>自制</v>
          </cell>
          <cell r="G328" t="str">
            <v>6Y02 奔驰</v>
          </cell>
          <cell r="H328">
            <v>43</v>
          </cell>
          <cell r="I328">
            <v>42</v>
          </cell>
          <cell r="J328">
            <v>40</v>
          </cell>
          <cell r="K328">
            <v>39</v>
          </cell>
          <cell r="L328">
            <v>37</v>
          </cell>
          <cell r="M328">
            <v>36</v>
          </cell>
        </row>
        <row r="329">
          <cell r="A329" t="str">
            <v>DQ9105L</v>
          </cell>
          <cell r="B329">
            <v>396</v>
          </cell>
          <cell r="C329">
            <v>21.3642141424849</v>
          </cell>
          <cell r="D329">
            <v>0</v>
          </cell>
          <cell r="E329">
            <v>21.3642141424849</v>
          </cell>
          <cell r="F329" t="str">
            <v>自制</v>
          </cell>
          <cell r="G329" t="str">
            <v>奇瑞QQ 0.8L</v>
          </cell>
          <cell r="H329">
            <v>29</v>
          </cell>
          <cell r="I329">
            <v>28</v>
          </cell>
          <cell r="J329">
            <v>27</v>
          </cell>
          <cell r="K329">
            <v>26</v>
          </cell>
          <cell r="L329">
            <v>25</v>
          </cell>
          <cell r="M329">
            <v>24</v>
          </cell>
        </row>
        <row r="330">
          <cell r="A330" t="str">
            <v>DQ133A</v>
          </cell>
          <cell r="B330">
            <v>393</v>
          </cell>
          <cell r="C330">
            <v>45.1828429853758</v>
          </cell>
          <cell r="D330">
            <v>-0.800639832805953</v>
          </cell>
          <cell r="E330">
            <v>45.9834828181818</v>
          </cell>
          <cell r="F330" t="str">
            <v>自制</v>
          </cell>
          <cell r="G330" t="str">
            <v>福特(四头)</v>
          </cell>
          <cell r="H330">
            <v>61</v>
          </cell>
          <cell r="I330">
            <v>59</v>
          </cell>
          <cell r="J330">
            <v>57</v>
          </cell>
          <cell r="K330">
            <v>55</v>
          </cell>
          <cell r="L330">
            <v>52</v>
          </cell>
          <cell r="M330">
            <v>50</v>
          </cell>
        </row>
        <row r="331">
          <cell r="A331" t="str">
            <v>DQ9103H</v>
          </cell>
          <cell r="B331">
            <v>388</v>
          </cell>
          <cell r="C331">
            <v>30.6662083754545</v>
          </cell>
          <cell r="D331">
            <v>0</v>
          </cell>
          <cell r="E331">
            <v>30.6662083754545</v>
          </cell>
          <cell r="F331" t="str">
            <v>自制</v>
          </cell>
          <cell r="G331" t="str">
            <v>辉腾</v>
          </cell>
          <cell r="H331">
            <v>42</v>
          </cell>
          <cell r="I331">
            <v>40</v>
          </cell>
          <cell r="J331">
            <v>39</v>
          </cell>
          <cell r="K331">
            <v>37</v>
          </cell>
          <cell r="L331">
            <v>36</v>
          </cell>
          <cell r="M331">
            <v>34</v>
          </cell>
        </row>
        <row r="332">
          <cell r="A332" t="str">
            <v>DQ9060A1</v>
          </cell>
          <cell r="B332">
            <v>386</v>
          </cell>
          <cell r="C332">
            <v>26.3133070154545</v>
          </cell>
          <cell r="D332">
            <v>0</v>
          </cell>
          <cell r="E332">
            <v>26.3133070154545</v>
          </cell>
          <cell r="F332" t="str">
            <v>自制</v>
          </cell>
          <cell r="G332" t="str">
            <v>东风风光Ixi5</v>
          </cell>
          <cell r="H332">
            <v>36</v>
          </cell>
          <cell r="I332">
            <v>35</v>
          </cell>
          <cell r="J332">
            <v>33</v>
          </cell>
          <cell r="K332">
            <v>32</v>
          </cell>
          <cell r="L332">
            <v>31</v>
          </cell>
          <cell r="M332">
            <v>29</v>
          </cell>
        </row>
        <row r="333">
          <cell r="A333" t="str">
            <v>DQ9003A5</v>
          </cell>
          <cell r="B333">
            <v>385</v>
          </cell>
          <cell r="C333">
            <v>25.1307989854545</v>
          </cell>
          <cell r="D333">
            <v>0</v>
          </cell>
          <cell r="E333">
            <v>25.1307989854545</v>
          </cell>
          <cell r="F333" t="str">
            <v>自制</v>
          </cell>
          <cell r="G333" t="str">
            <v>SM3</v>
          </cell>
          <cell r="H333">
            <v>34</v>
          </cell>
          <cell r="I333">
            <v>33</v>
          </cell>
          <cell r="J333">
            <v>32</v>
          </cell>
          <cell r="K333">
            <v>31</v>
          </cell>
          <cell r="L333">
            <v>29</v>
          </cell>
          <cell r="M333">
            <v>28</v>
          </cell>
        </row>
        <row r="334">
          <cell r="A334" t="str">
            <v>DQ9023C2</v>
          </cell>
          <cell r="B334">
            <v>384</v>
          </cell>
          <cell r="C334">
            <v>31.1080867987879</v>
          </cell>
          <cell r="D334">
            <v>0</v>
          </cell>
          <cell r="E334">
            <v>31.1080867987879</v>
          </cell>
          <cell r="F334" t="str">
            <v>自制</v>
          </cell>
          <cell r="G334" t="str">
            <v>大众斯柯达</v>
          </cell>
          <cell r="H334">
            <v>42</v>
          </cell>
          <cell r="I334">
            <v>41</v>
          </cell>
          <cell r="J334">
            <v>39</v>
          </cell>
          <cell r="K334">
            <v>38</v>
          </cell>
          <cell r="L334">
            <v>36</v>
          </cell>
          <cell r="M334">
            <v>35</v>
          </cell>
        </row>
        <row r="335">
          <cell r="A335" t="str">
            <v>DQ9057A1</v>
          </cell>
          <cell r="B335">
            <v>376</v>
          </cell>
          <cell r="C335">
            <v>42.3658152808989</v>
          </cell>
          <cell r="D335">
            <v>0.785815280898877</v>
          </cell>
          <cell r="E335">
            <v>41.58</v>
          </cell>
          <cell r="F335" t="str">
            <v>调货</v>
          </cell>
          <cell r="G335" t="str">
            <v>比速T5</v>
          </cell>
          <cell r="H335">
            <v>51</v>
          </cell>
          <cell r="I335">
            <v>50</v>
          </cell>
          <cell r="J335">
            <v>49</v>
          </cell>
          <cell r="K335">
            <v>48</v>
          </cell>
          <cell r="L335">
            <v>48</v>
          </cell>
          <cell r="M335">
            <v>47</v>
          </cell>
        </row>
        <row r="336">
          <cell r="A336" t="str">
            <v>DQ6206</v>
          </cell>
          <cell r="B336">
            <v>375</v>
          </cell>
          <cell r="C336">
            <v>24.93</v>
          </cell>
          <cell r="D336">
            <v>0</v>
          </cell>
          <cell r="E336">
            <v>24.93</v>
          </cell>
          <cell r="F336" t="str">
            <v>调货</v>
          </cell>
          <cell r="G336" t="str">
            <v>三菱帕杰罗二代</v>
          </cell>
          <cell r="H336">
            <v>30</v>
          </cell>
          <cell r="I336">
            <v>30</v>
          </cell>
          <cell r="J336">
            <v>29</v>
          </cell>
          <cell r="K336">
            <v>29</v>
          </cell>
          <cell r="L336">
            <v>28</v>
          </cell>
          <cell r="M336">
            <v>28</v>
          </cell>
        </row>
        <row r="337">
          <cell r="A337" t="str">
            <v>DQ9113A</v>
          </cell>
          <cell r="B337">
            <v>371</v>
          </cell>
          <cell r="C337">
            <v>18.6259231484849</v>
          </cell>
          <cell r="D337">
            <v>0</v>
          </cell>
          <cell r="E337">
            <v>18.6259231484849</v>
          </cell>
          <cell r="F337" t="str">
            <v>自制</v>
          </cell>
          <cell r="G337" t="str">
            <v>长城嘉誉无模块</v>
          </cell>
          <cell r="H337">
            <v>26</v>
          </cell>
          <cell r="I337">
            <v>25</v>
          </cell>
          <cell r="J337">
            <v>24</v>
          </cell>
          <cell r="K337">
            <v>23</v>
          </cell>
          <cell r="L337">
            <v>22</v>
          </cell>
          <cell r="M337">
            <v>21</v>
          </cell>
        </row>
        <row r="338">
          <cell r="A338" t="str">
            <v>DQ6209</v>
          </cell>
          <cell r="B338">
            <v>371</v>
          </cell>
          <cell r="C338">
            <v>45.63</v>
          </cell>
          <cell r="D338">
            <v>0</v>
          </cell>
          <cell r="E338">
            <v>45.63</v>
          </cell>
          <cell r="F338" t="str">
            <v>调货</v>
          </cell>
          <cell r="G338" t="str">
            <v>丰田霸道2700</v>
          </cell>
          <cell r="H338">
            <v>55</v>
          </cell>
          <cell r="I338">
            <v>54</v>
          </cell>
          <cell r="J338">
            <v>53</v>
          </cell>
          <cell r="K338">
            <v>52</v>
          </cell>
          <cell r="L338">
            <v>52</v>
          </cell>
          <cell r="M338">
            <v>51</v>
          </cell>
        </row>
        <row r="339">
          <cell r="A339" t="str">
            <v>DQ9121A1</v>
          </cell>
          <cell r="B339">
            <v>368</v>
          </cell>
          <cell r="C339">
            <v>33.3213403810606</v>
          </cell>
          <cell r="D339">
            <v>0</v>
          </cell>
          <cell r="E339">
            <v>33.3213403810606</v>
          </cell>
          <cell r="F339" t="str">
            <v>自制</v>
          </cell>
          <cell r="G339" t="str">
            <v>凯迪拉克</v>
          </cell>
          <cell r="H339">
            <v>45</v>
          </cell>
          <cell r="I339">
            <v>44</v>
          </cell>
          <cell r="J339">
            <v>42</v>
          </cell>
          <cell r="K339">
            <v>40</v>
          </cell>
          <cell r="L339">
            <v>39</v>
          </cell>
          <cell r="M339">
            <v>37</v>
          </cell>
        </row>
        <row r="340">
          <cell r="A340" t="str">
            <v>DQ9150D1</v>
          </cell>
          <cell r="B340">
            <v>367</v>
          </cell>
          <cell r="C340">
            <v>49.791</v>
          </cell>
          <cell r="D340">
            <v>0</v>
          </cell>
          <cell r="E340">
            <v>49.791</v>
          </cell>
          <cell r="F340" t="str">
            <v>调货</v>
          </cell>
          <cell r="G340" t="str">
            <v>捷豹</v>
          </cell>
          <cell r="H340">
            <v>60</v>
          </cell>
          <cell r="I340">
            <v>59</v>
          </cell>
          <cell r="J340">
            <v>58</v>
          </cell>
          <cell r="K340">
            <v>57</v>
          </cell>
          <cell r="L340">
            <v>56</v>
          </cell>
          <cell r="M340">
            <v>55</v>
          </cell>
        </row>
        <row r="341">
          <cell r="A341" t="str">
            <v>DQ901872</v>
          </cell>
          <cell r="B341">
            <v>366</v>
          </cell>
          <cell r="C341">
            <v>47.57995155564</v>
          </cell>
          <cell r="D341">
            <v>1.32535155564</v>
          </cell>
          <cell r="E341">
            <v>46.2546</v>
          </cell>
          <cell r="F341" t="str">
            <v>调货</v>
          </cell>
          <cell r="G341" t="str">
            <v>丰田02272</v>
          </cell>
          <cell r="H341">
            <v>57</v>
          </cell>
          <cell r="I341">
            <v>56</v>
          </cell>
          <cell r="J341">
            <v>55</v>
          </cell>
          <cell r="K341">
            <v>54</v>
          </cell>
          <cell r="L341">
            <v>54</v>
          </cell>
          <cell r="M341">
            <v>53</v>
          </cell>
        </row>
        <row r="342">
          <cell r="A342" t="str">
            <v>DQ9154A1</v>
          </cell>
          <cell r="B342">
            <v>360</v>
          </cell>
          <cell r="C342">
            <v>45.78</v>
          </cell>
          <cell r="D342">
            <v>0</v>
          </cell>
          <cell r="E342">
            <v>45.78</v>
          </cell>
          <cell r="F342" t="str">
            <v>调货</v>
          </cell>
          <cell r="G342" t="str">
            <v>斯巴鲁</v>
          </cell>
          <cell r="H342">
            <v>55</v>
          </cell>
          <cell r="I342">
            <v>54</v>
          </cell>
          <cell r="J342">
            <v>53</v>
          </cell>
          <cell r="K342">
            <v>52</v>
          </cell>
          <cell r="L342">
            <v>52</v>
          </cell>
          <cell r="M342">
            <v>51</v>
          </cell>
        </row>
        <row r="343">
          <cell r="A343" t="str">
            <v>DQ134</v>
          </cell>
          <cell r="B343">
            <v>356</v>
          </cell>
          <cell r="C343">
            <v>44.7</v>
          </cell>
          <cell r="D343">
            <v>0</v>
          </cell>
          <cell r="E343">
            <v>44.7</v>
          </cell>
          <cell r="F343" t="str">
            <v>调货</v>
          </cell>
          <cell r="G343" t="str">
            <v>蒙迪欧新款（小头）2.0</v>
          </cell>
          <cell r="H343">
            <v>54</v>
          </cell>
          <cell r="I343">
            <v>53</v>
          </cell>
          <cell r="J343">
            <v>52</v>
          </cell>
          <cell r="K343">
            <v>51</v>
          </cell>
          <cell r="L343">
            <v>51</v>
          </cell>
          <cell r="M343">
            <v>50</v>
          </cell>
        </row>
        <row r="344">
          <cell r="A344" t="str">
            <v>DQ9007K1</v>
          </cell>
          <cell r="B344">
            <v>345</v>
          </cell>
          <cell r="C344">
            <v>32.8229843104545</v>
          </cell>
          <cell r="D344">
            <v>0</v>
          </cell>
          <cell r="E344">
            <v>32.8229843104545</v>
          </cell>
          <cell r="F344" t="str">
            <v>自制</v>
          </cell>
          <cell r="G344" t="str">
            <v>现代起亚</v>
          </cell>
          <cell r="H344">
            <v>45</v>
          </cell>
          <cell r="I344">
            <v>43</v>
          </cell>
          <cell r="J344">
            <v>42</v>
          </cell>
          <cell r="K344">
            <v>40</v>
          </cell>
          <cell r="L344">
            <v>38</v>
          </cell>
          <cell r="M344">
            <v>37</v>
          </cell>
        </row>
        <row r="345">
          <cell r="A345" t="str">
            <v>DQ9102</v>
          </cell>
          <cell r="B345">
            <v>337</v>
          </cell>
          <cell r="C345">
            <v>36.2511687489687</v>
          </cell>
          <cell r="D345">
            <v>0</v>
          </cell>
          <cell r="E345">
            <v>36.2511687489687</v>
          </cell>
          <cell r="F345" t="str">
            <v>自制</v>
          </cell>
          <cell r="G345" t="str">
            <v>帕萨特1.8</v>
          </cell>
          <cell r="H345">
            <v>49</v>
          </cell>
          <cell r="I345">
            <v>48</v>
          </cell>
          <cell r="J345">
            <v>46</v>
          </cell>
          <cell r="K345">
            <v>44</v>
          </cell>
          <cell r="L345">
            <v>42</v>
          </cell>
          <cell r="M345">
            <v>40</v>
          </cell>
        </row>
        <row r="346">
          <cell r="A346" t="str">
            <v>DQ9209</v>
          </cell>
          <cell r="B346">
            <v>329</v>
          </cell>
          <cell r="C346">
            <v>23.2281691227273</v>
          </cell>
          <cell r="D346">
            <v>0</v>
          </cell>
          <cell r="E346">
            <v>23.2281691227273</v>
          </cell>
          <cell r="F346" t="str">
            <v>自制</v>
          </cell>
          <cell r="G346" t="str">
            <v>五菱杨光</v>
          </cell>
          <cell r="H346">
            <v>32</v>
          </cell>
          <cell r="I346">
            <v>31</v>
          </cell>
          <cell r="J346">
            <v>30</v>
          </cell>
          <cell r="K346">
            <v>28</v>
          </cell>
          <cell r="L346">
            <v>27</v>
          </cell>
          <cell r="M346">
            <v>26</v>
          </cell>
        </row>
        <row r="347">
          <cell r="A347" t="str">
            <v>DQ9016D1</v>
          </cell>
          <cell r="B347">
            <v>329</v>
          </cell>
          <cell r="C347">
            <v>41.58</v>
          </cell>
          <cell r="D347">
            <v>0</v>
          </cell>
          <cell r="E347">
            <v>41.58</v>
          </cell>
          <cell r="F347" t="str">
            <v>调货</v>
          </cell>
          <cell r="G347" t="str">
            <v>全新凯越1.3L 2018-</v>
          </cell>
          <cell r="H347">
            <v>50</v>
          </cell>
          <cell r="I347">
            <v>49</v>
          </cell>
          <cell r="J347">
            <v>48</v>
          </cell>
          <cell r="K347">
            <v>47</v>
          </cell>
          <cell r="L347">
            <v>47</v>
          </cell>
          <cell r="M347">
            <v>46</v>
          </cell>
        </row>
        <row r="348">
          <cell r="A348" t="str">
            <v>DQ9050B1</v>
          </cell>
          <cell r="B348">
            <v>324</v>
          </cell>
          <cell r="C348">
            <v>48.93</v>
          </cell>
          <cell r="D348">
            <v>0</v>
          </cell>
          <cell r="E348">
            <v>48.93</v>
          </cell>
          <cell r="F348" t="str">
            <v>调货</v>
          </cell>
          <cell r="G348" t="str">
            <v>三菱 伊柯丽斯3.8L</v>
          </cell>
          <cell r="H348">
            <v>59</v>
          </cell>
          <cell r="I348">
            <v>58</v>
          </cell>
          <cell r="J348">
            <v>57</v>
          </cell>
          <cell r="K348">
            <v>56</v>
          </cell>
          <cell r="L348">
            <v>55</v>
          </cell>
          <cell r="M348">
            <v>54</v>
          </cell>
        </row>
        <row r="349">
          <cell r="A349" t="str">
            <v>DQ9065A1</v>
          </cell>
          <cell r="B349">
            <v>320</v>
          </cell>
          <cell r="C349">
            <v>39.48</v>
          </cell>
          <cell r="D349">
            <v>0</v>
          </cell>
          <cell r="E349">
            <v>39.48</v>
          </cell>
          <cell r="F349" t="str">
            <v>调货</v>
          </cell>
          <cell r="G349" t="str">
            <v>JEEP 牧马人 Sahara 2.0T</v>
          </cell>
          <cell r="H349">
            <v>47</v>
          </cell>
          <cell r="I349">
            <v>47</v>
          </cell>
          <cell r="J349">
            <v>46</v>
          </cell>
          <cell r="K349">
            <v>45</v>
          </cell>
          <cell r="L349">
            <v>45</v>
          </cell>
          <cell r="M349">
            <v>44</v>
          </cell>
        </row>
        <row r="350">
          <cell r="A350" t="str">
            <v>DQ9113B</v>
          </cell>
          <cell r="B350">
            <v>315</v>
          </cell>
          <cell r="C350">
            <v>29.8805027218182</v>
          </cell>
          <cell r="D350">
            <v>0</v>
          </cell>
          <cell r="E350">
            <v>29.8805027218182</v>
          </cell>
          <cell r="F350" t="str">
            <v>自制</v>
          </cell>
          <cell r="G350" t="str">
            <v>三菱欧蓝德</v>
          </cell>
          <cell r="H350">
            <v>41</v>
          </cell>
          <cell r="I350">
            <v>39</v>
          </cell>
          <cell r="J350">
            <v>38</v>
          </cell>
          <cell r="K350">
            <v>36</v>
          </cell>
          <cell r="L350">
            <v>35</v>
          </cell>
          <cell r="M350">
            <v>33</v>
          </cell>
        </row>
        <row r="351">
          <cell r="A351" t="str">
            <v>DQ6208</v>
          </cell>
          <cell r="B351">
            <v>313</v>
          </cell>
          <cell r="C351">
            <v>57.76</v>
          </cell>
          <cell r="D351">
            <v>0</v>
          </cell>
          <cell r="E351">
            <v>57.76</v>
          </cell>
          <cell r="F351" t="str">
            <v>调货</v>
          </cell>
          <cell r="G351" t="str">
            <v>千里马1.6L</v>
          </cell>
          <cell r="H351">
            <v>69</v>
          </cell>
          <cell r="I351">
            <v>68</v>
          </cell>
          <cell r="J351">
            <v>67</v>
          </cell>
          <cell r="K351">
            <v>66</v>
          </cell>
          <cell r="L351">
            <v>65</v>
          </cell>
          <cell r="M351">
            <v>64</v>
          </cell>
        </row>
        <row r="352">
          <cell r="A352" t="str">
            <v>DQ9034A2</v>
          </cell>
          <cell r="B352">
            <v>310</v>
          </cell>
          <cell r="C352">
            <v>26.8208753727273</v>
          </cell>
          <cell r="D352">
            <v>0</v>
          </cell>
          <cell r="E352">
            <v>26.8208753727273</v>
          </cell>
          <cell r="F352" t="str">
            <v>自制</v>
          </cell>
          <cell r="G352" t="str">
            <v>东风纳智捷</v>
          </cell>
          <cell r="H352">
            <v>37</v>
          </cell>
          <cell r="I352">
            <v>35</v>
          </cell>
          <cell r="J352">
            <v>34</v>
          </cell>
          <cell r="K352">
            <v>33</v>
          </cell>
          <cell r="L352">
            <v>31</v>
          </cell>
          <cell r="M352">
            <v>30</v>
          </cell>
        </row>
        <row r="353">
          <cell r="A353" t="str">
            <v>DQ9035A2</v>
          </cell>
          <cell r="B353">
            <v>310</v>
          </cell>
          <cell r="C353">
            <v>31.8668502593939</v>
          </cell>
          <cell r="D353">
            <v>0</v>
          </cell>
          <cell r="E353">
            <v>31.8668502593939</v>
          </cell>
          <cell r="F353" t="str">
            <v>自制</v>
          </cell>
          <cell r="G353" t="str">
            <v>奔腾 1.8T</v>
          </cell>
          <cell r="H353">
            <v>44</v>
          </cell>
          <cell r="I353">
            <v>42</v>
          </cell>
          <cell r="J353">
            <v>40</v>
          </cell>
          <cell r="K353">
            <v>39</v>
          </cell>
          <cell r="L353">
            <v>37</v>
          </cell>
          <cell r="M353">
            <v>36</v>
          </cell>
        </row>
        <row r="354">
          <cell r="A354" t="str">
            <v>DQ9039A2</v>
          </cell>
          <cell r="B354">
            <v>310</v>
          </cell>
          <cell r="C354">
            <v>23.9608218787879</v>
          </cell>
          <cell r="D354">
            <v>0</v>
          </cell>
          <cell r="E354">
            <v>23.9608218787879</v>
          </cell>
          <cell r="F354" t="str">
            <v>自制</v>
          </cell>
          <cell r="G354" t="str">
            <v>力帆迈威 1.8L</v>
          </cell>
          <cell r="H354">
            <v>33</v>
          </cell>
          <cell r="I354">
            <v>32</v>
          </cell>
          <cell r="J354">
            <v>30</v>
          </cell>
          <cell r="K354">
            <v>29</v>
          </cell>
          <cell r="L354">
            <v>28</v>
          </cell>
          <cell r="M354">
            <v>27</v>
          </cell>
        </row>
        <row r="355">
          <cell r="A355" t="str">
            <v>DQ9135A1</v>
          </cell>
          <cell r="B355">
            <v>301</v>
          </cell>
          <cell r="C355">
            <v>26.4552948954545</v>
          </cell>
          <cell r="D355">
            <v>0</v>
          </cell>
          <cell r="E355">
            <v>26.4552948954545</v>
          </cell>
          <cell r="F355" t="str">
            <v>自制</v>
          </cell>
          <cell r="G355" t="str">
            <v>标致 1.2T</v>
          </cell>
          <cell r="H355">
            <v>36</v>
          </cell>
          <cell r="I355">
            <v>35</v>
          </cell>
          <cell r="J355">
            <v>34</v>
          </cell>
          <cell r="K355">
            <v>32</v>
          </cell>
          <cell r="L355">
            <v>31</v>
          </cell>
          <cell r="M355">
            <v>30</v>
          </cell>
        </row>
        <row r="356">
          <cell r="A356" t="str">
            <v>DQ9209D</v>
          </cell>
          <cell r="B356">
            <v>299</v>
          </cell>
          <cell r="C356">
            <v>22.2035191227273</v>
          </cell>
          <cell r="D356">
            <v>0</v>
          </cell>
          <cell r="E356">
            <v>22.2035191227273</v>
          </cell>
          <cell r="F356" t="str">
            <v>自制</v>
          </cell>
          <cell r="G356" t="str">
            <v>哈飞赛马 比亚迪 菱帅</v>
          </cell>
          <cell r="H356">
            <v>30</v>
          </cell>
          <cell r="I356">
            <v>29</v>
          </cell>
          <cell r="J356">
            <v>28</v>
          </cell>
          <cell r="K356">
            <v>27</v>
          </cell>
          <cell r="L356">
            <v>26</v>
          </cell>
          <cell r="M356">
            <v>25</v>
          </cell>
        </row>
        <row r="357">
          <cell r="A357" t="str">
            <v>DQ9056A1</v>
          </cell>
          <cell r="B357">
            <v>299</v>
          </cell>
          <cell r="C357">
            <v>24.5025073654545</v>
          </cell>
          <cell r="D357">
            <v>0</v>
          </cell>
          <cell r="E357">
            <v>24.5025073654545</v>
          </cell>
          <cell r="F357" t="str">
            <v>自制</v>
          </cell>
          <cell r="G357" t="str">
            <v>东方小康</v>
          </cell>
          <cell r="H357">
            <v>34</v>
          </cell>
          <cell r="I357">
            <v>32</v>
          </cell>
          <cell r="J357">
            <v>31</v>
          </cell>
          <cell r="K357">
            <v>30</v>
          </cell>
          <cell r="L357">
            <v>29</v>
          </cell>
          <cell r="M357">
            <v>27</v>
          </cell>
        </row>
        <row r="358">
          <cell r="A358" t="str">
            <v>DQ9040C1</v>
          </cell>
          <cell r="B358">
            <v>296</v>
          </cell>
          <cell r="C358">
            <v>24.3131914787879</v>
          </cell>
          <cell r="D358">
            <v>0</v>
          </cell>
          <cell r="E358">
            <v>24.3131914787879</v>
          </cell>
          <cell r="F358" t="str">
            <v>自制</v>
          </cell>
          <cell r="G358" t="str">
            <v>长安CS35</v>
          </cell>
          <cell r="H358">
            <v>33</v>
          </cell>
          <cell r="I358">
            <v>32</v>
          </cell>
          <cell r="J358">
            <v>31</v>
          </cell>
          <cell r="K358">
            <v>30</v>
          </cell>
          <cell r="L358">
            <v>28</v>
          </cell>
          <cell r="M358">
            <v>27</v>
          </cell>
        </row>
        <row r="359">
          <cell r="A359" t="str">
            <v>DQ9068A2</v>
          </cell>
          <cell r="B359">
            <v>284</v>
          </cell>
          <cell r="C359">
            <v>43.68</v>
          </cell>
          <cell r="D359">
            <v>0</v>
          </cell>
          <cell r="E359">
            <v>43.68</v>
          </cell>
          <cell r="F359" t="str">
            <v>调货</v>
          </cell>
          <cell r="G359" t="str">
            <v>宝沃BX5</v>
          </cell>
          <cell r="H359">
            <v>52</v>
          </cell>
          <cell r="I359">
            <v>52</v>
          </cell>
          <cell r="J359">
            <v>51</v>
          </cell>
          <cell r="K359">
            <v>50</v>
          </cell>
          <cell r="L359">
            <v>49</v>
          </cell>
          <cell r="M359">
            <v>49</v>
          </cell>
        </row>
        <row r="360">
          <cell r="A360" t="str">
            <v>DQ9007Q1</v>
          </cell>
          <cell r="B360">
            <v>284</v>
          </cell>
          <cell r="C360">
            <v>34.1973266204545</v>
          </cell>
          <cell r="D360">
            <v>0</v>
          </cell>
          <cell r="E360">
            <v>34.1973266204545</v>
          </cell>
          <cell r="F360" t="str">
            <v>自制</v>
          </cell>
          <cell r="G360" t="str">
            <v>现代起亚</v>
          </cell>
          <cell r="H360">
            <v>47</v>
          </cell>
          <cell r="I360">
            <v>45</v>
          </cell>
          <cell r="J360">
            <v>43</v>
          </cell>
          <cell r="K360">
            <v>42</v>
          </cell>
          <cell r="L360">
            <v>40</v>
          </cell>
          <cell r="M360">
            <v>38</v>
          </cell>
        </row>
        <row r="361">
          <cell r="A361" t="str">
            <v>DQ9003K1</v>
          </cell>
          <cell r="B361">
            <v>280</v>
          </cell>
          <cell r="C361">
            <v>43.68</v>
          </cell>
          <cell r="D361">
            <v>0</v>
          </cell>
          <cell r="E361">
            <v>43.68</v>
          </cell>
          <cell r="F361" t="str">
            <v>调货</v>
          </cell>
          <cell r="G361">
            <v>0</v>
          </cell>
          <cell r="H361">
            <v>52</v>
          </cell>
          <cell r="I361">
            <v>52</v>
          </cell>
          <cell r="J361">
            <v>51</v>
          </cell>
          <cell r="K361">
            <v>50</v>
          </cell>
          <cell r="L361">
            <v>49</v>
          </cell>
          <cell r="M361">
            <v>49</v>
          </cell>
        </row>
        <row r="362">
          <cell r="A362" t="str">
            <v>DQ6108A</v>
          </cell>
          <cell r="B362">
            <v>274</v>
          </cell>
          <cell r="C362">
            <v>27.8985</v>
          </cell>
          <cell r="D362">
            <v>0</v>
          </cell>
          <cell r="E362">
            <v>27.8985</v>
          </cell>
          <cell r="F362" t="str">
            <v>调货</v>
          </cell>
          <cell r="G362" t="str">
            <v>丰田</v>
          </cell>
          <cell r="H362">
            <v>34</v>
          </cell>
          <cell r="I362">
            <v>33</v>
          </cell>
          <cell r="J362">
            <v>33</v>
          </cell>
          <cell r="K362">
            <v>32</v>
          </cell>
          <cell r="L362">
            <v>32</v>
          </cell>
          <cell r="M362">
            <v>31</v>
          </cell>
        </row>
        <row r="363">
          <cell r="A363" t="str">
            <v>DQ6109</v>
          </cell>
          <cell r="B363">
            <v>269</v>
          </cell>
          <cell r="C363">
            <v>22.4448275909091</v>
          </cell>
          <cell r="D363">
            <v>0</v>
          </cell>
          <cell r="E363">
            <v>22.4448275909091</v>
          </cell>
          <cell r="F363" t="str">
            <v>自制</v>
          </cell>
          <cell r="G363" t="str">
            <v>奇瑞QQ0.8（老）</v>
          </cell>
          <cell r="H363">
            <v>31</v>
          </cell>
          <cell r="I363">
            <v>30</v>
          </cell>
          <cell r="J363">
            <v>29</v>
          </cell>
          <cell r="K363">
            <v>27</v>
          </cell>
          <cell r="L363">
            <v>26</v>
          </cell>
          <cell r="M363">
            <v>25</v>
          </cell>
        </row>
        <row r="364">
          <cell r="A364" t="str">
            <v>DQ6206A</v>
          </cell>
          <cell r="B364">
            <v>262</v>
          </cell>
          <cell r="C364">
            <v>26.93</v>
          </cell>
          <cell r="D364">
            <v>0</v>
          </cell>
          <cell r="E364">
            <v>26.93</v>
          </cell>
          <cell r="F364" t="str">
            <v>调货</v>
          </cell>
          <cell r="G364" t="str">
            <v>三菱 速跑 猎豹</v>
          </cell>
          <cell r="H364">
            <v>33</v>
          </cell>
          <cell r="I364">
            <v>32</v>
          </cell>
          <cell r="J364">
            <v>31</v>
          </cell>
          <cell r="K364">
            <v>31</v>
          </cell>
          <cell r="L364">
            <v>31</v>
          </cell>
          <cell r="M364">
            <v>30</v>
          </cell>
        </row>
        <row r="365">
          <cell r="A365" t="str">
            <v>DQ9007C3</v>
          </cell>
          <cell r="B365">
            <v>260</v>
          </cell>
          <cell r="C365">
            <v>31.1301439854545</v>
          </cell>
          <cell r="D365">
            <v>0</v>
          </cell>
          <cell r="E365">
            <v>31.1301439854545</v>
          </cell>
          <cell r="F365" t="str">
            <v>自制</v>
          </cell>
          <cell r="G365" t="str">
            <v>起亚K3极睿</v>
          </cell>
          <cell r="H365">
            <v>43</v>
          </cell>
          <cell r="I365">
            <v>41</v>
          </cell>
          <cell r="J365">
            <v>39</v>
          </cell>
          <cell r="K365">
            <v>38</v>
          </cell>
          <cell r="L365">
            <v>36</v>
          </cell>
          <cell r="M365">
            <v>35</v>
          </cell>
        </row>
        <row r="366">
          <cell r="A366" t="str">
            <v>DQ9003J2</v>
          </cell>
          <cell r="B366">
            <v>260</v>
          </cell>
          <cell r="C366">
            <v>32.7420835655061</v>
          </cell>
          <cell r="D366">
            <v>4.93159845005159</v>
          </cell>
          <cell r="E366">
            <v>27.8104851154545</v>
          </cell>
          <cell r="F366" t="str">
            <v>自制</v>
          </cell>
          <cell r="G366" t="str">
            <v>途乐4.0L</v>
          </cell>
          <cell r="H366">
            <v>45</v>
          </cell>
          <cell r="I366">
            <v>43</v>
          </cell>
          <cell r="J366">
            <v>41</v>
          </cell>
          <cell r="K366">
            <v>40</v>
          </cell>
          <cell r="L366">
            <v>38</v>
          </cell>
          <cell r="M366">
            <v>37</v>
          </cell>
        </row>
        <row r="367">
          <cell r="A367" t="str">
            <v>DQ9101W1</v>
          </cell>
          <cell r="B367">
            <v>260</v>
          </cell>
          <cell r="C367">
            <v>18.7515432721212</v>
          </cell>
          <cell r="D367">
            <v>0</v>
          </cell>
          <cell r="E367">
            <v>18.7515432721212</v>
          </cell>
          <cell r="F367" t="str">
            <v>自制</v>
          </cell>
          <cell r="G367" t="str">
            <v>PICANTO(TA)1.2</v>
          </cell>
          <cell r="H367">
            <v>26</v>
          </cell>
          <cell r="I367">
            <v>25</v>
          </cell>
          <cell r="J367">
            <v>24</v>
          </cell>
          <cell r="K367">
            <v>23</v>
          </cell>
          <cell r="L367">
            <v>22</v>
          </cell>
          <cell r="M367">
            <v>21</v>
          </cell>
        </row>
        <row r="368">
          <cell r="A368" t="str">
            <v>DQ9070A1</v>
          </cell>
          <cell r="B368">
            <v>257</v>
          </cell>
          <cell r="C368">
            <v>41.58</v>
          </cell>
          <cell r="D368">
            <v>0</v>
          </cell>
          <cell r="E368">
            <v>41.58</v>
          </cell>
          <cell r="F368" t="str">
            <v>调货</v>
          </cell>
          <cell r="G368" t="str">
            <v>北汽BJ40 PLUS</v>
          </cell>
          <cell r="H368">
            <v>50</v>
          </cell>
          <cell r="I368">
            <v>49</v>
          </cell>
          <cell r="J368">
            <v>48</v>
          </cell>
          <cell r="K368">
            <v>47</v>
          </cell>
          <cell r="L368">
            <v>47</v>
          </cell>
          <cell r="M368">
            <v>46</v>
          </cell>
        </row>
        <row r="369">
          <cell r="A369" t="str">
            <v>DQ9026A3</v>
          </cell>
          <cell r="B369">
            <v>255</v>
          </cell>
          <cell r="C369">
            <v>33.5399441823314</v>
          </cell>
          <cell r="D369">
            <v>3.61294455687688</v>
          </cell>
          <cell r="E369">
            <v>29.9269996254545</v>
          </cell>
          <cell r="F369" t="str">
            <v>自制</v>
          </cell>
          <cell r="G369" t="str">
            <v>捷豹/路虎 2.0T</v>
          </cell>
          <cell r="H369">
            <v>46</v>
          </cell>
          <cell r="I369">
            <v>44</v>
          </cell>
          <cell r="J369">
            <v>42</v>
          </cell>
          <cell r="K369">
            <v>41</v>
          </cell>
          <cell r="L369">
            <v>39</v>
          </cell>
          <cell r="M369">
            <v>37</v>
          </cell>
        </row>
        <row r="370">
          <cell r="A370" t="str">
            <v>DQ9204</v>
          </cell>
          <cell r="B370">
            <v>248</v>
          </cell>
          <cell r="C370">
            <v>33.1649357427273</v>
          </cell>
          <cell r="D370">
            <v>0</v>
          </cell>
          <cell r="E370">
            <v>33.1649357427273</v>
          </cell>
          <cell r="F370" t="str">
            <v>自制</v>
          </cell>
          <cell r="G370" t="str">
            <v>嘉华3.5</v>
          </cell>
          <cell r="H370">
            <v>45</v>
          </cell>
          <cell r="I370">
            <v>44</v>
          </cell>
          <cell r="J370">
            <v>42</v>
          </cell>
          <cell r="K370">
            <v>40</v>
          </cell>
          <cell r="L370">
            <v>39</v>
          </cell>
          <cell r="M370">
            <v>37</v>
          </cell>
        </row>
        <row r="371">
          <cell r="A371" t="str">
            <v>DQ9029A1</v>
          </cell>
          <cell r="B371">
            <v>247</v>
          </cell>
          <cell r="C371">
            <v>42.82508475</v>
          </cell>
          <cell r="D371">
            <v>1.14008475</v>
          </cell>
          <cell r="E371">
            <v>41.685</v>
          </cell>
          <cell r="F371" t="str">
            <v>调货</v>
          </cell>
          <cell r="G371" t="str">
            <v>宝马BMW</v>
          </cell>
          <cell r="H371">
            <v>51</v>
          </cell>
          <cell r="I371">
            <v>51</v>
          </cell>
          <cell r="J371">
            <v>50</v>
          </cell>
          <cell r="K371">
            <v>49</v>
          </cell>
          <cell r="L371">
            <v>48</v>
          </cell>
          <cell r="M371">
            <v>48</v>
          </cell>
        </row>
        <row r="372">
          <cell r="A372" t="str">
            <v>DQ9103HR</v>
          </cell>
          <cell r="B372">
            <v>245</v>
          </cell>
          <cell r="C372">
            <v>30.6816083754546</v>
          </cell>
          <cell r="D372">
            <v>0</v>
          </cell>
          <cell r="E372">
            <v>30.6816083754546</v>
          </cell>
          <cell r="F372" t="str">
            <v>自制</v>
          </cell>
          <cell r="G372" t="str">
            <v>奥迪A8</v>
          </cell>
          <cell r="H372">
            <v>42</v>
          </cell>
          <cell r="I372">
            <v>40</v>
          </cell>
          <cell r="J372">
            <v>39</v>
          </cell>
          <cell r="K372">
            <v>37</v>
          </cell>
          <cell r="L372">
            <v>36</v>
          </cell>
          <cell r="M372">
            <v>34</v>
          </cell>
        </row>
        <row r="373">
          <cell r="A373" t="str">
            <v>DQ9219B2</v>
          </cell>
          <cell r="B373">
            <v>242</v>
          </cell>
          <cell r="C373">
            <v>22.8088480973939</v>
          </cell>
          <cell r="D373">
            <v>0</v>
          </cell>
          <cell r="E373">
            <v>22.8088480973939</v>
          </cell>
          <cell r="F373" t="str">
            <v>自制</v>
          </cell>
          <cell r="G373" t="str">
            <v>江淮RIII2.0T</v>
          </cell>
          <cell r="H373">
            <v>31</v>
          </cell>
          <cell r="I373">
            <v>30</v>
          </cell>
          <cell r="J373">
            <v>29</v>
          </cell>
          <cell r="K373">
            <v>28</v>
          </cell>
          <cell r="L373">
            <v>27</v>
          </cell>
          <cell r="M373">
            <v>26</v>
          </cell>
        </row>
        <row r="374">
          <cell r="A374" t="str">
            <v>DQ9219A9</v>
          </cell>
          <cell r="B374">
            <v>233</v>
          </cell>
          <cell r="C374">
            <v>20.1442968477273</v>
          </cell>
          <cell r="D374">
            <v>0</v>
          </cell>
          <cell r="E374">
            <v>20.1442968477273</v>
          </cell>
          <cell r="F374" t="str">
            <v>自制</v>
          </cell>
          <cell r="G374" t="str">
            <v>东风风神A60 1.4T</v>
          </cell>
          <cell r="H374">
            <v>28</v>
          </cell>
          <cell r="I374">
            <v>27</v>
          </cell>
          <cell r="J374">
            <v>26</v>
          </cell>
          <cell r="K374">
            <v>25</v>
          </cell>
          <cell r="L374">
            <v>24</v>
          </cell>
          <cell r="M374">
            <v>23</v>
          </cell>
        </row>
        <row r="375">
          <cell r="A375" t="str">
            <v>DQ9030C1</v>
          </cell>
          <cell r="B375">
            <v>232</v>
          </cell>
          <cell r="C375">
            <v>35.4318475454546</v>
          </cell>
          <cell r="D375">
            <v>0</v>
          </cell>
          <cell r="E375">
            <v>35.4318475454546</v>
          </cell>
          <cell r="F375" t="str">
            <v>自制</v>
          </cell>
          <cell r="G375" t="str">
            <v>长安福特  金牛座2.7T</v>
          </cell>
          <cell r="H375">
            <v>48</v>
          </cell>
          <cell r="I375">
            <v>47</v>
          </cell>
          <cell r="J375">
            <v>45</v>
          </cell>
          <cell r="K375">
            <v>43</v>
          </cell>
          <cell r="L375">
            <v>41</v>
          </cell>
          <cell r="M375">
            <v>39</v>
          </cell>
        </row>
        <row r="376">
          <cell r="A376" t="str">
            <v>DQ493</v>
          </cell>
          <cell r="B376">
            <v>231</v>
          </cell>
          <cell r="C376">
            <v>54.2265974550659</v>
          </cell>
          <cell r="D376">
            <v>0.576900131429545</v>
          </cell>
          <cell r="E376">
            <v>53.6496973236364</v>
          </cell>
          <cell r="F376" t="str">
            <v>自制</v>
          </cell>
          <cell r="G376" t="str">
            <v>德尔福一代</v>
          </cell>
          <cell r="H376">
            <v>74</v>
          </cell>
          <cell r="I376">
            <v>71</v>
          </cell>
          <cell r="J376">
            <v>68</v>
          </cell>
          <cell r="K376">
            <v>66</v>
          </cell>
          <cell r="L376">
            <v>63</v>
          </cell>
          <cell r="M376">
            <v>60</v>
          </cell>
        </row>
        <row r="377">
          <cell r="A377" t="str">
            <v>DQ9113B3</v>
          </cell>
          <cell r="B377">
            <v>225</v>
          </cell>
          <cell r="C377">
            <v>29.7133027218182</v>
          </cell>
          <cell r="D377">
            <v>0</v>
          </cell>
          <cell r="E377">
            <v>29.7133027218182</v>
          </cell>
          <cell r="F377" t="str">
            <v>自制</v>
          </cell>
          <cell r="G377" t="str">
            <v>帕杰罗3.8L</v>
          </cell>
          <cell r="H377">
            <v>41</v>
          </cell>
          <cell r="I377">
            <v>39</v>
          </cell>
          <cell r="J377">
            <v>38</v>
          </cell>
          <cell r="K377">
            <v>36</v>
          </cell>
          <cell r="L377">
            <v>35</v>
          </cell>
          <cell r="M377">
            <v>33</v>
          </cell>
        </row>
        <row r="378">
          <cell r="A378" t="str">
            <v>DQ921813</v>
          </cell>
          <cell r="B378">
            <v>223</v>
          </cell>
          <cell r="C378">
            <v>25.7546185977273</v>
          </cell>
          <cell r="D378">
            <v>0</v>
          </cell>
          <cell r="E378">
            <v>25.7546185977273</v>
          </cell>
          <cell r="F378" t="str">
            <v>自制</v>
          </cell>
          <cell r="G378" t="str">
            <v>汉兰达 普拉多</v>
          </cell>
          <cell r="H378">
            <v>35</v>
          </cell>
          <cell r="I378">
            <v>34</v>
          </cell>
          <cell r="J378">
            <v>33</v>
          </cell>
          <cell r="K378">
            <v>31</v>
          </cell>
          <cell r="L378">
            <v>30</v>
          </cell>
          <cell r="M378">
            <v>29</v>
          </cell>
        </row>
        <row r="379">
          <cell r="A379" t="str">
            <v>DQ9007B2</v>
          </cell>
          <cell r="B379">
            <v>222</v>
          </cell>
          <cell r="C379">
            <v>32.0910167427273</v>
          </cell>
          <cell r="D379">
            <v>0</v>
          </cell>
          <cell r="E379">
            <v>32.0910167427273</v>
          </cell>
          <cell r="F379" t="str">
            <v>自制</v>
          </cell>
          <cell r="G379" t="str">
            <v>名图1.8L</v>
          </cell>
          <cell r="H379">
            <v>44</v>
          </cell>
          <cell r="I379">
            <v>42</v>
          </cell>
          <cell r="J379">
            <v>41</v>
          </cell>
          <cell r="K379">
            <v>39</v>
          </cell>
          <cell r="L379">
            <v>37</v>
          </cell>
          <cell r="M379">
            <v>36</v>
          </cell>
        </row>
        <row r="380">
          <cell r="A380" t="str">
            <v>DQ9015B1</v>
          </cell>
          <cell r="B380">
            <v>215</v>
          </cell>
          <cell r="C380">
            <v>25.5296814260606</v>
          </cell>
          <cell r="D380">
            <v>0</v>
          </cell>
          <cell r="E380">
            <v>25.5296814260606</v>
          </cell>
          <cell r="F380" t="str">
            <v>自制</v>
          </cell>
          <cell r="G380" t="str">
            <v>长城腾翼C30/1.5L 西门子系统</v>
          </cell>
          <cell r="H380">
            <v>35</v>
          </cell>
          <cell r="I380">
            <v>34</v>
          </cell>
          <cell r="J380">
            <v>32</v>
          </cell>
          <cell r="K380">
            <v>31</v>
          </cell>
          <cell r="L380">
            <v>30</v>
          </cell>
          <cell r="M380">
            <v>29</v>
          </cell>
        </row>
        <row r="381">
          <cell r="A381" t="str">
            <v>DQ9013B1</v>
          </cell>
          <cell r="B381">
            <v>212</v>
          </cell>
          <cell r="C381">
            <v>31.5546</v>
          </cell>
          <cell r="D381">
            <v>0</v>
          </cell>
          <cell r="E381">
            <v>31.5546</v>
          </cell>
          <cell r="F381" t="str">
            <v>调货</v>
          </cell>
          <cell r="G381" t="str">
            <v>grand vitara</v>
          </cell>
          <cell r="H381">
            <v>38</v>
          </cell>
          <cell r="I381">
            <v>37</v>
          </cell>
          <cell r="J381">
            <v>37</v>
          </cell>
          <cell r="K381">
            <v>36</v>
          </cell>
          <cell r="L381">
            <v>36</v>
          </cell>
          <cell r="M381">
            <v>35</v>
          </cell>
        </row>
        <row r="382">
          <cell r="A382" t="str">
            <v>DQ9225A1</v>
          </cell>
          <cell r="B382">
            <v>210</v>
          </cell>
          <cell r="C382">
            <v>39.7635</v>
          </cell>
          <cell r="D382">
            <v>0</v>
          </cell>
          <cell r="E382">
            <v>39.7635</v>
          </cell>
          <cell r="F382" t="str">
            <v>调货</v>
          </cell>
          <cell r="G382" t="str">
            <v>奔驰W140发动机</v>
          </cell>
          <cell r="H382">
            <v>48</v>
          </cell>
          <cell r="I382">
            <v>47</v>
          </cell>
          <cell r="J382">
            <v>46</v>
          </cell>
          <cell r="K382">
            <v>45</v>
          </cell>
          <cell r="L382">
            <v>45</v>
          </cell>
          <cell r="M382">
            <v>44</v>
          </cell>
        </row>
        <row r="383">
          <cell r="A383" t="str">
            <v>DQ4107A1</v>
          </cell>
          <cell r="B383">
            <v>210</v>
          </cell>
          <cell r="C383">
            <v>31.2894985909091</v>
          </cell>
          <cell r="D383">
            <v>0</v>
          </cell>
          <cell r="E383">
            <v>31.2894985909091</v>
          </cell>
          <cell r="F383" t="str">
            <v>自制</v>
          </cell>
          <cell r="G383" t="str">
            <v>雪佛兰GMC</v>
          </cell>
          <cell r="H383">
            <v>43</v>
          </cell>
          <cell r="I383">
            <v>41</v>
          </cell>
          <cell r="J383">
            <v>40</v>
          </cell>
          <cell r="K383">
            <v>38</v>
          </cell>
          <cell r="L383">
            <v>36</v>
          </cell>
          <cell r="M383">
            <v>35</v>
          </cell>
        </row>
        <row r="384">
          <cell r="A384" t="str">
            <v>DQ9219A2</v>
          </cell>
          <cell r="B384">
            <v>208</v>
          </cell>
          <cell r="C384">
            <v>19.9693968477273</v>
          </cell>
          <cell r="D384">
            <v>0</v>
          </cell>
          <cell r="E384">
            <v>19.9693968477273</v>
          </cell>
          <cell r="F384" t="str">
            <v>自制</v>
          </cell>
          <cell r="G384" t="str">
            <v>广汽传祺GS5</v>
          </cell>
          <cell r="H384">
            <v>27</v>
          </cell>
          <cell r="I384">
            <v>26</v>
          </cell>
          <cell r="J384">
            <v>25</v>
          </cell>
          <cell r="K384">
            <v>24</v>
          </cell>
          <cell r="L384">
            <v>23</v>
          </cell>
          <cell r="M384">
            <v>22</v>
          </cell>
        </row>
        <row r="385">
          <cell r="A385" t="str">
            <v>DQ9041A2</v>
          </cell>
          <cell r="B385">
            <v>207</v>
          </cell>
          <cell r="C385">
            <v>30.03</v>
          </cell>
          <cell r="D385">
            <v>0</v>
          </cell>
          <cell r="E385">
            <v>30.03</v>
          </cell>
          <cell r="F385" t="str">
            <v>调货</v>
          </cell>
          <cell r="G385" t="str">
            <v>东风风行T5L1.5T</v>
          </cell>
          <cell r="H385">
            <v>36</v>
          </cell>
          <cell r="I385">
            <v>36</v>
          </cell>
          <cell r="J385">
            <v>35</v>
          </cell>
          <cell r="K385">
            <v>34</v>
          </cell>
          <cell r="L385">
            <v>34</v>
          </cell>
          <cell r="M385">
            <v>34</v>
          </cell>
        </row>
        <row r="386">
          <cell r="A386" t="str">
            <v>DQ6402</v>
          </cell>
          <cell r="B386">
            <v>201</v>
          </cell>
          <cell r="C386">
            <v>61.4286702864521</v>
          </cell>
          <cell r="D386">
            <v>1.28327596827033</v>
          </cell>
          <cell r="E386">
            <v>60.1453943181818</v>
          </cell>
          <cell r="F386" t="str">
            <v>自制</v>
          </cell>
          <cell r="G386" t="str">
            <v>斯巴鲁</v>
          </cell>
          <cell r="H386">
            <v>83</v>
          </cell>
          <cell r="I386">
            <v>80</v>
          </cell>
          <cell r="J386">
            <v>77</v>
          </cell>
          <cell r="K386">
            <v>74</v>
          </cell>
          <cell r="L386">
            <v>71</v>
          </cell>
          <cell r="M386">
            <v>68</v>
          </cell>
        </row>
        <row r="387">
          <cell r="A387" t="str">
            <v>DQ9157A1</v>
          </cell>
          <cell r="B387">
            <v>201</v>
          </cell>
          <cell r="C387">
            <v>25.83</v>
          </cell>
          <cell r="D387">
            <v>0</v>
          </cell>
          <cell r="E387">
            <v>25.83</v>
          </cell>
          <cell r="F387" t="str">
            <v>调货</v>
          </cell>
          <cell r="G387" t="str">
            <v>时风风云 1.8L</v>
          </cell>
          <cell r="H387">
            <v>31</v>
          </cell>
          <cell r="I387">
            <v>31</v>
          </cell>
          <cell r="J387">
            <v>30</v>
          </cell>
          <cell r="K387">
            <v>30</v>
          </cell>
          <cell r="L387">
            <v>29</v>
          </cell>
          <cell r="M387">
            <v>29</v>
          </cell>
        </row>
        <row r="388">
          <cell r="A388" t="str">
            <v>DQ1213</v>
          </cell>
          <cell r="B388">
            <v>196</v>
          </cell>
          <cell r="C388">
            <v>57.8</v>
          </cell>
          <cell r="D388">
            <v>0</v>
          </cell>
          <cell r="E388">
            <v>57.8</v>
          </cell>
          <cell r="F388" t="str">
            <v>调货</v>
          </cell>
          <cell r="G388" t="str">
            <v>旗云 宝马发动机</v>
          </cell>
          <cell r="H388">
            <v>69</v>
          </cell>
          <cell r="I388">
            <v>68</v>
          </cell>
          <cell r="J388">
            <v>67</v>
          </cell>
          <cell r="K388">
            <v>66</v>
          </cell>
          <cell r="L388">
            <v>65</v>
          </cell>
          <cell r="M388">
            <v>64</v>
          </cell>
        </row>
        <row r="389">
          <cell r="A389" t="str">
            <v>DQ9128B2</v>
          </cell>
          <cell r="B389">
            <v>192</v>
          </cell>
          <cell r="C389">
            <v>43.6</v>
          </cell>
          <cell r="D389">
            <v>0</v>
          </cell>
          <cell r="E389">
            <v>43.6</v>
          </cell>
          <cell r="F389" t="str">
            <v>调货</v>
          </cell>
          <cell r="G389" t="str">
            <v>凯迪拉克 SLS赛威 4.6L</v>
          </cell>
          <cell r="H389">
            <v>52</v>
          </cell>
          <cell r="I389">
            <v>52</v>
          </cell>
          <cell r="J389">
            <v>51</v>
          </cell>
          <cell r="K389">
            <v>50</v>
          </cell>
          <cell r="L389">
            <v>49</v>
          </cell>
          <cell r="M389">
            <v>48</v>
          </cell>
        </row>
        <row r="390">
          <cell r="A390" t="str">
            <v>DQ9209H</v>
          </cell>
          <cell r="B390">
            <v>191</v>
          </cell>
          <cell r="C390">
            <v>23.1654691227273</v>
          </cell>
          <cell r="D390">
            <v>0</v>
          </cell>
          <cell r="E390">
            <v>23.1654691227273</v>
          </cell>
          <cell r="F390" t="str">
            <v>自制</v>
          </cell>
          <cell r="G390" t="str">
            <v>新普力马1.8</v>
          </cell>
          <cell r="H390">
            <v>32</v>
          </cell>
          <cell r="I390">
            <v>31</v>
          </cell>
          <cell r="J390">
            <v>29</v>
          </cell>
          <cell r="K390">
            <v>28</v>
          </cell>
          <cell r="L390">
            <v>27</v>
          </cell>
          <cell r="M390">
            <v>26</v>
          </cell>
        </row>
        <row r="391">
          <cell r="A391" t="str">
            <v>DQ9072A1</v>
          </cell>
          <cell r="B391">
            <v>191</v>
          </cell>
          <cell r="C391">
            <v>43.785</v>
          </cell>
          <cell r="D391">
            <v>0</v>
          </cell>
          <cell r="E391">
            <v>43.785</v>
          </cell>
          <cell r="F391" t="str">
            <v>调货</v>
          </cell>
          <cell r="G391" t="str">
            <v>北汽幻速S51.3T</v>
          </cell>
          <cell r="H391">
            <v>53</v>
          </cell>
          <cell r="I391">
            <v>52</v>
          </cell>
          <cell r="J391">
            <v>51</v>
          </cell>
          <cell r="K391">
            <v>50</v>
          </cell>
          <cell r="L391">
            <v>50</v>
          </cell>
          <cell r="M391">
            <v>49</v>
          </cell>
        </row>
        <row r="392">
          <cell r="A392" t="str">
            <v>DQ9133B1</v>
          </cell>
          <cell r="B392">
            <v>190</v>
          </cell>
          <cell r="C392">
            <v>54.18</v>
          </cell>
          <cell r="D392">
            <v>0</v>
          </cell>
          <cell r="E392">
            <v>54.18</v>
          </cell>
          <cell r="F392" t="str">
            <v>调货</v>
          </cell>
          <cell r="G392" t="str">
            <v>保时捷cayman 2.9L</v>
          </cell>
          <cell r="H392">
            <v>65</v>
          </cell>
          <cell r="I392">
            <v>64</v>
          </cell>
          <cell r="J392">
            <v>63</v>
          </cell>
          <cell r="K392">
            <v>62</v>
          </cell>
          <cell r="L392">
            <v>61</v>
          </cell>
          <cell r="M392">
            <v>60</v>
          </cell>
        </row>
        <row r="393">
          <cell r="A393" t="str">
            <v>DQ9050A3</v>
          </cell>
          <cell r="B393">
            <v>190</v>
          </cell>
          <cell r="C393">
            <v>35.2064586162183</v>
          </cell>
          <cell r="D393">
            <v>1.76269046076382</v>
          </cell>
          <cell r="E393">
            <v>33.4437681554545</v>
          </cell>
          <cell r="F393" t="str">
            <v>自制</v>
          </cell>
          <cell r="G393" t="str">
            <v>铃木 Celerio</v>
          </cell>
          <cell r="H393">
            <v>48</v>
          </cell>
          <cell r="I393">
            <v>46</v>
          </cell>
          <cell r="J393">
            <v>45</v>
          </cell>
          <cell r="K393">
            <v>43</v>
          </cell>
          <cell r="L393">
            <v>41</v>
          </cell>
          <cell r="M393">
            <v>39</v>
          </cell>
        </row>
        <row r="394">
          <cell r="A394" t="str">
            <v>DQ9061A1</v>
          </cell>
          <cell r="B394">
            <v>189</v>
          </cell>
          <cell r="C394">
            <v>43.68</v>
          </cell>
          <cell r="D394">
            <v>0</v>
          </cell>
          <cell r="E394">
            <v>43.68</v>
          </cell>
          <cell r="F394" t="str">
            <v>调货</v>
          </cell>
          <cell r="G394" t="str">
            <v>吉利缤瑞1.0T</v>
          </cell>
          <cell r="H394">
            <v>52</v>
          </cell>
          <cell r="I394">
            <v>52</v>
          </cell>
          <cell r="J394">
            <v>51</v>
          </cell>
          <cell r="K394">
            <v>50</v>
          </cell>
          <cell r="L394">
            <v>49</v>
          </cell>
          <cell r="M394">
            <v>49</v>
          </cell>
        </row>
        <row r="395">
          <cell r="A395" t="str">
            <v>DQ9402A5</v>
          </cell>
          <cell r="B395">
            <v>180</v>
          </cell>
          <cell r="C395">
            <v>94.5525</v>
          </cell>
          <cell r="D395">
            <v>0</v>
          </cell>
          <cell r="E395">
            <v>94.5525</v>
          </cell>
          <cell r="F395" t="str">
            <v>调货</v>
          </cell>
          <cell r="G395" t="str">
            <v>雪铁龙 C3（白插）</v>
          </cell>
          <cell r="H395">
            <v>113</v>
          </cell>
          <cell r="I395">
            <v>111</v>
          </cell>
          <cell r="J395">
            <v>109</v>
          </cell>
          <cell r="K395">
            <v>107</v>
          </cell>
          <cell r="L395">
            <v>106</v>
          </cell>
          <cell r="M395">
            <v>105</v>
          </cell>
        </row>
        <row r="396">
          <cell r="A396" t="str">
            <v>DQ9023E1</v>
          </cell>
          <cell r="B396">
            <v>178</v>
          </cell>
          <cell r="C396">
            <v>52.08</v>
          </cell>
          <cell r="D396">
            <v>0</v>
          </cell>
          <cell r="E396">
            <v>52.08</v>
          </cell>
          <cell r="F396" t="str">
            <v>调货</v>
          </cell>
          <cell r="G396" t="str">
            <v>大众 途昂 4MOTION 奥迪 4.0T</v>
          </cell>
          <cell r="H396">
            <v>62</v>
          </cell>
          <cell r="I396">
            <v>61</v>
          </cell>
          <cell r="J396">
            <v>60</v>
          </cell>
          <cell r="K396">
            <v>59</v>
          </cell>
          <cell r="L396">
            <v>59</v>
          </cell>
          <cell r="M396">
            <v>58</v>
          </cell>
        </row>
        <row r="397">
          <cell r="A397" t="str">
            <v>DQ9003J1</v>
          </cell>
          <cell r="B397">
            <v>170</v>
          </cell>
          <cell r="C397">
            <v>32.7420835655061</v>
          </cell>
          <cell r="D397">
            <v>4.93159845005159</v>
          </cell>
          <cell r="E397">
            <v>27.8104851154545</v>
          </cell>
          <cell r="F397" t="str">
            <v>自制</v>
          </cell>
          <cell r="G397" t="str">
            <v>途乐5.6L</v>
          </cell>
          <cell r="H397">
            <v>45</v>
          </cell>
          <cell r="I397">
            <v>43</v>
          </cell>
          <cell r="J397">
            <v>41</v>
          </cell>
          <cell r="K397">
            <v>40</v>
          </cell>
          <cell r="L397">
            <v>38</v>
          </cell>
          <cell r="M397">
            <v>37</v>
          </cell>
        </row>
        <row r="398">
          <cell r="A398" t="str">
            <v>DQ9226A1</v>
          </cell>
          <cell r="B398">
            <v>170</v>
          </cell>
          <cell r="C398">
            <v>32.6451755887273</v>
          </cell>
          <cell r="D398">
            <v>0</v>
          </cell>
          <cell r="E398">
            <v>32.6451755887273</v>
          </cell>
          <cell r="F398" t="str">
            <v>自制</v>
          </cell>
          <cell r="G398" t="str">
            <v>大切诺基</v>
          </cell>
          <cell r="H398">
            <v>45</v>
          </cell>
          <cell r="I398">
            <v>43</v>
          </cell>
          <cell r="J398">
            <v>41</v>
          </cell>
          <cell r="K398">
            <v>40</v>
          </cell>
          <cell r="L398">
            <v>38</v>
          </cell>
          <cell r="M398">
            <v>36</v>
          </cell>
        </row>
        <row r="399">
          <cell r="A399" t="str">
            <v>DQ9201A2</v>
          </cell>
          <cell r="B399">
            <v>168</v>
          </cell>
          <cell r="C399">
            <v>23.4574547727273</v>
          </cell>
          <cell r="D399">
            <v>0</v>
          </cell>
          <cell r="E399">
            <v>23.4574547727273</v>
          </cell>
          <cell r="F399" t="str">
            <v>自制</v>
          </cell>
          <cell r="G399" t="str">
            <v>新款东风小康465</v>
          </cell>
          <cell r="H399">
            <v>32</v>
          </cell>
          <cell r="I399">
            <v>31</v>
          </cell>
          <cell r="J399">
            <v>30</v>
          </cell>
          <cell r="K399">
            <v>29</v>
          </cell>
          <cell r="L399">
            <v>27</v>
          </cell>
          <cell r="M399">
            <v>26</v>
          </cell>
        </row>
        <row r="400">
          <cell r="A400" t="str">
            <v>DQ9133A2</v>
          </cell>
          <cell r="B400">
            <v>167</v>
          </cell>
          <cell r="C400">
            <v>50.5575</v>
          </cell>
          <cell r="D400">
            <v>0</v>
          </cell>
          <cell r="E400">
            <v>50.5575</v>
          </cell>
          <cell r="F400" t="str">
            <v>调货</v>
          </cell>
          <cell r="G400" t="str">
            <v>保时捷 卡宴 4.5L/4.5T</v>
          </cell>
          <cell r="H400">
            <v>61</v>
          </cell>
          <cell r="I400">
            <v>60</v>
          </cell>
          <cell r="J400">
            <v>59</v>
          </cell>
          <cell r="K400">
            <v>58</v>
          </cell>
          <cell r="L400">
            <v>57</v>
          </cell>
          <cell r="M400">
            <v>56</v>
          </cell>
        </row>
        <row r="401">
          <cell r="A401" t="str">
            <v>DQ9031A199</v>
          </cell>
          <cell r="B401">
            <v>163</v>
          </cell>
          <cell r="C401">
            <v>36.0081797854545</v>
          </cell>
          <cell r="D401">
            <v>0</v>
          </cell>
          <cell r="E401">
            <v>36.0081797854545</v>
          </cell>
          <cell r="F401" t="str">
            <v>自制</v>
          </cell>
          <cell r="G401" t="str">
            <v>14款科鲁兹（专用）</v>
          </cell>
          <cell r="H401">
            <v>49</v>
          </cell>
          <cell r="I401">
            <v>47</v>
          </cell>
          <cell r="J401">
            <v>46</v>
          </cell>
          <cell r="K401">
            <v>44</v>
          </cell>
          <cell r="L401">
            <v>42</v>
          </cell>
          <cell r="M401">
            <v>40</v>
          </cell>
        </row>
        <row r="402">
          <cell r="A402" t="str">
            <v>DQ9023G1</v>
          </cell>
          <cell r="B402">
            <v>161</v>
          </cell>
          <cell r="C402">
            <v>54.18</v>
          </cell>
          <cell r="D402">
            <v>0</v>
          </cell>
          <cell r="E402">
            <v>54.18</v>
          </cell>
          <cell r="F402" t="str">
            <v>调货</v>
          </cell>
          <cell r="G402" t="str">
            <v>玛莎拉蒂总裁3.0T</v>
          </cell>
          <cell r="H402">
            <v>65</v>
          </cell>
          <cell r="I402">
            <v>64</v>
          </cell>
          <cell r="J402">
            <v>63</v>
          </cell>
          <cell r="K402">
            <v>62</v>
          </cell>
          <cell r="L402">
            <v>61</v>
          </cell>
          <cell r="M402">
            <v>60</v>
          </cell>
        </row>
        <row r="403">
          <cell r="A403" t="str">
            <v>DQ9081A1</v>
          </cell>
          <cell r="B403">
            <v>160</v>
          </cell>
          <cell r="C403">
            <v>21.9353282454545</v>
          </cell>
          <cell r="D403">
            <v>0</v>
          </cell>
          <cell r="E403">
            <v>21.9353282454545</v>
          </cell>
          <cell r="F403" t="str">
            <v>自制</v>
          </cell>
          <cell r="G403" t="str">
            <v>风骏 5</v>
          </cell>
          <cell r="H403">
            <v>30</v>
          </cell>
          <cell r="I403">
            <v>29</v>
          </cell>
          <cell r="J403">
            <v>28</v>
          </cell>
          <cell r="K403">
            <v>27</v>
          </cell>
          <cell r="L403">
            <v>26</v>
          </cell>
          <cell r="M403">
            <v>25</v>
          </cell>
        </row>
        <row r="404">
          <cell r="A404" t="str">
            <v>DQ9132G1</v>
          </cell>
          <cell r="B404">
            <v>160</v>
          </cell>
          <cell r="C404">
            <v>30.1928377387879</v>
          </cell>
          <cell r="D404">
            <v>0</v>
          </cell>
          <cell r="E404">
            <v>30.1928377387879</v>
          </cell>
          <cell r="F404" t="str">
            <v>自制</v>
          </cell>
          <cell r="G404" t="str">
            <v>丰田Agya 2012-2016</v>
          </cell>
          <cell r="H404">
            <v>41</v>
          </cell>
          <cell r="I404">
            <v>40</v>
          </cell>
          <cell r="J404">
            <v>38</v>
          </cell>
          <cell r="K404">
            <v>37</v>
          </cell>
          <cell r="L404">
            <v>35</v>
          </cell>
          <cell r="M404">
            <v>34</v>
          </cell>
        </row>
        <row r="405">
          <cell r="A405" t="str">
            <v>DQ9008A1</v>
          </cell>
          <cell r="B405">
            <v>158</v>
          </cell>
          <cell r="C405">
            <v>37.7</v>
          </cell>
          <cell r="D405">
            <v>0</v>
          </cell>
          <cell r="E405">
            <v>37.7</v>
          </cell>
          <cell r="F405" t="str">
            <v>调货</v>
          </cell>
          <cell r="G405" t="str">
            <v>三菱蓝瑟4G93</v>
          </cell>
          <cell r="H405">
            <v>45</v>
          </cell>
          <cell r="I405">
            <v>45</v>
          </cell>
          <cell r="J405">
            <v>44</v>
          </cell>
          <cell r="K405">
            <v>43</v>
          </cell>
          <cell r="L405">
            <v>43</v>
          </cell>
          <cell r="M405">
            <v>42</v>
          </cell>
        </row>
        <row r="406">
          <cell r="A406" t="str">
            <v>DQ9215</v>
          </cell>
          <cell r="B406">
            <v>152</v>
          </cell>
          <cell r="C406">
            <v>23.6622417727273</v>
          </cell>
          <cell r="D406">
            <v>0</v>
          </cell>
          <cell r="E406">
            <v>23.6622417727273</v>
          </cell>
          <cell r="F406" t="str">
            <v>自制</v>
          </cell>
          <cell r="G406" t="str">
            <v>中华骏捷</v>
          </cell>
          <cell r="H406">
            <v>32</v>
          </cell>
          <cell r="I406">
            <v>31</v>
          </cell>
          <cell r="J406">
            <v>30</v>
          </cell>
          <cell r="K406">
            <v>29</v>
          </cell>
          <cell r="L406">
            <v>28</v>
          </cell>
          <cell r="M406">
            <v>27</v>
          </cell>
        </row>
        <row r="407">
          <cell r="A407" t="str">
            <v>DQ9003B3</v>
          </cell>
          <cell r="B407">
            <v>152</v>
          </cell>
          <cell r="C407">
            <v>27.1000882634545</v>
          </cell>
          <cell r="D407">
            <v>0</v>
          </cell>
          <cell r="E407">
            <v>27.1000882634545</v>
          </cell>
          <cell r="F407" t="str">
            <v>自制</v>
          </cell>
          <cell r="G407" t="str">
            <v>日产</v>
          </cell>
          <cell r="H407">
            <v>37</v>
          </cell>
          <cell r="I407">
            <v>36</v>
          </cell>
          <cell r="J407">
            <v>34</v>
          </cell>
          <cell r="K407">
            <v>33</v>
          </cell>
          <cell r="L407">
            <v>32</v>
          </cell>
          <cell r="M407">
            <v>30</v>
          </cell>
        </row>
        <row r="408">
          <cell r="A408" t="str">
            <v>DQ6607</v>
          </cell>
          <cell r="B408">
            <v>152</v>
          </cell>
          <cell r="C408">
            <v>65.3018798979086</v>
          </cell>
          <cell r="D408">
            <v>0.224817155181292</v>
          </cell>
          <cell r="E408">
            <v>65.0770627427273</v>
          </cell>
          <cell r="F408" t="str">
            <v>自制</v>
          </cell>
          <cell r="G408" t="str">
            <v>蒙迪欧六缸</v>
          </cell>
          <cell r="H408">
            <v>89</v>
          </cell>
          <cell r="I408">
            <v>85</v>
          </cell>
          <cell r="J408">
            <v>82</v>
          </cell>
          <cell r="K408">
            <v>79</v>
          </cell>
          <cell r="L408">
            <v>76</v>
          </cell>
          <cell r="M408">
            <v>72</v>
          </cell>
        </row>
        <row r="409">
          <cell r="A409" t="str">
            <v>DQ910836</v>
          </cell>
          <cell r="B409">
            <v>152</v>
          </cell>
          <cell r="C409">
            <v>41.42</v>
          </cell>
          <cell r="D409">
            <v>0</v>
          </cell>
          <cell r="E409">
            <v>41.42</v>
          </cell>
          <cell r="F409" t="str">
            <v>调货</v>
          </cell>
          <cell r="G409" t="str">
            <v>丰田凌志</v>
          </cell>
          <cell r="H409">
            <v>50</v>
          </cell>
          <cell r="I409">
            <v>49</v>
          </cell>
          <cell r="J409">
            <v>48</v>
          </cell>
          <cell r="K409">
            <v>47</v>
          </cell>
          <cell r="L409">
            <v>47</v>
          </cell>
          <cell r="M409">
            <v>46</v>
          </cell>
        </row>
        <row r="410">
          <cell r="A410" t="str">
            <v>DQ91087402</v>
          </cell>
          <cell r="B410">
            <v>151</v>
          </cell>
          <cell r="C410">
            <v>35.1588503994545</v>
          </cell>
          <cell r="D410">
            <v>0</v>
          </cell>
          <cell r="E410">
            <v>35.1588503994545</v>
          </cell>
          <cell r="F410" t="str">
            <v>自制</v>
          </cell>
          <cell r="G410" t="str">
            <v>丰田02274</v>
          </cell>
          <cell r="H410">
            <v>48</v>
          </cell>
          <cell r="I410">
            <v>46</v>
          </cell>
          <cell r="J410">
            <v>44</v>
          </cell>
          <cell r="K410">
            <v>43</v>
          </cell>
          <cell r="L410">
            <v>41</v>
          </cell>
          <cell r="M410">
            <v>39</v>
          </cell>
        </row>
        <row r="411">
          <cell r="A411" t="str">
            <v>DQ6410A1</v>
          </cell>
          <cell r="B411">
            <v>150</v>
          </cell>
          <cell r="C411">
            <v>40.7638945599171</v>
          </cell>
          <cell r="D411">
            <v>-0.183477684931368</v>
          </cell>
          <cell r="E411">
            <v>40.9473722448485</v>
          </cell>
          <cell r="F411" t="str">
            <v>自制</v>
          </cell>
          <cell r="G411" t="str">
            <v>德尔福四代</v>
          </cell>
          <cell r="H411">
            <v>56</v>
          </cell>
          <cell r="I411">
            <v>53</v>
          </cell>
          <cell r="J411">
            <v>51</v>
          </cell>
          <cell r="K411">
            <v>49</v>
          </cell>
          <cell r="L411">
            <v>47</v>
          </cell>
          <cell r="M411">
            <v>45</v>
          </cell>
        </row>
        <row r="412">
          <cell r="A412" t="str">
            <v>DQ9211B1</v>
          </cell>
          <cell r="B412">
            <v>150</v>
          </cell>
          <cell r="C412">
            <v>40.53</v>
          </cell>
          <cell r="D412">
            <v>0</v>
          </cell>
          <cell r="E412">
            <v>40.53</v>
          </cell>
          <cell r="F412" t="str">
            <v>调货</v>
          </cell>
          <cell r="G412" t="str">
            <v>丰田</v>
          </cell>
          <cell r="H412">
            <v>49</v>
          </cell>
          <cell r="I412">
            <v>48</v>
          </cell>
          <cell r="J412">
            <v>47</v>
          </cell>
          <cell r="K412">
            <v>46</v>
          </cell>
          <cell r="L412">
            <v>46</v>
          </cell>
          <cell r="M412">
            <v>45</v>
          </cell>
        </row>
        <row r="413">
          <cell r="A413" t="str">
            <v>DQ9117F1</v>
          </cell>
          <cell r="B413">
            <v>150</v>
          </cell>
          <cell r="C413">
            <v>42.0546</v>
          </cell>
          <cell r="D413">
            <v>0</v>
          </cell>
          <cell r="E413">
            <v>42.0546</v>
          </cell>
          <cell r="F413" t="str">
            <v>调货</v>
          </cell>
          <cell r="G413" t="str">
            <v>铃木阿尔托</v>
          </cell>
          <cell r="H413">
            <v>51</v>
          </cell>
          <cell r="I413">
            <v>50</v>
          </cell>
          <cell r="J413">
            <v>49</v>
          </cell>
          <cell r="K413">
            <v>48</v>
          </cell>
          <cell r="L413">
            <v>48</v>
          </cell>
          <cell r="M413">
            <v>47</v>
          </cell>
        </row>
        <row r="414">
          <cell r="A414" t="str">
            <v>DQ9101</v>
          </cell>
          <cell r="B414">
            <v>149</v>
          </cell>
          <cell r="C414">
            <v>19.4816168380251</v>
          </cell>
          <cell r="D414">
            <v>0</v>
          </cell>
          <cell r="E414">
            <v>19.4816168380251</v>
          </cell>
          <cell r="F414" t="str">
            <v>自制</v>
          </cell>
          <cell r="G414" t="str">
            <v>老索纳塔</v>
          </cell>
          <cell r="H414">
            <v>27</v>
          </cell>
          <cell r="I414">
            <v>26</v>
          </cell>
          <cell r="J414">
            <v>25</v>
          </cell>
          <cell r="K414">
            <v>24</v>
          </cell>
          <cell r="L414">
            <v>23</v>
          </cell>
          <cell r="M414">
            <v>22</v>
          </cell>
        </row>
        <row r="415">
          <cell r="A415" t="str">
            <v>DQ6407A</v>
          </cell>
          <cell r="B415">
            <v>146</v>
          </cell>
          <cell r="C415">
            <v>39.6324036261821</v>
          </cell>
          <cell r="D415">
            <v>-0.727347891999682</v>
          </cell>
          <cell r="E415">
            <v>40.3597515181818</v>
          </cell>
          <cell r="F415" t="str">
            <v>自制</v>
          </cell>
          <cell r="G415" t="str">
            <v>马六2.0L</v>
          </cell>
          <cell r="H415">
            <v>54</v>
          </cell>
          <cell r="I415">
            <v>52</v>
          </cell>
          <cell r="J415">
            <v>50</v>
          </cell>
          <cell r="K415">
            <v>48</v>
          </cell>
          <cell r="L415">
            <v>46</v>
          </cell>
          <cell r="M415">
            <v>44</v>
          </cell>
        </row>
        <row r="416">
          <cell r="A416" t="str">
            <v>DQ9036B2</v>
          </cell>
          <cell r="B416">
            <v>145</v>
          </cell>
          <cell r="C416">
            <v>26.7642256154545</v>
          </cell>
          <cell r="D416">
            <v>0</v>
          </cell>
          <cell r="E416">
            <v>26.7642256154545</v>
          </cell>
          <cell r="F416" t="str">
            <v>自制</v>
          </cell>
          <cell r="G416" t="str">
            <v>JEEP（红插）</v>
          </cell>
          <cell r="H416">
            <v>37</v>
          </cell>
          <cell r="I416">
            <v>35</v>
          </cell>
          <cell r="J416">
            <v>34</v>
          </cell>
          <cell r="K416">
            <v>33</v>
          </cell>
          <cell r="L416">
            <v>31</v>
          </cell>
          <cell r="M416">
            <v>30</v>
          </cell>
        </row>
        <row r="417">
          <cell r="A417" t="str">
            <v>DQ9023C1</v>
          </cell>
          <cell r="B417">
            <v>144</v>
          </cell>
          <cell r="C417">
            <v>31.0992867987879</v>
          </cell>
          <cell r="D417">
            <v>0</v>
          </cell>
          <cell r="E417">
            <v>31.0992867987879</v>
          </cell>
          <cell r="F417" t="str">
            <v>自制</v>
          </cell>
          <cell r="G417" t="str">
            <v>新款大众</v>
          </cell>
          <cell r="H417">
            <v>42</v>
          </cell>
          <cell r="I417">
            <v>41</v>
          </cell>
          <cell r="J417">
            <v>39</v>
          </cell>
          <cell r="K417">
            <v>38</v>
          </cell>
          <cell r="L417">
            <v>36</v>
          </cell>
          <cell r="M417">
            <v>35</v>
          </cell>
        </row>
        <row r="418">
          <cell r="A418" t="str">
            <v>DQ9067A1</v>
          </cell>
          <cell r="B418">
            <v>140</v>
          </cell>
          <cell r="C418">
            <v>23.7532000154545</v>
          </cell>
          <cell r="D418">
            <v>0</v>
          </cell>
          <cell r="E418">
            <v>23.7532000154545</v>
          </cell>
          <cell r="F418" t="str">
            <v>自制</v>
          </cell>
          <cell r="G418" t="str">
            <v>鑫源 X30L 1.5L/小海狮X30 1.5L</v>
          </cell>
          <cell r="H418">
            <v>33</v>
          </cell>
          <cell r="I418">
            <v>31</v>
          </cell>
          <cell r="J418">
            <v>30</v>
          </cell>
          <cell r="K418">
            <v>29</v>
          </cell>
          <cell r="L418">
            <v>28</v>
          </cell>
          <cell r="M418">
            <v>27</v>
          </cell>
        </row>
        <row r="419">
          <cell r="A419" t="str">
            <v>DQ9211A1</v>
          </cell>
          <cell r="B419">
            <v>136</v>
          </cell>
          <cell r="C419">
            <v>33.2836578754545</v>
          </cell>
          <cell r="D419">
            <v>0</v>
          </cell>
          <cell r="E419">
            <v>33.2836578754545</v>
          </cell>
          <cell r="F419" t="str">
            <v>自制</v>
          </cell>
          <cell r="G419" t="str">
            <v>丰田大发</v>
          </cell>
          <cell r="H419">
            <v>45</v>
          </cell>
          <cell r="I419">
            <v>44</v>
          </cell>
          <cell r="J419">
            <v>42</v>
          </cell>
          <cell r="K419">
            <v>40</v>
          </cell>
          <cell r="L419">
            <v>39</v>
          </cell>
          <cell r="M419">
            <v>37</v>
          </cell>
        </row>
        <row r="420">
          <cell r="A420" t="str">
            <v>DQ9156A1</v>
          </cell>
          <cell r="B420">
            <v>131</v>
          </cell>
          <cell r="C420">
            <v>36.33</v>
          </cell>
          <cell r="D420">
            <v>0</v>
          </cell>
          <cell r="E420">
            <v>36.33</v>
          </cell>
          <cell r="F420" t="str">
            <v>调货</v>
          </cell>
          <cell r="G420" t="str">
            <v>福特、福克斯</v>
          </cell>
          <cell r="H420">
            <v>44</v>
          </cell>
          <cell r="I420">
            <v>43</v>
          </cell>
          <cell r="J420">
            <v>42</v>
          </cell>
          <cell r="K420">
            <v>42</v>
          </cell>
          <cell r="L420">
            <v>41</v>
          </cell>
          <cell r="M420">
            <v>40</v>
          </cell>
        </row>
        <row r="421">
          <cell r="A421" t="str">
            <v>DQ9021F1</v>
          </cell>
          <cell r="B421">
            <v>130</v>
          </cell>
          <cell r="C421">
            <v>23.1147123854545</v>
          </cell>
          <cell r="D421">
            <v>0</v>
          </cell>
          <cell r="E421">
            <v>23.1147123854545</v>
          </cell>
          <cell r="F421" t="str">
            <v>自制</v>
          </cell>
          <cell r="G421" t="str">
            <v>新款奇瑞 1.0L</v>
          </cell>
          <cell r="H421">
            <v>32</v>
          </cell>
          <cell r="I421">
            <v>31</v>
          </cell>
          <cell r="J421">
            <v>29</v>
          </cell>
          <cell r="K421">
            <v>28</v>
          </cell>
          <cell r="L421">
            <v>27</v>
          </cell>
          <cell r="M421">
            <v>26</v>
          </cell>
        </row>
        <row r="422">
          <cell r="A422" t="str">
            <v>DQ9089A1</v>
          </cell>
          <cell r="B422">
            <v>129</v>
          </cell>
          <cell r="C422">
            <v>47.05491</v>
          </cell>
          <cell r="D422">
            <v>0</v>
          </cell>
          <cell r="E422">
            <v>47.05491</v>
          </cell>
          <cell r="F422" t="str">
            <v>调货</v>
          </cell>
          <cell r="G422" t="str">
            <v>风神、奕炫</v>
          </cell>
          <cell r="H422">
            <v>56</v>
          </cell>
          <cell r="I422">
            <v>56</v>
          </cell>
          <cell r="J422">
            <v>55</v>
          </cell>
          <cell r="K422">
            <v>54</v>
          </cell>
          <cell r="L422">
            <v>53</v>
          </cell>
          <cell r="M422">
            <v>52</v>
          </cell>
        </row>
        <row r="423">
          <cell r="A423" t="str">
            <v>DQ9017E1</v>
          </cell>
          <cell r="B423">
            <v>122</v>
          </cell>
          <cell r="C423">
            <v>41.6</v>
          </cell>
          <cell r="D423">
            <v>0</v>
          </cell>
          <cell r="E423">
            <v>41.6</v>
          </cell>
          <cell r="F423" t="str">
            <v>调货</v>
          </cell>
          <cell r="G423" t="str">
            <v>沃尔沃</v>
          </cell>
          <cell r="H423">
            <v>50</v>
          </cell>
          <cell r="I423">
            <v>49</v>
          </cell>
          <cell r="J423">
            <v>48</v>
          </cell>
          <cell r="K423">
            <v>48</v>
          </cell>
          <cell r="L423">
            <v>47</v>
          </cell>
          <cell r="M423">
            <v>46</v>
          </cell>
        </row>
        <row r="424">
          <cell r="A424" t="str">
            <v>DQ9005A</v>
          </cell>
          <cell r="B424">
            <v>121</v>
          </cell>
          <cell r="C424">
            <v>15.4307648508182</v>
          </cell>
          <cell r="D424">
            <v>0</v>
          </cell>
          <cell r="E424">
            <v>15.4307648508182</v>
          </cell>
          <cell r="F424" t="str">
            <v>自制</v>
          </cell>
          <cell r="G424" t="str">
            <v>江南奥拓</v>
          </cell>
          <cell r="H424">
            <v>21</v>
          </cell>
          <cell r="I424">
            <v>21</v>
          </cell>
          <cell r="J424">
            <v>20</v>
          </cell>
          <cell r="K424">
            <v>19</v>
          </cell>
          <cell r="L424">
            <v>18</v>
          </cell>
          <cell r="M424">
            <v>17</v>
          </cell>
        </row>
        <row r="425">
          <cell r="A425" t="str">
            <v>DQ9077A1</v>
          </cell>
          <cell r="B425">
            <v>120</v>
          </cell>
          <cell r="C425">
            <v>41.685</v>
          </cell>
          <cell r="D425">
            <v>0</v>
          </cell>
          <cell r="E425">
            <v>41.685</v>
          </cell>
          <cell r="F425" t="str">
            <v>调货</v>
          </cell>
          <cell r="G425" t="str">
            <v>上汽通用雪佛兰 科沃兹</v>
          </cell>
          <cell r="H425">
            <v>50</v>
          </cell>
          <cell r="I425">
            <v>49</v>
          </cell>
          <cell r="J425">
            <v>48</v>
          </cell>
          <cell r="K425">
            <v>48</v>
          </cell>
          <cell r="L425">
            <v>47</v>
          </cell>
          <cell r="M425">
            <v>46</v>
          </cell>
        </row>
        <row r="426">
          <cell r="A426" t="str">
            <v>DQ9037B1</v>
          </cell>
          <cell r="B426">
            <v>119</v>
          </cell>
          <cell r="C426">
            <v>22.8242330854545</v>
          </cell>
          <cell r="D426">
            <v>0</v>
          </cell>
          <cell r="E426">
            <v>22.8242330854545</v>
          </cell>
          <cell r="F426" t="str">
            <v>自制</v>
          </cell>
          <cell r="G426" t="str">
            <v>长城腾翼C30</v>
          </cell>
          <cell r="H426">
            <v>31</v>
          </cell>
          <cell r="I426">
            <v>30</v>
          </cell>
          <cell r="J426">
            <v>29</v>
          </cell>
          <cell r="K426">
            <v>28</v>
          </cell>
          <cell r="L426">
            <v>27</v>
          </cell>
          <cell r="M426">
            <v>26</v>
          </cell>
        </row>
        <row r="427">
          <cell r="A427" t="str">
            <v>DQ9107C1</v>
          </cell>
          <cell r="B427">
            <v>117</v>
          </cell>
          <cell r="C427">
            <v>21.4259262784848</v>
          </cell>
          <cell r="D427">
            <v>0</v>
          </cell>
          <cell r="E427">
            <v>21.4259262784848</v>
          </cell>
          <cell r="F427" t="str">
            <v>自制</v>
          </cell>
          <cell r="G427" t="str">
            <v>一汽森雅S80</v>
          </cell>
          <cell r="H427">
            <v>29</v>
          </cell>
          <cell r="I427">
            <v>28</v>
          </cell>
          <cell r="J427">
            <v>27</v>
          </cell>
          <cell r="K427">
            <v>26</v>
          </cell>
          <cell r="L427">
            <v>25</v>
          </cell>
          <cell r="M427">
            <v>24</v>
          </cell>
        </row>
        <row r="428">
          <cell r="A428" t="str">
            <v>DQ9153A2</v>
          </cell>
          <cell r="B428">
            <v>117</v>
          </cell>
          <cell r="C428">
            <v>21.3341862784848</v>
          </cell>
          <cell r="D428">
            <v>0</v>
          </cell>
          <cell r="E428">
            <v>21.3341862784848</v>
          </cell>
          <cell r="F428" t="str">
            <v>自制</v>
          </cell>
          <cell r="G428" t="str">
            <v>长城 自动挡 H6 2.4L</v>
          </cell>
          <cell r="H428">
            <v>29</v>
          </cell>
          <cell r="I428">
            <v>28</v>
          </cell>
          <cell r="J428">
            <v>27</v>
          </cell>
          <cell r="K428">
            <v>26</v>
          </cell>
          <cell r="L428">
            <v>25</v>
          </cell>
          <cell r="M428">
            <v>24</v>
          </cell>
        </row>
        <row r="429">
          <cell r="A429" t="str">
            <v>DQ9003G4</v>
          </cell>
          <cell r="B429">
            <v>113</v>
          </cell>
          <cell r="C429">
            <v>27.1330299854545</v>
          </cell>
          <cell r="D429">
            <v>0</v>
          </cell>
          <cell r="E429">
            <v>27.1330299854545</v>
          </cell>
          <cell r="F429" t="str">
            <v>自制</v>
          </cell>
          <cell r="G429" t="str">
            <v>奇骏2.0L</v>
          </cell>
          <cell r="H429">
            <v>37</v>
          </cell>
          <cell r="I429">
            <v>36</v>
          </cell>
          <cell r="J429">
            <v>34</v>
          </cell>
          <cell r="K429">
            <v>33</v>
          </cell>
          <cell r="L429">
            <v>32</v>
          </cell>
          <cell r="M429">
            <v>30</v>
          </cell>
        </row>
        <row r="430">
          <cell r="A430" t="str">
            <v>DQ9114A</v>
          </cell>
          <cell r="B430">
            <v>112</v>
          </cell>
          <cell r="C430">
            <v>31.9328180808339</v>
          </cell>
          <cell r="D430">
            <v>0</v>
          </cell>
          <cell r="E430">
            <v>31.9328180808339</v>
          </cell>
          <cell r="F430" t="str">
            <v>自制</v>
          </cell>
          <cell r="G430" t="str">
            <v>途锐长杆</v>
          </cell>
          <cell r="H430">
            <v>44</v>
          </cell>
          <cell r="I430">
            <v>42</v>
          </cell>
          <cell r="J430">
            <v>40</v>
          </cell>
          <cell r="K430">
            <v>39</v>
          </cell>
          <cell r="L430">
            <v>37</v>
          </cell>
          <cell r="M430">
            <v>36</v>
          </cell>
        </row>
        <row r="431">
          <cell r="A431" t="str">
            <v>DQ9005B</v>
          </cell>
          <cell r="B431">
            <v>112</v>
          </cell>
          <cell r="C431">
            <v>15.9783462144545</v>
          </cell>
          <cell r="D431">
            <v>0</v>
          </cell>
          <cell r="E431">
            <v>15.9783462144545</v>
          </cell>
          <cell r="F431" t="str">
            <v>自制</v>
          </cell>
          <cell r="G431" t="str">
            <v>福特水星03-05</v>
          </cell>
          <cell r="H431">
            <v>22</v>
          </cell>
          <cell r="I431">
            <v>21</v>
          </cell>
          <cell r="J431">
            <v>20</v>
          </cell>
          <cell r="K431">
            <v>20</v>
          </cell>
          <cell r="L431">
            <v>19</v>
          </cell>
          <cell r="M431">
            <v>18</v>
          </cell>
        </row>
        <row r="432">
          <cell r="A432" t="str">
            <v>DQ9007H1</v>
          </cell>
          <cell r="B432">
            <v>111</v>
          </cell>
          <cell r="C432">
            <v>33.1333620154545</v>
          </cell>
          <cell r="D432">
            <v>0</v>
          </cell>
          <cell r="E432">
            <v>33.1333620154545</v>
          </cell>
          <cell r="F432" t="str">
            <v>自制</v>
          </cell>
          <cell r="G432" t="str">
            <v>2019 Kia Cadenza 3.3l</v>
          </cell>
          <cell r="H432">
            <v>45</v>
          </cell>
          <cell r="I432">
            <v>44</v>
          </cell>
          <cell r="J432">
            <v>42</v>
          </cell>
          <cell r="K432">
            <v>40</v>
          </cell>
          <cell r="L432">
            <v>39</v>
          </cell>
          <cell r="M432">
            <v>37</v>
          </cell>
        </row>
        <row r="433">
          <cell r="A433" t="str">
            <v>DQ9038A3</v>
          </cell>
          <cell r="B433">
            <v>108</v>
          </cell>
          <cell r="C433">
            <v>23.1616388787879</v>
          </cell>
          <cell r="D433">
            <v>0</v>
          </cell>
          <cell r="E433">
            <v>23.1616388787879</v>
          </cell>
          <cell r="F433" t="str">
            <v>自制</v>
          </cell>
          <cell r="G433" t="str">
            <v>力帆</v>
          </cell>
          <cell r="H433">
            <v>32</v>
          </cell>
          <cell r="I433">
            <v>31</v>
          </cell>
          <cell r="J433">
            <v>29</v>
          </cell>
          <cell r="K433">
            <v>28</v>
          </cell>
          <cell r="L433">
            <v>27</v>
          </cell>
          <cell r="M433">
            <v>26</v>
          </cell>
        </row>
        <row r="434">
          <cell r="A434" t="str">
            <v>DQ9130A1</v>
          </cell>
          <cell r="B434">
            <v>108</v>
          </cell>
          <cell r="C434">
            <v>50.358</v>
          </cell>
          <cell r="D434">
            <v>0</v>
          </cell>
          <cell r="E434">
            <v>50.358</v>
          </cell>
          <cell r="F434" t="str">
            <v>调货</v>
          </cell>
          <cell r="G434" t="str">
            <v>福特</v>
          </cell>
          <cell r="H434">
            <v>60</v>
          </cell>
          <cell r="I434">
            <v>59</v>
          </cell>
          <cell r="J434">
            <v>58</v>
          </cell>
          <cell r="K434">
            <v>57</v>
          </cell>
          <cell r="L434">
            <v>57</v>
          </cell>
          <cell r="M434">
            <v>56</v>
          </cell>
        </row>
        <row r="435">
          <cell r="A435" t="str">
            <v>DQ9071A1</v>
          </cell>
          <cell r="B435">
            <v>108</v>
          </cell>
          <cell r="C435">
            <v>33.18</v>
          </cell>
          <cell r="D435">
            <v>0</v>
          </cell>
          <cell r="E435">
            <v>33.18</v>
          </cell>
          <cell r="F435" t="str">
            <v>调货</v>
          </cell>
          <cell r="G435" t="str">
            <v>东风小康C31</v>
          </cell>
          <cell r="H435">
            <v>40</v>
          </cell>
          <cell r="I435">
            <v>39</v>
          </cell>
          <cell r="J435">
            <v>39</v>
          </cell>
          <cell r="K435">
            <v>38</v>
          </cell>
          <cell r="L435">
            <v>38</v>
          </cell>
          <cell r="M435">
            <v>37</v>
          </cell>
        </row>
        <row r="436">
          <cell r="A436" t="str">
            <v>DQ9206A</v>
          </cell>
          <cell r="B436">
            <v>106</v>
          </cell>
          <cell r="C436">
            <v>32.3368747727273</v>
          </cell>
          <cell r="D436">
            <v>0</v>
          </cell>
          <cell r="E436">
            <v>32.3368747727273</v>
          </cell>
          <cell r="F436" t="str">
            <v>自制</v>
          </cell>
          <cell r="G436" t="str">
            <v>三菱兰瑟</v>
          </cell>
          <cell r="H436">
            <v>44</v>
          </cell>
          <cell r="I436">
            <v>43</v>
          </cell>
          <cell r="J436">
            <v>41</v>
          </cell>
          <cell r="K436">
            <v>39</v>
          </cell>
          <cell r="L436">
            <v>38</v>
          </cell>
          <cell r="M436">
            <v>36</v>
          </cell>
        </row>
        <row r="437">
          <cell r="A437" t="str">
            <v>DQ9074A2</v>
          </cell>
          <cell r="B437">
            <v>102</v>
          </cell>
          <cell r="C437">
            <v>44.1546</v>
          </cell>
          <cell r="D437">
            <v>0</v>
          </cell>
          <cell r="E437">
            <v>44.1546</v>
          </cell>
          <cell r="F437" t="str">
            <v>调货</v>
          </cell>
          <cell r="G437" t="str">
            <v>东风小康D71</v>
          </cell>
          <cell r="H437">
            <v>53</v>
          </cell>
          <cell r="I437">
            <v>52</v>
          </cell>
          <cell r="J437">
            <v>51</v>
          </cell>
          <cell r="K437">
            <v>50</v>
          </cell>
          <cell r="L437">
            <v>50</v>
          </cell>
          <cell r="M437">
            <v>49</v>
          </cell>
        </row>
        <row r="438">
          <cell r="A438" t="str">
            <v>DQ9128A2</v>
          </cell>
          <cell r="B438">
            <v>100</v>
          </cell>
          <cell r="C438">
            <v>32.4492611793939</v>
          </cell>
          <cell r="D438">
            <v>0</v>
          </cell>
          <cell r="E438">
            <v>32.4492611793939</v>
          </cell>
          <cell r="F438" t="str">
            <v>自制</v>
          </cell>
          <cell r="G438" t="str">
            <v>林荫大道</v>
          </cell>
          <cell r="H438">
            <v>44</v>
          </cell>
          <cell r="I438">
            <v>43</v>
          </cell>
          <cell r="J438">
            <v>41</v>
          </cell>
          <cell r="K438">
            <v>39</v>
          </cell>
          <cell r="L438">
            <v>38</v>
          </cell>
          <cell r="M438">
            <v>36</v>
          </cell>
        </row>
        <row r="439">
          <cell r="A439" t="str">
            <v>DQ6207</v>
          </cell>
          <cell r="B439">
            <v>99</v>
          </cell>
          <cell r="C439">
            <v>93.3302475</v>
          </cell>
          <cell r="D439">
            <v>-0.539752500000005</v>
          </cell>
          <cell r="E439">
            <v>93.87</v>
          </cell>
          <cell r="F439" t="str">
            <v>调货</v>
          </cell>
          <cell r="G439" t="str">
            <v>圣达菲2.7</v>
          </cell>
          <cell r="H439">
            <v>112</v>
          </cell>
          <cell r="I439">
            <v>110</v>
          </cell>
          <cell r="J439">
            <v>108</v>
          </cell>
          <cell r="K439">
            <v>106</v>
          </cell>
          <cell r="L439">
            <v>105</v>
          </cell>
          <cell r="M439">
            <v>103</v>
          </cell>
        </row>
        <row r="440">
          <cell r="A440" t="str">
            <v>DQ9021A</v>
          </cell>
          <cell r="B440">
            <v>98</v>
          </cell>
          <cell r="C440">
            <v>19.6245069009091</v>
          </cell>
          <cell r="D440">
            <v>0</v>
          </cell>
          <cell r="E440">
            <v>19.6245069009091</v>
          </cell>
          <cell r="F440" t="str">
            <v>自制</v>
          </cell>
          <cell r="G440" t="str">
            <v>天津夏利</v>
          </cell>
          <cell r="H440">
            <v>27</v>
          </cell>
          <cell r="I440">
            <v>26</v>
          </cell>
          <cell r="J440">
            <v>25</v>
          </cell>
          <cell r="K440">
            <v>24</v>
          </cell>
          <cell r="L440">
            <v>23</v>
          </cell>
          <cell r="M440">
            <v>22</v>
          </cell>
        </row>
        <row r="441">
          <cell r="A441" t="str">
            <v>DQ9010L1</v>
          </cell>
          <cell r="B441">
            <v>97</v>
          </cell>
          <cell r="C441">
            <v>25.0778211154545</v>
          </cell>
          <cell r="D441">
            <v>0</v>
          </cell>
          <cell r="E441">
            <v>25.0778211154545</v>
          </cell>
          <cell r="F441" t="str">
            <v>自制</v>
          </cell>
          <cell r="G441" t="str">
            <v>本田飞度混动2013款</v>
          </cell>
          <cell r="H441">
            <v>34</v>
          </cell>
          <cell r="I441">
            <v>33</v>
          </cell>
          <cell r="J441">
            <v>32</v>
          </cell>
          <cell r="K441">
            <v>31</v>
          </cell>
          <cell r="L441">
            <v>29</v>
          </cell>
          <cell r="M441">
            <v>28</v>
          </cell>
        </row>
        <row r="442">
          <cell r="A442" t="str">
            <v>DQ9050A2</v>
          </cell>
          <cell r="B442">
            <v>96</v>
          </cell>
          <cell r="C442">
            <v>33.9696471204444</v>
          </cell>
          <cell r="D442">
            <v>1.61762896498991</v>
          </cell>
          <cell r="E442">
            <v>32.3520181554545</v>
          </cell>
          <cell r="F442" t="str">
            <v>自制</v>
          </cell>
          <cell r="G442" t="str">
            <v>三菱欧蓝德2.4L</v>
          </cell>
          <cell r="H442">
            <v>46</v>
          </cell>
          <cell r="I442">
            <v>45</v>
          </cell>
          <cell r="J442">
            <v>43</v>
          </cell>
          <cell r="K442">
            <v>41</v>
          </cell>
          <cell r="L442">
            <v>40</v>
          </cell>
          <cell r="M442">
            <v>38</v>
          </cell>
        </row>
        <row r="443">
          <cell r="A443" t="str">
            <v>DQ6402C1</v>
          </cell>
          <cell r="B443">
            <v>94</v>
          </cell>
          <cell r="C443">
            <v>61.5207408181818</v>
          </cell>
          <cell r="D443">
            <v>0</v>
          </cell>
          <cell r="E443">
            <v>61.5207408181818</v>
          </cell>
          <cell r="F443" t="str">
            <v>自制</v>
          </cell>
          <cell r="G443" t="str">
            <v>斯巴鲁</v>
          </cell>
          <cell r="H443">
            <v>84</v>
          </cell>
          <cell r="I443">
            <v>80</v>
          </cell>
          <cell r="J443">
            <v>77</v>
          </cell>
          <cell r="K443">
            <v>74</v>
          </cell>
          <cell r="L443">
            <v>71</v>
          </cell>
          <cell r="M443">
            <v>68</v>
          </cell>
        </row>
        <row r="444">
          <cell r="A444" t="str">
            <v>DQ4202A1</v>
          </cell>
          <cell r="B444">
            <v>94</v>
          </cell>
          <cell r="C444">
            <v>50.2635</v>
          </cell>
          <cell r="D444">
            <v>0</v>
          </cell>
          <cell r="E444">
            <v>50.2635</v>
          </cell>
          <cell r="F444" t="str">
            <v>调货</v>
          </cell>
          <cell r="G444" t="str">
            <v>丰田SR40</v>
          </cell>
          <cell r="H444">
            <v>60</v>
          </cell>
          <cell r="I444">
            <v>59</v>
          </cell>
          <cell r="J444">
            <v>58</v>
          </cell>
          <cell r="K444">
            <v>57</v>
          </cell>
          <cell r="L444">
            <v>57</v>
          </cell>
          <cell r="M444">
            <v>56</v>
          </cell>
        </row>
        <row r="445">
          <cell r="A445" t="str">
            <v>DQ9003G7</v>
          </cell>
          <cell r="B445">
            <v>92</v>
          </cell>
          <cell r="C445">
            <v>38.9046</v>
          </cell>
          <cell r="D445">
            <v>0</v>
          </cell>
          <cell r="E445">
            <v>38.9046</v>
          </cell>
          <cell r="F445" t="str">
            <v>调货</v>
          </cell>
          <cell r="G445" t="str">
            <v>22448-6LBOA</v>
          </cell>
          <cell r="H445">
            <v>47</v>
          </cell>
          <cell r="I445">
            <v>46</v>
          </cell>
          <cell r="J445">
            <v>45</v>
          </cell>
          <cell r="K445">
            <v>44</v>
          </cell>
          <cell r="L445">
            <v>44</v>
          </cell>
          <cell r="M445">
            <v>43</v>
          </cell>
        </row>
        <row r="446">
          <cell r="A446" t="str">
            <v>DQ9033A1</v>
          </cell>
          <cell r="B446">
            <v>90</v>
          </cell>
          <cell r="C446">
            <v>29.0759901193939</v>
          </cell>
          <cell r="D446">
            <v>0</v>
          </cell>
          <cell r="E446">
            <v>29.0759901193939</v>
          </cell>
          <cell r="F446" t="str">
            <v>自制</v>
          </cell>
          <cell r="G446" t="str">
            <v>青年莲花</v>
          </cell>
          <cell r="H446">
            <v>40</v>
          </cell>
          <cell r="I446">
            <v>38</v>
          </cell>
          <cell r="J446">
            <v>37</v>
          </cell>
          <cell r="K446">
            <v>35</v>
          </cell>
          <cell r="L446">
            <v>34</v>
          </cell>
          <cell r="M446">
            <v>32</v>
          </cell>
        </row>
        <row r="447">
          <cell r="A447" t="str">
            <v>DQ6211</v>
          </cell>
          <cell r="B447">
            <v>90</v>
          </cell>
          <cell r="C447">
            <v>58.4</v>
          </cell>
          <cell r="D447">
            <v>0</v>
          </cell>
          <cell r="E447">
            <v>58.4</v>
          </cell>
          <cell r="F447" t="str">
            <v>调货</v>
          </cell>
          <cell r="G447" t="str">
            <v>现代</v>
          </cell>
          <cell r="H447">
            <v>70</v>
          </cell>
          <cell r="I447">
            <v>69</v>
          </cell>
          <cell r="J447">
            <v>68</v>
          </cell>
          <cell r="K447">
            <v>66</v>
          </cell>
          <cell r="L447">
            <v>66</v>
          </cell>
          <cell r="M447">
            <v>65</v>
          </cell>
        </row>
        <row r="448">
          <cell r="A448" t="str">
            <v>DQ9004D2</v>
          </cell>
          <cell r="B448">
            <v>90</v>
          </cell>
          <cell r="C448">
            <v>28.1093345454545</v>
          </cell>
          <cell r="D448">
            <v>0</v>
          </cell>
          <cell r="E448">
            <v>28.1093345454545</v>
          </cell>
          <cell r="F448" t="str">
            <v>自制</v>
          </cell>
          <cell r="G448" t="str">
            <v>尼桑</v>
          </cell>
          <cell r="H448">
            <v>38</v>
          </cell>
          <cell r="I448">
            <v>37</v>
          </cell>
          <cell r="J448">
            <v>36</v>
          </cell>
          <cell r="K448">
            <v>34</v>
          </cell>
          <cell r="L448">
            <v>33</v>
          </cell>
          <cell r="M448">
            <v>31</v>
          </cell>
        </row>
        <row r="449">
          <cell r="A449" t="str">
            <v>DQ9085A1</v>
          </cell>
          <cell r="B449">
            <v>90</v>
          </cell>
          <cell r="C449">
            <v>47.1975</v>
          </cell>
          <cell r="D449">
            <v>0</v>
          </cell>
          <cell r="E449">
            <v>47.1975</v>
          </cell>
          <cell r="F449" t="str">
            <v>调货</v>
          </cell>
          <cell r="G449" t="str">
            <v>福特福克斯</v>
          </cell>
          <cell r="H449">
            <v>57</v>
          </cell>
          <cell r="I449">
            <v>56</v>
          </cell>
          <cell r="J449">
            <v>55</v>
          </cell>
          <cell r="K449">
            <v>54</v>
          </cell>
          <cell r="L449">
            <v>53</v>
          </cell>
          <cell r="M449">
            <v>52</v>
          </cell>
        </row>
        <row r="450">
          <cell r="A450" t="str">
            <v>DQ9120A</v>
          </cell>
          <cell r="B450">
            <v>89</v>
          </cell>
          <cell r="C450">
            <v>31.42</v>
          </cell>
          <cell r="D450">
            <v>0</v>
          </cell>
          <cell r="E450">
            <v>31.42</v>
          </cell>
          <cell r="F450" t="str">
            <v>调货</v>
          </cell>
          <cell r="G450" t="str">
            <v>荣威 750 2.5L（黑色铁管）</v>
          </cell>
          <cell r="H450">
            <v>38</v>
          </cell>
          <cell r="I450">
            <v>37</v>
          </cell>
          <cell r="J450">
            <v>37</v>
          </cell>
          <cell r="K450">
            <v>36</v>
          </cell>
          <cell r="L450">
            <v>36</v>
          </cell>
          <cell r="M450">
            <v>35</v>
          </cell>
        </row>
        <row r="451">
          <cell r="A451" t="str">
            <v>DQ6407</v>
          </cell>
          <cell r="B451">
            <v>88</v>
          </cell>
          <cell r="C451">
            <v>39.45429136478</v>
          </cell>
          <cell r="D451">
            <v>-0.506655153401822</v>
          </cell>
          <cell r="E451">
            <v>39.9609465181818</v>
          </cell>
          <cell r="F451" t="str">
            <v>自制</v>
          </cell>
          <cell r="G451" t="str">
            <v>蒙迪欧</v>
          </cell>
          <cell r="H451">
            <v>54</v>
          </cell>
          <cell r="I451">
            <v>52</v>
          </cell>
          <cell r="J451">
            <v>50</v>
          </cell>
          <cell r="K451">
            <v>48</v>
          </cell>
          <cell r="L451">
            <v>46</v>
          </cell>
          <cell r="M451">
            <v>44</v>
          </cell>
        </row>
        <row r="452">
          <cell r="A452" t="str">
            <v>DQ9130B1</v>
          </cell>
          <cell r="B452">
            <v>87</v>
          </cell>
          <cell r="C452">
            <v>50.358</v>
          </cell>
          <cell r="D452">
            <v>0</v>
          </cell>
          <cell r="E452">
            <v>50.358</v>
          </cell>
          <cell r="F452" t="str">
            <v>调货</v>
          </cell>
          <cell r="G452" t="str">
            <v>福特猛禽F-150(右排)</v>
          </cell>
          <cell r="H452">
            <v>60</v>
          </cell>
          <cell r="I452">
            <v>59</v>
          </cell>
          <cell r="J452">
            <v>58</v>
          </cell>
          <cell r="K452">
            <v>57</v>
          </cell>
          <cell r="L452">
            <v>57</v>
          </cell>
          <cell r="M452">
            <v>56</v>
          </cell>
        </row>
        <row r="453">
          <cell r="A453" t="str">
            <v>DQ9210A4</v>
          </cell>
          <cell r="B453">
            <v>86</v>
          </cell>
          <cell r="C453">
            <v>21.4234812927273</v>
          </cell>
          <cell r="D453">
            <v>0</v>
          </cell>
          <cell r="E453">
            <v>21.4234812927273</v>
          </cell>
          <cell r="F453" t="str">
            <v>自制</v>
          </cell>
          <cell r="G453" t="str">
            <v>比亚迪G3</v>
          </cell>
          <cell r="H453">
            <v>29</v>
          </cell>
          <cell r="I453">
            <v>28</v>
          </cell>
          <cell r="J453">
            <v>27</v>
          </cell>
          <cell r="K453">
            <v>26</v>
          </cell>
          <cell r="L453">
            <v>25</v>
          </cell>
          <cell r="M453">
            <v>24</v>
          </cell>
        </row>
        <row r="454">
          <cell r="A454" t="str">
            <v>DQ9036D1</v>
          </cell>
          <cell r="B454">
            <v>82</v>
          </cell>
          <cell r="C454">
            <v>38.9046</v>
          </cell>
          <cell r="D454">
            <v>0</v>
          </cell>
          <cell r="E454">
            <v>38.9046</v>
          </cell>
          <cell r="F454" t="str">
            <v>调货</v>
          </cell>
          <cell r="G454" t="str">
            <v>指南者</v>
          </cell>
          <cell r="H454">
            <v>47</v>
          </cell>
          <cell r="I454">
            <v>46</v>
          </cell>
          <cell r="J454">
            <v>45</v>
          </cell>
          <cell r="K454">
            <v>44</v>
          </cell>
          <cell r="L454">
            <v>44</v>
          </cell>
          <cell r="M454">
            <v>43</v>
          </cell>
        </row>
        <row r="455">
          <cell r="A455" t="str">
            <v>DQ9034A6</v>
          </cell>
          <cell r="B455">
            <v>81</v>
          </cell>
          <cell r="C455">
            <v>35.385</v>
          </cell>
          <cell r="D455">
            <v>0</v>
          </cell>
          <cell r="E455">
            <v>35.385</v>
          </cell>
          <cell r="F455" t="str">
            <v>调货</v>
          </cell>
          <cell r="G455" t="str">
            <v>北汽绅宝</v>
          </cell>
          <cell r="H455">
            <v>43</v>
          </cell>
          <cell r="I455">
            <v>42</v>
          </cell>
          <cell r="J455">
            <v>41</v>
          </cell>
          <cell r="K455">
            <v>40</v>
          </cell>
          <cell r="L455">
            <v>40</v>
          </cell>
          <cell r="M455">
            <v>39</v>
          </cell>
        </row>
        <row r="456">
          <cell r="A456" t="str">
            <v>DQ9039F1</v>
          </cell>
          <cell r="B456">
            <v>81</v>
          </cell>
          <cell r="C456">
            <v>23.5011603818182</v>
          </cell>
          <cell r="D456">
            <v>0</v>
          </cell>
          <cell r="E456">
            <v>23.5011603818182</v>
          </cell>
          <cell r="F456" t="str">
            <v>自制</v>
          </cell>
          <cell r="G456" t="str">
            <v>福瑞达M50S 1.4L</v>
          </cell>
          <cell r="H456">
            <v>32</v>
          </cell>
          <cell r="I456">
            <v>31</v>
          </cell>
          <cell r="J456">
            <v>30</v>
          </cell>
          <cell r="K456">
            <v>29</v>
          </cell>
          <cell r="L456">
            <v>28</v>
          </cell>
          <cell r="M456">
            <v>26</v>
          </cell>
        </row>
        <row r="457">
          <cell r="A457" t="str">
            <v>DQ9209K</v>
          </cell>
          <cell r="B457">
            <v>79</v>
          </cell>
          <cell r="C457">
            <v>26.1101267727273</v>
          </cell>
          <cell r="D457">
            <v>0</v>
          </cell>
          <cell r="E457">
            <v>26.1101267727273</v>
          </cell>
          <cell r="F457" t="str">
            <v>自制</v>
          </cell>
          <cell r="G457" t="str">
            <v>新羚羊</v>
          </cell>
          <cell r="H457">
            <v>36</v>
          </cell>
          <cell r="I457">
            <v>34</v>
          </cell>
          <cell r="J457">
            <v>33</v>
          </cell>
          <cell r="K457">
            <v>32</v>
          </cell>
          <cell r="L457">
            <v>31</v>
          </cell>
          <cell r="M457">
            <v>29</v>
          </cell>
        </row>
        <row r="458">
          <cell r="A458" t="str">
            <v>DQ9135B1</v>
          </cell>
          <cell r="B458">
            <v>79</v>
          </cell>
          <cell r="C458">
            <v>36.42</v>
          </cell>
          <cell r="D458">
            <v>0</v>
          </cell>
          <cell r="E458">
            <v>36.42</v>
          </cell>
          <cell r="F458" t="str">
            <v>调货</v>
          </cell>
          <cell r="G458" t="str">
            <v>标致 3.0L</v>
          </cell>
          <cell r="H458">
            <v>44</v>
          </cell>
          <cell r="I458">
            <v>43</v>
          </cell>
          <cell r="J458">
            <v>42</v>
          </cell>
          <cell r="K458">
            <v>42</v>
          </cell>
          <cell r="L458">
            <v>41</v>
          </cell>
          <cell r="M458">
            <v>41</v>
          </cell>
        </row>
        <row r="459">
          <cell r="A459" t="str">
            <v>DQ9402A2</v>
          </cell>
          <cell r="B459">
            <v>78</v>
          </cell>
          <cell r="C459">
            <v>104.758018181818</v>
          </cell>
          <cell r="D459">
            <v>-0.64198181818182</v>
          </cell>
          <cell r="E459">
            <v>105.4</v>
          </cell>
          <cell r="F459" t="str">
            <v>调货</v>
          </cell>
          <cell r="G459" t="str">
            <v>标致2.0L 老款</v>
          </cell>
          <cell r="H459">
            <v>125</v>
          </cell>
          <cell r="I459">
            <v>123</v>
          </cell>
          <cell r="J459">
            <v>121</v>
          </cell>
          <cell r="K459">
            <v>119</v>
          </cell>
          <cell r="L459">
            <v>118</v>
          </cell>
          <cell r="M459">
            <v>116</v>
          </cell>
        </row>
        <row r="460">
          <cell r="A460" t="str">
            <v>DQ6409</v>
          </cell>
          <cell r="B460">
            <v>76</v>
          </cell>
          <cell r="C460">
            <v>145.1</v>
          </cell>
          <cell r="D460">
            <v>0</v>
          </cell>
          <cell r="E460">
            <v>145.1</v>
          </cell>
          <cell r="F460" t="str">
            <v>调货</v>
          </cell>
          <cell r="G460" t="str">
            <v>通用别克陆尊</v>
          </cell>
          <cell r="H460">
            <v>173</v>
          </cell>
          <cell r="I460">
            <v>170</v>
          </cell>
          <cell r="J460">
            <v>167</v>
          </cell>
          <cell r="K460">
            <v>164</v>
          </cell>
          <cell r="L460">
            <v>163</v>
          </cell>
          <cell r="M460">
            <v>160</v>
          </cell>
        </row>
        <row r="461">
          <cell r="A461" t="str">
            <v>DQ9106LR</v>
          </cell>
          <cell r="B461">
            <v>76</v>
          </cell>
          <cell r="C461">
            <v>27.8405602884848</v>
          </cell>
          <cell r="D461">
            <v>0</v>
          </cell>
          <cell r="E461">
            <v>27.8405602884848</v>
          </cell>
          <cell r="F461" t="str">
            <v>自制</v>
          </cell>
          <cell r="G461" t="str">
            <v>波罗 红头</v>
          </cell>
          <cell r="H461">
            <v>38</v>
          </cell>
          <cell r="I461">
            <v>37</v>
          </cell>
          <cell r="J461">
            <v>35</v>
          </cell>
          <cell r="K461">
            <v>34</v>
          </cell>
          <cell r="L461">
            <v>33</v>
          </cell>
          <cell r="M461">
            <v>31</v>
          </cell>
        </row>
        <row r="462">
          <cell r="A462" t="str">
            <v>DQ9063A1</v>
          </cell>
          <cell r="B462">
            <v>75</v>
          </cell>
          <cell r="C462">
            <v>52.185</v>
          </cell>
          <cell r="D462">
            <v>0</v>
          </cell>
          <cell r="E462">
            <v>52.185</v>
          </cell>
          <cell r="F462" t="str">
            <v>调货</v>
          </cell>
          <cell r="G462" t="str">
            <v>凯迪拉克 CT6 3.0T</v>
          </cell>
          <cell r="H462">
            <v>63</v>
          </cell>
          <cell r="I462">
            <v>62</v>
          </cell>
          <cell r="J462">
            <v>61</v>
          </cell>
          <cell r="K462">
            <v>59</v>
          </cell>
          <cell r="L462">
            <v>59</v>
          </cell>
          <cell r="M462">
            <v>58</v>
          </cell>
        </row>
        <row r="463">
          <cell r="A463" t="str">
            <v>DQ9080A1</v>
          </cell>
          <cell r="B463">
            <v>75</v>
          </cell>
          <cell r="C463">
            <v>70.4046</v>
          </cell>
          <cell r="D463">
            <v>0</v>
          </cell>
          <cell r="E463">
            <v>70.4046</v>
          </cell>
          <cell r="F463" t="str">
            <v>调货</v>
          </cell>
          <cell r="G463" t="str">
            <v>标致308</v>
          </cell>
          <cell r="H463">
            <v>84</v>
          </cell>
          <cell r="I463">
            <v>83</v>
          </cell>
          <cell r="J463">
            <v>81</v>
          </cell>
          <cell r="K463">
            <v>80</v>
          </cell>
          <cell r="L463">
            <v>79</v>
          </cell>
          <cell r="M463">
            <v>78</v>
          </cell>
        </row>
        <row r="464">
          <cell r="A464" t="str">
            <v>DQ9132L1</v>
          </cell>
          <cell r="B464">
            <v>72</v>
          </cell>
          <cell r="C464">
            <v>48.93</v>
          </cell>
          <cell r="D464">
            <v>0</v>
          </cell>
          <cell r="E464">
            <v>48.93</v>
          </cell>
          <cell r="F464" t="str">
            <v>调货</v>
          </cell>
          <cell r="G464" t="str">
            <v>大发97204</v>
          </cell>
          <cell r="H464">
            <v>59</v>
          </cell>
          <cell r="I464">
            <v>58</v>
          </cell>
          <cell r="J464">
            <v>57</v>
          </cell>
          <cell r="K464">
            <v>56</v>
          </cell>
          <cell r="L464">
            <v>55</v>
          </cell>
          <cell r="M464">
            <v>54</v>
          </cell>
        </row>
        <row r="465">
          <cell r="A465" t="str">
            <v>DQ1212Y</v>
          </cell>
          <cell r="B465">
            <v>72</v>
          </cell>
          <cell r="C465">
            <v>52.395</v>
          </cell>
          <cell r="D465">
            <v>0</v>
          </cell>
          <cell r="E465">
            <v>52.395</v>
          </cell>
          <cell r="F465" t="str">
            <v>调货</v>
          </cell>
          <cell r="G465" t="str">
            <v>标致</v>
          </cell>
          <cell r="H465">
            <v>63</v>
          </cell>
          <cell r="I465">
            <v>62</v>
          </cell>
          <cell r="J465">
            <v>61</v>
          </cell>
          <cell r="K465">
            <v>60</v>
          </cell>
          <cell r="L465">
            <v>59</v>
          </cell>
          <cell r="M465">
            <v>58</v>
          </cell>
        </row>
        <row r="466">
          <cell r="A466" t="str">
            <v>DQ132</v>
          </cell>
          <cell r="B466">
            <v>71</v>
          </cell>
          <cell r="C466">
            <v>24.95</v>
          </cell>
          <cell r="D466">
            <v>0</v>
          </cell>
          <cell r="E466">
            <v>24.95</v>
          </cell>
          <cell r="F466" t="str">
            <v>调货</v>
          </cell>
          <cell r="G466" t="str">
            <v>99新秀</v>
          </cell>
          <cell r="H466">
            <v>30</v>
          </cell>
          <cell r="I466">
            <v>30</v>
          </cell>
          <cell r="J466">
            <v>29</v>
          </cell>
          <cell r="K466">
            <v>29</v>
          </cell>
          <cell r="L466">
            <v>28</v>
          </cell>
          <cell r="M466">
            <v>28</v>
          </cell>
        </row>
        <row r="467">
          <cell r="A467" t="str">
            <v>DQ6210</v>
          </cell>
          <cell r="B467">
            <v>70</v>
          </cell>
          <cell r="C467">
            <v>58.76</v>
          </cell>
          <cell r="D467">
            <v>0</v>
          </cell>
          <cell r="E467">
            <v>58.76</v>
          </cell>
          <cell r="F467" t="str">
            <v>调货</v>
          </cell>
          <cell r="G467" t="str">
            <v>千里马1.3L</v>
          </cell>
          <cell r="H467">
            <v>70</v>
          </cell>
          <cell r="I467">
            <v>69</v>
          </cell>
          <cell r="J467">
            <v>68</v>
          </cell>
          <cell r="K467">
            <v>67</v>
          </cell>
          <cell r="L467">
            <v>66</v>
          </cell>
          <cell r="M467">
            <v>65</v>
          </cell>
        </row>
        <row r="468">
          <cell r="A468" t="str">
            <v>DQ9003G3</v>
          </cell>
          <cell r="B468">
            <v>70</v>
          </cell>
          <cell r="C468">
            <v>27.0494299854545</v>
          </cell>
          <cell r="D468">
            <v>0</v>
          </cell>
          <cell r="E468">
            <v>27.0494299854545</v>
          </cell>
          <cell r="F468" t="str">
            <v>自制</v>
          </cell>
          <cell r="G468" t="str">
            <v>国外版日产楼兰15-19款/英菲尼迪</v>
          </cell>
          <cell r="H468">
            <v>37</v>
          </cell>
          <cell r="I468">
            <v>36</v>
          </cell>
          <cell r="J468">
            <v>34</v>
          </cell>
          <cell r="K468">
            <v>33</v>
          </cell>
          <cell r="L468">
            <v>32</v>
          </cell>
          <cell r="M468">
            <v>30</v>
          </cell>
        </row>
        <row r="469">
          <cell r="A469" t="str">
            <v>DQ6401B1</v>
          </cell>
          <cell r="B469">
            <v>70</v>
          </cell>
          <cell r="C469">
            <v>60.27</v>
          </cell>
          <cell r="D469">
            <v>0</v>
          </cell>
          <cell r="E469">
            <v>60.27</v>
          </cell>
          <cell r="F469" t="str">
            <v>调货</v>
          </cell>
          <cell r="G469" t="str">
            <v>雷诺Dacia</v>
          </cell>
          <cell r="H469">
            <v>72</v>
          </cell>
          <cell r="I469">
            <v>71</v>
          </cell>
          <cell r="J469">
            <v>70</v>
          </cell>
          <cell r="K469">
            <v>69</v>
          </cell>
          <cell r="L469">
            <v>68</v>
          </cell>
          <cell r="M469">
            <v>67</v>
          </cell>
        </row>
        <row r="470">
          <cell r="A470" t="str">
            <v>DQ9210B1</v>
          </cell>
          <cell r="B470">
            <v>69</v>
          </cell>
          <cell r="C470">
            <v>23.0392162927273</v>
          </cell>
          <cell r="D470">
            <v>0</v>
          </cell>
          <cell r="E470">
            <v>23.0392162927273</v>
          </cell>
          <cell r="F470" t="str">
            <v>自制</v>
          </cell>
          <cell r="G470" t="str">
            <v>铃木 雨燕1.3L</v>
          </cell>
          <cell r="H470">
            <v>32</v>
          </cell>
          <cell r="I470">
            <v>30</v>
          </cell>
          <cell r="J470">
            <v>29</v>
          </cell>
          <cell r="K470">
            <v>28</v>
          </cell>
          <cell r="L470">
            <v>27</v>
          </cell>
          <cell r="M470">
            <v>26</v>
          </cell>
        </row>
        <row r="471">
          <cell r="A471" t="str">
            <v>DQ9035A4</v>
          </cell>
          <cell r="B471">
            <v>68</v>
          </cell>
          <cell r="C471">
            <v>31.1188502593939</v>
          </cell>
          <cell r="D471">
            <v>0</v>
          </cell>
          <cell r="E471">
            <v>31.1188502593939</v>
          </cell>
          <cell r="F471" t="str">
            <v>自制</v>
          </cell>
          <cell r="G471" t="str">
            <v>长城H7</v>
          </cell>
          <cell r="H471">
            <v>43</v>
          </cell>
          <cell r="I471">
            <v>41</v>
          </cell>
          <cell r="J471">
            <v>39</v>
          </cell>
          <cell r="K471">
            <v>38</v>
          </cell>
          <cell r="L471">
            <v>36</v>
          </cell>
          <cell r="M471">
            <v>35</v>
          </cell>
        </row>
        <row r="472">
          <cell r="A472" t="str">
            <v>DQ9112</v>
          </cell>
          <cell r="B472">
            <v>68</v>
          </cell>
          <cell r="C472">
            <v>41.6</v>
          </cell>
          <cell r="D472">
            <v>0</v>
          </cell>
          <cell r="E472">
            <v>41.6</v>
          </cell>
          <cell r="F472" t="str">
            <v>调货</v>
          </cell>
          <cell r="G472" t="str">
            <v>金杯格瑞斯</v>
          </cell>
          <cell r="H472">
            <v>50</v>
          </cell>
          <cell r="I472">
            <v>49</v>
          </cell>
          <cell r="J472">
            <v>48</v>
          </cell>
          <cell r="K472">
            <v>48</v>
          </cell>
          <cell r="L472">
            <v>47</v>
          </cell>
          <cell r="M472">
            <v>46</v>
          </cell>
        </row>
        <row r="473">
          <cell r="A473" t="str">
            <v>DQ6108B</v>
          </cell>
          <cell r="B473">
            <v>67</v>
          </cell>
          <cell r="C473">
            <v>31.87</v>
          </cell>
          <cell r="D473">
            <v>0</v>
          </cell>
          <cell r="E473">
            <v>31.87</v>
          </cell>
          <cell r="F473" t="str">
            <v>调货</v>
          </cell>
          <cell r="G473" t="str">
            <v>丰田</v>
          </cell>
          <cell r="H473">
            <v>38</v>
          </cell>
          <cell r="I473">
            <v>38</v>
          </cell>
          <cell r="J473">
            <v>37</v>
          </cell>
          <cell r="K473">
            <v>37</v>
          </cell>
          <cell r="L473">
            <v>36</v>
          </cell>
          <cell r="M473">
            <v>36</v>
          </cell>
        </row>
        <row r="474">
          <cell r="A474" t="str">
            <v>DQ6408</v>
          </cell>
          <cell r="B474">
            <v>66</v>
          </cell>
          <cell r="C474">
            <v>142.865309244597</v>
          </cell>
          <cell r="D474">
            <v>-5.90299393722127</v>
          </cell>
          <cell r="E474">
            <v>148.768303181818</v>
          </cell>
          <cell r="F474" t="str">
            <v>自制</v>
          </cell>
          <cell r="G474" t="str">
            <v>桑塔纳3000</v>
          </cell>
          <cell r="H474">
            <v>193</v>
          </cell>
          <cell r="I474">
            <v>186</v>
          </cell>
          <cell r="J474">
            <v>179</v>
          </cell>
          <cell r="K474">
            <v>172</v>
          </cell>
          <cell r="L474">
            <v>165</v>
          </cell>
          <cell r="M474">
            <v>158</v>
          </cell>
        </row>
        <row r="475">
          <cell r="A475" t="str">
            <v>DQ9091A1</v>
          </cell>
          <cell r="B475">
            <v>66</v>
          </cell>
          <cell r="C475">
            <v>43.90491</v>
          </cell>
          <cell r="D475">
            <v>0</v>
          </cell>
          <cell r="E475">
            <v>43.90491</v>
          </cell>
          <cell r="F475" t="str">
            <v>调货</v>
          </cell>
          <cell r="G475" t="str">
            <v>红旗HS5 2.0T</v>
          </cell>
          <cell r="H475">
            <v>53</v>
          </cell>
          <cell r="I475">
            <v>52</v>
          </cell>
          <cell r="J475">
            <v>51</v>
          </cell>
          <cell r="K475">
            <v>50</v>
          </cell>
          <cell r="L475">
            <v>50</v>
          </cell>
          <cell r="M475">
            <v>49</v>
          </cell>
        </row>
        <row r="476">
          <cell r="A476" t="str">
            <v>DQ9206A4</v>
          </cell>
          <cell r="B476">
            <v>65</v>
          </cell>
          <cell r="C476">
            <v>32.3750722727273</v>
          </cell>
          <cell r="D476">
            <v>0</v>
          </cell>
          <cell r="E476">
            <v>32.3750722727273</v>
          </cell>
          <cell r="F476" t="str">
            <v>自制</v>
          </cell>
          <cell r="G476" t="str">
            <v>三菱帕杰罗3.8V6</v>
          </cell>
          <cell r="H476">
            <v>44</v>
          </cell>
          <cell r="I476">
            <v>43</v>
          </cell>
          <cell r="J476">
            <v>41</v>
          </cell>
          <cell r="K476">
            <v>39</v>
          </cell>
          <cell r="L476">
            <v>38</v>
          </cell>
          <cell r="M476">
            <v>36</v>
          </cell>
        </row>
        <row r="477">
          <cell r="A477" t="str">
            <v>DQ9005F</v>
          </cell>
          <cell r="B477">
            <v>64</v>
          </cell>
          <cell r="C477">
            <v>17.8769145454546</v>
          </cell>
          <cell r="D477">
            <v>0</v>
          </cell>
          <cell r="E477">
            <v>17.8769145454546</v>
          </cell>
          <cell r="F477" t="str">
            <v>自制</v>
          </cell>
          <cell r="G477" t="str">
            <v>福特 捷豹</v>
          </cell>
          <cell r="H477">
            <v>25</v>
          </cell>
          <cell r="I477">
            <v>24</v>
          </cell>
          <cell r="J477">
            <v>23</v>
          </cell>
          <cell r="K477">
            <v>22</v>
          </cell>
          <cell r="L477">
            <v>21</v>
          </cell>
          <cell r="M477">
            <v>20</v>
          </cell>
        </row>
        <row r="478">
          <cell r="A478" t="str">
            <v>DQ9034A7</v>
          </cell>
          <cell r="B478">
            <v>62</v>
          </cell>
          <cell r="C478">
            <v>35.385</v>
          </cell>
          <cell r="D478">
            <v>0</v>
          </cell>
          <cell r="E478">
            <v>35.385</v>
          </cell>
          <cell r="F478" t="str">
            <v>调货</v>
          </cell>
          <cell r="G478" t="str">
            <v>北汽绅宝</v>
          </cell>
          <cell r="H478">
            <v>43</v>
          </cell>
          <cell r="I478">
            <v>42</v>
          </cell>
          <cell r="J478">
            <v>41</v>
          </cell>
          <cell r="K478">
            <v>40</v>
          </cell>
          <cell r="L478">
            <v>40</v>
          </cell>
          <cell r="M478">
            <v>39</v>
          </cell>
        </row>
        <row r="479">
          <cell r="A479" t="str">
            <v>DQ9030D1</v>
          </cell>
          <cell r="B479">
            <v>62</v>
          </cell>
          <cell r="C479">
            <v>47.05491</v>
          </cell>
          <cell r="D479">
            <v>0</v>
          </cell>
          <cell r="E479">
            <v>47.05491</v>
          </cell>
          <cell r="F479" t="str">
            <v>调货</v>
          </cell>
          <cell r="G479" t="str">
            <v>福特/林肯</v>
          </cell>
          <cell r="H479">
            <v>56</v>
          </cell>
          <cell r="I479">
            <v>56</v>
          </cell>
          <cell r="J479">
            <v>55</v>
          </cell>
          <cell r="K479">
            <v>54</v>
          </cell>
          <cell r="L479">
            <v>53</v>
          </cell>
          <cell r="M479">
            <v>52</v>
          </cell>
        </row>
        <row r="480">
          <cell r="A480" t="str">
            <v>DQ9201B</v>
          </cell>
          <cell r="B480">
            <v>58</v>
          </cell>
          <cell r="C480">
            <v>22.9809347727273</v>
          </cell>
          <cell r="D480">
            <v>0</v>
          </cell>
          <cell r="E480">
            <v>22.9809347727273</v>
          </cell>
          <cell r="F480" t="str">
            <v>自制</v>
          </cell>
          <cell r="G480" t="str">
            <v>中华尊驰</v>
          </cell>
          <cell r="H480">
            <v>32</v>
          </cell>
          <cell r="I480">
            <v>30</v>
          </cell>
          <cell r="J480">
            <v>29</v>
          </cell>
          <cell r="K480">
            <v>28</v>
          </cell>
          <cell r="L480">
            <v>27</v>
          </cell>
          <cell r="M480">
            <v>26</v>
          </cell>
        </row>
        <row r="481">
          <cell r="A481" t="str">
            <v>DQ9149B1</v>
          </cell>
          <cell r="B481">
            <v>58</v>
          </cell>
          <cell r="C481">
            <v>56.6</v>
          </cell>
          <cell r="D481">
            <v>0</v>
          </cell>
          <cell r="E481">
            <v>56.6</v>
          </cell>
          <cell r="F481" t="str">
            <v>调货</v>
          </cell>
          <cell r="G481" t="str">
            <v>沃尔沃S80</v>
          </cell>
          <cell r="H481">
            <v>68</v>
          </cell>
          <cell r="I481">
            <v>67</v>
          </cell>
          <cell r="J481">
            <v>66</v>
          </cell>
          <cell r="K481">
            <v>64</v>
          </cell>
          <cell r="L481">
            <v>64</v>
          </cell>
          <cell r="M481">
            <v>63</v>
          </cell>
        </row>
        <row r="482">
          <cell r="A482" t="str">
            <v>DQ6492</v>
          </cell>
          <cell r="B482">
            <v>57</v>
          </cell>
          <cell r="C482">
            <v>46.4219075322854</v>
          </cell>
          <cell r="D482">
            <v>-3.42646245256314</v>
          </cell>
          <cell r="E482">
            <v>49.8483699848485</v>
          </cell>
          <cell r="F482" t="str">
            <v>自制</v>
          </cell>
          <cell r="G482" t="str">
            <v>奇瑞多点</v>
          </cell>
          <cell r="H482">
            <v>63</v>
          </cell>
          <cell r="I482">
            <v>61</v>
          </cell>
          <cell r="J482">
            <v>59</v>
          </cell>
          <cell r="K482">
            <v>56</v>
          </cell>
          <cell r="L482">
            <v>54</v>
          </cell>
          <cell r="M482">
            <v>52</v>
          </cell>
        </row>
        <row r="483">
          <cell r="A483" t="str">
            <v>DQ6106A</v>
          </cell>
          <cell r="B483">
            <v>56</v>
          </cell>
          <cell r="C483">
            <v>24.3361840909091</v>
          </cell>
          <cell r="D483">
            <v>0</v>
          </cell>
          <cell r="E483">
            <v>24.3361840909091</v>
          </cell>
          <cell r="F483" t="str">
            <v>自制</v>
          </cell>
          <cell r="G483" t="str">
            <v>猎豹（化油器）</v>
          </cell>
          <cell r="H483">
            <v>33</v>
          </cell>
          <cell r="I483">
            <v>32</v>
          </cell>
          <cell r="J483">
            <v>31</v>
          </cell>
          <cell r="K483">
            <v>30</v>
          </cell>
          <cell r="L483">
            <v>28</v>
          </cell>
          <cell r="M483">
            <v>27</v>
          </cell>
        </row>
        <row r="484">
          <cell r="A484" t="str">
            <v>DQ9101AR</v>
          </cell>
          <cell r="B484">
            <v>54</v>
          </cell>
          <cell r="C484">
            <v>17.7624907846917</v>
          </cell>
          <cell r="D484">
            <v>0</v>
          </cell>
          <cell r="E484">
            <v>17.7624907846917</v>
          </cell>
          <cell r="F484" t="str">
            <v>自制</v>
          </cell>
          <cell r="G484" t="str">
            <v>伊兰特 VVT 圆头</v>
          </cell>
          <cell r="H484">
            <v>24</v>
          </cell>
          <cell r="I484">
            <v>24</v>
          </cell>
          <cell r="J484">
            <v>23</v>
          </cell>
          <cell r="K484">
            <v>22</v>
          </cell>
          <cell r="L484">
            <v>21</v>
          </cell>
          <cell r="M484">
            <v>20</v>
          </cell>
        </row>
        <row r="485">
          <cell r="A485" t="str">
            <v>DQ9025B1</v>
          </cell>
          <cell r="B485">
            <v>53</v>
          </cell>
          <cell r="C485">
            <v>38.451</v>
          </cell>
          <cell r="D485">
            <v>0</v>
          </cell>
          <cell r="E485">
            <v>38.451</v>
          </cell>
          <cell r="F485" t="str">
            <v>调货</v>
          </cell>
          <cell r="G485" t="str">
            <v>奔驰S320/ML350</v>
          </cell>
          <cell r="H485">
            <v>46</v>
          </cell>
          <cell r="I485">
            <v>45</v>
          </cell>
          <cell r="J485">
            <v>45</v>
          </cell>
          <cell r="K485">
            <v>44</v>
          </cell>
          <cell r="L485">
            <v>44</v>
          </cell>
          <cell r="M485">
            <v>43</v>
          </cell>
        </row>
        <row r="486">
          <cell r="A486" t="str">
            <v>DQ6201</v>
          </cell>
          <cell r="B486">
            <v>52</v>
          </cell>
          <cell r="C486">
            <v>22.8654180909091</v>
          </cell>
          <cell r="D486">
            <v>0</v>
          </cell>
          <cell r="E486">
            <v>22.8654180909091</v>
          </cell>
          <cell r="F486" t="str">
            <v>自制</v>
          </cell>
          <cell r="G486" t="str">
            <v>金杯单点</v>
          </cell>
          <cell r="H486">
            <v>31</v>
          </cell>
          <cell r="I486">
            <v>30</v>
          </cell>
          <cell r="J486">
            <v>29</v>
          </cell>
          <cell r="K486">
            <v>28</v>
          </cell>
          <cell r="L486">
            <v>27</v>
          </cell>
          <cell r="M486">
            <v>26</v>
          </cell>
        </row>
        <row r="487">
          <cell r="A487" t="str">
            <v>DQ9034A5</v>
          </cell>
          <cell r="B487">
            <v>50</v>
          </cell>
          <cell r="C487">
            <v>35.385</v>
          </cell>
          <cell r="D487">
            <v>0</v>
          </cell>
          <cell r="E487">
            <v>35.385</v>
          </cell>
          <cell r="F487" t="str">
            <v>调货</v>
          </cell>
          <cell r="G487" t="str">
            <v>北汽绅宝</v>
          </cell>
          <cell r="H487">
            <v>43</v>
          </cell>
          <cell r="I487">
            <v>42</v>
          </cell>
          <cell r="J487">
            <v>41</v>
          </cell>
          <cell r="K487">
            <v>40</v>
          </cell>
          <cell r="L487">
            <v>40</v>
          </cell>
          <cell r="M487">
            <v>39</v>
          </cell>
        </row>
        <row r="488">
          <cell r="A488" t="str">
            <v>DQ9101L1</v>
          </cell>
          <cell r="B488">
            <v>50</v>
          </cell>
          <cell r="C488">
            <v>19.5381073568182</v>
          </cell>
          <cell r="D488">
            <v>0</v>
          </cell>
          <cell r="E488">
            <v>19.5381073568182</v>
          </cell>
          <cell r="F488" t="str">
            <v>自制</v>
          </cell>
          <cell r="G488" t="str">
            <v>起亚LPI</v>
          </cell>
          <cell r="H488">
            <v>27</v>
          </cell>
          <cell r="I488">
            <v>26</v>
          </cell>
          <cell r="J488">
            <v>25</v>
          </cell>
          <cell r="K488">
            <v>24</v>
          </cell>
          <cell r="L488">
            <v>23</v>
          </cell>
          <cell r="M488">
            <v>22</v>
          </cell>
        </row>
        <row r="489">
          <cell r="A489" t="str">
            <v>DQ9402A4</v>
          </cell>
          <cell r="B489">
            <v>49</v>
          </cell>
          <cell r="C489">
            <v>94.5525</v>
          </cell>
          <cell r="D489">
            <v>0</v>
          </cell>
          <cell r="E489">
            <v>94.5525</v>
          </cell>
          <cell r="F489" t="str">
            <v>调货</v>
          </cell>
          <cell r="G489" t="str">
            <v>标致 206 1.4L（黑插）</v>
          </cell>
          <cell r="H489">
            <v>113</v>
          </cell>
          <cell r="I489">
            <v>111</v>
          </cell>
          <cell r="J489">
            <v>109</v>
          </cell>
          <cell r="K489">
            <v>107</v>
          </cell>
          <cell r="L489">
            <v>106</v>
          </cell>
          <cell r="M489">
            <v>105</v>
          </cell>
        </row>
        <row r="490">
          <cell r="A490" t="str">
            <v>DQ9025D1</v>
          </cell>
          <cell r="B490">
            <v>49</v>
          </cell>
          <cell r="C490">
            <v>56.385</v>
          </cell>
          <cell r="D490">
            <v>0</v>
          </cell>
          <cell r="E490">
            <v>56.385</v>
          </cell>
          <cell r="F490" t="str">
            <v>调货</v>
          </cell>
          <cell r="G490" t="str">
            <v>奔驰C200K(W203) 2.0T</v>
          </cell>
          <cell r="H490">
            <v>68</v>
          </cell>
          <cell r="I490">
            <v>66</v>
          </cell>
          <cell r="J490">
            <v>65</v>
          </cell>
          <cell r="K490">
            <v>64</v>
          </cell>
          <cell r="L490">
            <v>64</v>
          </cell>
          <cell r="M490">
            <v>63</v>
          </cell>
        </row>
        <row r="491">
          <cell r="A491" t="str">
            <v>DQ9081A2</v>
          </cell>
          <cell r="B491">
            <v>46</v>
          </cell>
          <cell r="C491">
            <v>23.9833156154545</v>
          </cell>
          <cell r="D491">
            <v>0</v>
          </cell>
          <cell r="E491">
            <v>23.9833156154545</v>
          </cell>
          <cell r="F491" t="str">
            <v>自制</v>
          </cell>
          <cell r="G491" t="str">
            <v>哈弗M6</v>
          </cell>
          <cell r="H491">
            <v>33</v>
          </cell>
          <cell r="I491">
            <v>32</v>
          </cell>
          <cell r="J491">
            <v>30</v>
          </cell>
          <cell r="K491">
            <v>29</v>
          </cell>
          <cell r="L491">
            <v>28</v>
          </cell>
          <cell r="M491">
            <v>27</v>
          </cell>
        </row>
        <row r="492">
          <cell r="A492" t="str">
            <v>DQ9082A1</v>
          </cell>
          <cell r="B492">
            <v>44</v>
          </cell>
          <cell r="C492">
            <v>38.9046</v>
          </cell>
          <cell r="D492">
            <v>0</v>
          </cell>
          <cell r="E492">
            <v>38.9046</v>
          </cell>
          <cell r="F492" t="str">
            <v>调货</v>
          </cell>
          <cell r="G492" t="str">
            <v>凯马</v>
          </cell>
          <cell r="H492">
            <v>47</v>
          </cell>
          <cell r="I492">
            <v>46</v>
          </cell>
          <cell r="J492">
            <v>45</v>
          </cell>
          <cell r="K492">
            <v>44</v>
          </cell>
          <cell r="L492">
            <v>44</v>
          </cell>
          <cell r="M492">
            <v>43</v>
          </cell>
        </row>
        <row r="493">
          <cell r="A493" t="str">
            <v>DQ4120A1</v>
          </cell>
          <cell r="B493">
            <v>43</v>
          </cell>
          <cell r="C493">
            <v>49.15491</v>
          </cell>
          <cell r="D493">
            <v>0</v>
          </cell>
          <cell r="E493">
            <v>49.15491</v>
          </cell>
          <cell r="F493" t="str">
            <v>调货</v>
          </cell>
          <cell r="G493" t="str">
            <v>雷克萨斯</v>
          </cell>
          <cell r="H493">
            <v>59</v>
          </cell>
          <cell r="I493">
            <v>58</v>
          </cell>
          <cell r="J493">
            <v>57</v>
          </cell>
          <cell r="K493">
            <v>56</v>
          </cell>
          <cell r="L493">
            <v>56</v>
          </cell>
          <cell r="M493">
            <v>55</v>
          </cell>
        </row>
        <row r="494">
          <cell r="A494" t="str">
            <v>DQ9407A</v>
          </cell>
          <cell r="B494">
            <v>42</v>
          </cell>
          <cell r="C494">
            <v>143.05</v>
          </cell>
          <cell r="D494">
            <v>0</v>
          </cell>
          <cell r="E494">
            <v>143.05</v>
          </cell>
          <cell r="F494" t="str">
            <v>调货</v>
          </cell>
          <cell r="G494" t="str">
            <v>雪佛兰拉赛蒂1.8</v>
          </cell>
          <cell r="H494">
            <v>171</v>
          </cell>
          <cell r="I494">
            <v>168</v>
          </cell>
          <cell r="J494">
            <v>165</v>
          </cell>
          <cell r="K494">
            <v>162</v>
          </cell>
          <cell r="L494">
            <v>161</v>
          </cell>
          <cell r="M494">
            <v>158</v>
          </cell>
        </row>
        <row r="495">
          <cell r="A495" t="str">
            <v>DQ9155A1</v>
          </cell>
          <cell r="B495">
            <v>42</v>
          </cell>
          <cell r="C495">
            <v>48.93</v>
          </cell>
          <cell r="D495">
            <v>0</v>
          </cell>
          <cell r="E495">
            <v>48.93</v>
          </cell>
          <cell r="F495" t="str">
            <v>调货</v>
          </cell>
          <cell r="G495" t="str">
            <v>奇瑞瑞麟G6 2.0T</v>
          </cell>
          <cell r="H495">
            <v>59</v>
          </cell>
          <cell r="I495">
            <v>58</v>
          </cell>
          <cell r="J495">
            <v>57</v>
          </cell>
          <cell r="K495">
            <v>56</v>
          </cell>
          <cell r="L495">
            <v>55</v>
          </cell>
          <cell r="M495">
            <v>54</v>
          </cell>
        </row>
        <row r="496">
          <cell r="A496" t="str">
            <v>DQ9002B2</v>
          </cell>
          <cell r="B496">
            <v>42</v>
          </cell>
          <cell r="C496">
            <v>25.2648812634545</v>
          </cell>
          <cell r="D496">
            <v>0</v>
          </cell>
          <cell r="E496">
            <v>25.2648812634545</v>
          </cell>
          <cell r="F496" t="str">
            <v>自制</v>
          </cell>
          <cell r="G496" t="str">
            <v>Mazda 5 / MX5</v>
          </cell>
          <cell r="H496">
            <v>35</v>
          </cell>
          <cell r="I496">
            <v>33</v>
          </cell>
          <cell r="J496">
            <v>32</v>
          </cell>
          <cell r="K496">
            <v>31</v>
          </cell>
          <cell r="L496">
            <v>30</v>
          </cell>
          <cell r="M496">
            <v>28</v>
          </cell>
        </row>
        <row r="497">
          <cell r="A497" t="str">
            <v>DQ6109A</v>
          </cell>
          <cell r="B497">
            <v>41</v>
          </cell>
          <cell r="C497">
            <v>25.7924848636364</v>
          </cell>
          <cell r="D497">
            <v>0</v>
          </cell>
          <cell r="E497">
            <v>25.7924848636364</v>
          </cell>
          <cell r="F497" t="str">
            <v>自制</v>
          </cell>
          <cell r="G497" t="str">
            <v>乐驰0.8</v>
          </cell>
          <cell r="H497">
            <v>35</v>
          </cell>
          <cell r="I497">
            <v>34</v>
          </cell>
          <cell r="J497">
            <v>33</v>
          </cell>
          <cell r="K497">
            <v>31</v>
          </cell>
          <cell r="L497">
            <v>30</v>
          </cell>
          <cell r="M497">
            <v>29</v>
          </cell>
        </row>
        <row r="498">
          <cell r="A498" t="str">
            <v>DQ9215C</v>
          </cell>
          <cell r="B498">
            <v>40</v>
          </cell>
          <cell r="C498">
            <v>29.6114916727273</v>
          </cell>
          <cell r="D498">
            <v>0</v>
          </cell>
          <cell r="E498">
            <v>29.6114916727273</v>
          </cell>
          <cell r="F498" t="str">
            <v>自制</v>
          </cell>
          <cell r="G498" t="str">
            <v>长城哈弗 H6/H5 2.0L</v>
          </cell>
          <cell r="H498">
            <v>40</v>
          </cell>
          <cell r="I498">
            <v>39</v>
          </cell>
          <cell r="J498">
            <v>38</v>
          </cell>
          <cell r="K498">
            <v>36</v>
          </cell>
          <cell r="L498">
            <v>35</v>
          </cell>
          <cell r="M498">
            <v>33</v>
          </cell>
        </row>
        <row r="499">
          <cell r="A499" t="str">
            <v>DQ9214A</v>
          </cell>
          <cell r="B499">
            <v>40</v>
          </cell>
          <cell r="C499">
            <v>36.7</v>
          </cell>
          <cell r="D499">
            <v>0</v>
          </cell>
          <cell r="E499">
            <v>36.7</v>
          </cell>
          <cell r="F499" t="str">
            <v>调货</v>
          </cell>
          <cell r="G499" t="str">
            <v>现代</v>
          </cell>
          <cell r="H499">
            <v>44</v>
          </cell>
          <cell r="I499">
            <v>43</v>
          </cell>
          <cell r="J499">
            <v>43</v>
          </cell>
          <cell r="K499">
            <v>42</v>
          </cell>
          <cell r="L499">
            <v>42</v>
          </cell>
          <cell r="M499">
            <v>41</v>
          </cell>
        </row>
        <row r="500">
          <cell r="A500" t="str">
            <v>DQ901881</v>
          </cell>
          <cell r="B500">
            <v>40</v>
          </cell>
          <cell r="C500">
            <v>35.0396888004545</v>
          </cell>
          <cell r="D500">
            <v>0</v>
          </cell>
          <cell r="E500">
            <v>35.0396888004545</v>
          </cell>
          <cell r="F500" t="str">
            <v>自制</v>
          </cell>
          <cell r="G500" t="str">
            <v>丰田Aygo2014-2016</v>
          </cell>
          <cell r="H500">
            <v>48</v>
          </cell>
          <cell r="I500">
            <v>46</v>
          </cell>
          <cell r="J500">
            <v>44</v>
          </cell>
          <cell r="K500">
            <v>43</v>
          </cell>
          <cell r="L500">
            <v>41</v>
          </cell>
          <cell r="M500">
            <v>39</v>
          </cell>
        </row>
        <row r="501">
          <cell r="A501" t="str">
            <v>DQ9097A1</v>
          </cell>
          <cell r="B501">
            <v>40</v>
          </cell>
          <cell r="C501">
            <v>34.45491</v>
          </cell>
          <cell r="D501">
            <v>0</v>
          </cell>
          <cell r="E501">
            <v>34.45491</v>
          </cell>
          <cell r="F501" t="str">
            <v>调货</v>
          </cell>
          <cell r="G501" t="str">
            <v>奇瑞E3</v>
          </cell>
          <cell r="H501">
            <v>42</v>
          </cell>
          <cell r="I501">
            <v>41</v>
          </cell>
          <cell r="J501">
            <v>40</v>
          </cell>
          <cell r="K501">
            <v>39</v>
          </cell>
          <cell r="L501">
            <v>39</v>
          </cell>
          <cell r="M501">
            <v>38</v>
          </cell>
        </row>
        <row r="502">
          <cell r="A502" t="str">
            <v>DQ6403</v>
          </cell>
          <cell r="B502">
            <v>39</v>
          </cell>
          <cell r="C502">
            <v>107.7</v>
          </cell>
          <cell r="D502">
            <v>0</v>
          </cell>
          <cell r="E502">
            <v>107.7</v>
          </cell>
          <cell r="F502" t="str">
            <v>调货</v>
          </cell>
          <cell r="G502" t="str">
            <v>斯巴鲁</v>
          </cell>
          <cell r="H502">
            <v>129</v>
          </cell>
          <cell r="I502">
            <v>127</v>
          </cell>
          <cell r="J502">
            <v>124</v>
          </cell>
          <cell r="K502">
            <v>122</v>
          </cell>
          <cell r="L502">
            <v>121</v>
          </cell>
          <cell r="M502">
            <v>119</v>
          </cell>
        </row>
        <row r="503">
          <cell r="A503" t="str">
            <v>DQ9078A1</v>
          </cell>
          <cell r="B503">
            <v>39</v>
          </cell>
          <cell r="C503">
            <v>46.83</v>
          </cell>
          <cell r="D503">
            <v>0</v>
          </cell>
          <cell r="E503">
            <v>46.83</v>
          </cell>
          <cell r="F503" t="str">
            <v>调货</v>
          </cell>
          <cell r="G503" t="str">
            <v>海马8S 1.6T</v>
          </cell>
          <cell r="H503">
            <v>56</v>
          </cell>
          <cell r="I503">
            <v>55</v>
          </cell>
          <cell r="J503">
            <v>54</v>
          </cell>
          <cell r="K503">
            <v>53</v>
          </cell>
          <cell r="L503">
            <v>53</v>
          </cell>
          <cell r="M503">
            <v>52</v>
          </cell>
        </row>
        <row r="504">
          <cell r="A504" t="str">
            <v>DQ9209C</v>
          </cell>
          <cell r="B504">
            <v>35</v>
          </cell>
          <cell r="C504">
            <v>23.7466541227273</v>
          </cell>
          <cell r="D504">
            <v>0</v>
          </cell>
          <cell r="E504">
            <v>23.7466541227273</v>
          </cell>
          <cell r="F504" t="str">
            <v>自制</v>
          </cell>
          <cell r="G504" t="str">
            <v>比亚迪483</v>
          </cell>
          <cell r="H504">
            <v>33</v>
          </cell>
          <cell r="I504">
            <v>31</v>
          </cell>
          <cell r="J504">
            <v>30</v>
          </cell>
          <cell r="K504">
            <v>29</v>
          </cell>
          <cell r="L504">
            <v>28</v>
          </cell>
          <cell r="M504">
            <v>27</v>
          </cell>
        </row>
        <row r="505">
          <cell r="A505" t="str">
            <v>DQ9008B1</v>
          </cell>
          <cell r="B505">
            <v>35</v>
          </cell>
          <cell r="C505">
            <v>42.42</v>
          </cell>
          <cell r="D505">
            <v>0</v>
          </cell>
          <cell r="E505">
            <v>42.42</v>
          </cell>
          <cell r="F505" t="str">
            <v>调货</v>
          </cell>
          <cell r="G505" t="str">
            <v>三菱蓝瑟08-12  2.0L</v>
          </cell>
          <cell r="H505">
            <v>51</v>
          </cell>
          <cell r="I505">
            <v>50</v>
          </cell>
          <cell r="J505">
            <v>49</v>
          </cell>
          <cell r="K505">
            <v>48</v>
          </cell>
          <cell r="L505">
            <v>48</v>
          </cell>
          <cell r="M505">
            <v>47</v>
          </cell>
        </row>
        <row r="506">
          <cell r="A506" t="str">
            <v>DQ9406B1</v>
          </cell>
          <cell r="B506">
            <v>34</v>
          </cell>
          <cell r="C506">
            <v>115.05</v>
          </cell>
          <cell r="D506">
            <v>0</v>
          </cell>
          <cell r="E506">
            <v>115.05</v>
          </cell>
          <cell r="F506" t="str">
            <v>调货</v>
          </cell>
          <cell r="G506" t="str">
            <v>欧宝10458316</v>
          </cell>
          <cell r="H506">
            <v>137</v>
          </cell>
          <cell r="I506">
            <v>135</v>
          </cell>
          <cell r="J506">
            <v>133</v>
          </cell>
          <cell r="K506">
            <v>131</v>
          </cell>
          <cell r="L506">
            <v>129</v>
          </cell>
          <cell r="M506">
            <v>127</v>
          </cell>
        </row>
        <row r="507">
          <cell r="A507" t="str">
            <v>DQ6203</v>
          </cell>
          <cell r="B507">
            <v>34</v>
          </cell>
          <cell r="C507">
            <v>97.3</v>
          </cell>
          <cell r="D507">
            <v>0</v>
          </cell>
          <cell r="E507">
            <v>97.3</v>
          </cell>
          <cell r="F507" t="str">
            <v>调货</v>
          </cell>
          <cell r="G507" t="str">
            <v>特拉卡途胜2.7</v>
          </cell>
          <cell r="H507">
            <v>116</v>
          </cell>
          <cell r="I507">
            <v>114</v>
          </cell>
          <cell r="J507">
            <v>112</v>
          </cell>
          <cell r="K507">
            <v>110</v>
          </cell>
          <cell r="L507">
            <v>109</v>
          </cell>
          <cell r="M507">
            <v>108</v>
          </cell>
        </row>
        <row r="508">
          <cell r="A508" t="str">
            <v>DQ6110</v>
          </cell>
          <cell r="B508">
            <v>33</v>
          </cell>
          <cell r="C508">
            <v>43.4003111969697</v>
          </cell>
          <cell r="D508">
            <v>0</v>
          </cell>
          <cell r="E508">
            <v>43.4003111969697</v>
          </cell>
          <cell r="F508" t="str">
            <v>自制</v>
          </cell>
          <cell r="G508" t="str">
            <v>红旗世纪星</v>
          </cell>
          <cell r="H508">
            <v>59</v>
          </cell>
          <cell r="I508">
            <v>57</v>
          </cell>
          <cell r="J508">
            <v>55</v>
          </cell>
          <cell r="K508">
            <v>53</v>
          </cell>
          <cell r="L508">
            <v>50</v>
          </cell>
          <cell r="M508">
            <v>48</v>
          </cell>
        </row>
        <row r="509">
          <cell r="A509" t="str">
            <v>DQ9405</v>
          </cell>
          <cell r="B509">
            <v>30</v>
          </cell>
          <cell r="C509">
            <v>125.05</v>
          </cell>
          <cell r="D509">
            <v>0</v>
          </cell>
          <cell r="E509">
            <v>125.05</v>
          </cell>
          <cell r="F509" t="str">
            <v>调货</v>
          </cell>
          <cell r="G509" t="str">
            <v>欧宝</v>
          </cell>
          <cell r="H509">
            <v>149</v>
          </cell>
          <cell r="I509">
            <v>147</v>
          </cell>
          <cell r="J509">
            <v>144</v>
          </cell>
          <cell r="K509">
            <v>142</v>
          </cell>
          <cell r="L509">
            <v>141</v>
          </cell>
          <cell r="M509">
            <v>138</v>
          </cell>
        </row>
        <row r="510">
          <cell r="A510" t="str">
            <v>DQ4108A1</v>
          </cell>
          <cell r="B510">
            <v>30</v>
          </cell>
          <cell r="C510">
            <v>44.436</v>
          </cell>
          <cell r="D510">
            <v>0</v>
          </cell>
          <cell r="E510">
            <v>44.436</v>
          </cell>
          <cell r="F510" t="str">
            <v>调货</v>
          </cell>
          <cell r="G510" t="str">
            <v>雪佛兰罗德</v>
          </cell>
          <cell r="H510">
            <v>53</v>
          </cell>
          <cell r="I510">
            <v>52</v>
          </cell>
          <cell r="J510">
            <v>52</v>
          </cell>
          <cell r="K510">
            <v>51</v>
          </cell>
          <cell r="L510">
            <v>50</v>
          </cell>
          <cell r="M510">
            <v>49</v>
          </cell>
        </row>
        <row r="511">
          <cell r="A511" t="str">
            <v>DQ4110A1</v>
          </cell>
          <cell r="B511">
            <v>30</v>
          </cell>
          <cell r="C511">
            <v>44.436</v>
          </cell>
          <cell r="D511">
            <v>0</v>
          </cell>
          <cell r="E511">
            <v>44.436</v>
          </cell>
          <cell r="F511" t="str">
            <v>调货</v>
          </cell>
          <cell r="G511" t="str">
            <v>雪佛兰英帕拉</v>
          </cell>
          <cell r="H511">
            <v>53</v>
          </cell>
          <cell r="I511">
            <v>52</v>
          </cell>
          <cell r="J511">
            <v>52</v>
          </cell>
          <cell r="K511">
            <v>51</v>
          </cell>
          <cell r="L511">
            <v>50</v>
          </cell>
          <cell r="M511">
            <v>49</v>
          </cell>
        </row>
        <row r="512">
          <cell r="A512" t="str">
            <v>DQ9017B1</v>
          </cell>
          <cell r="B512">
            <v>28</v>
          </cell>
          <cell r="C512">
            <v>32.4808232803325</v>
          </cell>
          <cell r="D512">
            <v>0.468436164211279</v>
          </cell>
          <cell r="E512">
            <v>32.0123871161212</v>
          </cell>
          <cell r="F512" t="str">
            <v>自制</v>
          </cell>
          <cell r="G512" t="str">
            <v>沃尔沃 S80 (长杆)</v>
          </cell>
          <cell r="H512">
            <v>44</v>
          </cell>
          <cell r="I512">
            <v>43</v>
          </cell>
          <cell r="J512">
            <v>41</v>
          </cell>
          <cell r="K512">
            <v>39</v>
          </cell>
          <cell r="L512">
            <v>38</v>
          </cell>
          <cell r="M512">
            <v>36</v>
          </cell>
        </row>
        <row r="513">
          <cell r="A513" t="str">
            <v>DQ4102B1</v>
          </cell>
          <cell r="B513">
            <v>26</v>
          </cell>
          <cell r="C513">
            <v>31.101</v>
          </cell>
          <cell r="D513">
            <v>0</v>
          </cell>
          <cell r="E513">
            <v>31.101</v>
          </cell>
          <cell r="F513" t="str">
            <v>调货</v>
          </cell>
          <cell r="G513" t="str">
            <v>日产帕拉丁</v>
          </cell>
          <cell r="H513">
            <v>38</v>
          </cell>
          <cell r="I513">
            <v>37</v>
          </cell>
          <cell r="J513">
            <v>36</v>
          </cell>
          <cell r="K513">
            <v>36</v>
          </cell>
          <cell r="L513">
            <v>35</v>
          </cell>
          <cell r="M513">
            <v>35</v>
          </cell>
        </row>
        <row r="514">
          <cell r="A514" t="str">
            <v>DQ9139A1</v>
          </cell>
          <cell r="B514">
            <v>25</v>
          </cell>
          <cell r="C514">
            <v>30.8701695358182</v>
          </cell>
          <cell r="D514">
            <v>0</v>
          </cell>
          <cell r="E514">
            <v>30.8701695358182</v>
          </cell>
          <cell r="F514" t="str">
            <v>自制</v>
          </cell>
          <cell r="G514" t="str">
            <v>丰田大发HijetAtrai2010</v>
          </cell>
          <cell r="H514">
            <v>42</v>
          </cell>
          <cell r="I514">
            <v>41</v>
          </cell>
          <cell r="J514">
            <v>39</v>
          </cell>
          <cell r="K514">
            <v>38</v>
          </cell>
          <cell r="L514">
            <v>36</v>
          </cell>
          <cell r="M514">
            <v>34</v>
          </cell>
        </row>
        <row r="515">
          <cell r="A515" t="str">
            <v>DQ134A</v>
          </cell>
          <cell r="B515">
            <v>24</v>
          </cell>
          <cell r="C515">
            <v>47.21</v>
          </cell>
          <cell r="D515">
            <v>0</v>
          </cell>
          <cell r="E515">
            <v>47.21</v>
          </cell>
          <cell r="F515" t="str">
            <v>调货</v>
          </cell>
          <cell r="G515" t="str">
            <v>05款大插口蒙迪欧</v>
          </cell>
          <cell r="H515">
            <v>57</v>
          </cell>
          <cell r="I515">
            <v>56</v>
          </cell>
          <cell r="J515">
            <v>55</v>
          </cell>
          <cell r="K515">
            <v>54</v>
          </cell>
          <cell r="L515">
            <v>53</v>
          </cell>
          <cell r="M515">
            <v>52</v>
          </cell>
        </row>
        <row r="516">
          <cell r="A516" t="str">
            <v>DQ132A</v>
          </cell>
          <cell r="B516">
            <v>22</v>
          </cell>
          <cell r="C516">
            <v>24.93</v>
          </cell>
          <cell r="D516">
            <v>0</v>
          </cell>
          <cell r="E516">
            <v>24.93</v>
          </cell>
          <cell r="F516" t="str">
            <v>调货</v>
          </cell>
          <cell r="G516" t="str">
            <v>奇瑞QQ1.1</v>
          </cell>
          <cell r="H516">
            <v>30</v>
          </cell>
          <cell r="I516">
            <v>30</v>
          </cell>
          <cell r="J516">
            <v>29</v>
          </cell>
          <cell r="K516">
            <v>29</v>
          </cell>
          <cell r="L516">
            <v>28</v>
          </cell>
          <cell r="M516">
            <v>28</v>
          </cell>
        </row>
        <row r="517">
          <cell r="A517" t="str">
            <v>DQ6205</v>
          </cell>
          <cell r="B517">
            <v>21</v>
          </cell>
          <cell r="C517">
            <v>138.809496477273</v>
          </cell>
          <cell r="D517">
            <v>0</v>
          </cell>
          <cell r="E517">
            <v>138.809496477273</v>
          </cell>
          <cell r="F517" t="str">
            <v>自制</v>
          </cell>
          <cell r="G517" t="str">
            <v>帕萨特2.8</v>
          </cell>
          <cell r="H517">
            <v>188</v>
          </cell>
          <cell r="I517">
            <v>181</v>
          </cell>
          <cell r="J517">
            <v>174</v>
          </cell>
          <cell r="K517">
            <v>167</v>
          </cell>
          <cell r="L517">
            <v>160</v>
          </cell>
          <cell r="M517">
            <v>153</v>
          </cell>
        </row>
        <row r="518">
          <cell r="A518" t="str">
            <v>DQ9017D1</v>
          </cell>
          <cell r="B518">
            <v>21</v>
          </cell>
          <cell r="C518">
            <v>39.6</v>
          </cell>
          <cell r="D518">
            <v>0</v>
          </cell>
          <cell r="E518">
            <v>39.6</v>
          </cell>
          <cell r="F518" t="str">
            <v>调货</v>
          </cell>
          <cell r="G518" t="str">
            <v>沃尔沃</v>
          </cell>
          <cell r="H518">
            <v>48</v>
          </cell>
          <cell r="I518">
            <v>47</v>
          </cell>
          <cell r="J518">
            <v>46</v>
          </cell>
          <cell r="K518">
            <v>45</v>
          </cell>
          <cell r="L518">
            <v>45</v>
          </cell>
          <cell r="M518">
            <v>44</v>
          </cell>
        </row>
        <row r="519">
          <cell r="A519" t="str">
            <v>DQ4401A1</v>
          </cell>
          <cell r="B519">
            <v>20</v>
          </cell>
          <cell r="C519">
            <v>69.0165</v>
          </cell>
          <cell r="D519">
            <v>0</v>
          </cell>
          <cell r="E519">
            <v>69.0165</v>
          </cell>
          <cell r="F519" t="str">
            <v>调货</v>
          </cell>
          <cell r="G519" t="str">
            <v>ATOS  1.0L</v>
          </cell>
          <cell r="H519">
            <v>83</v>
          </cell>
          <cell r="I519">
            <v>81</v>
          </cell>
          <cell r="J519">
            <v>80</v>
          </cell>
          <cell r="K519">
            <v>78</v>
          </cell>
          <cell r="L519">
            <v>78</v>
          </cell>
          <cell r="M519">
            <v>76</v>
          </cell>
        </row>
        <row r="520">
          <cell r="A520" t="str">
            <v>DQ4401B1</v>
          </cell>
          <cell r="B520">
            <v>20</v>
          </cell>
          <cell r="C520">
            <v>69.0165</v>
          </cell>
          <cell r="D520">
            <v>0</v>
          </cell>
          <cell r="E520">
            <v>69.0165</v>
          </cell>
          <cell r="F520" t="str">
            <v>调货</v>
          </cell>
          <cell r="G520" t="str">
            <v>AT0SL41.0L</v>
          </cell>
          <cell r="H520">
            <v>83</v>
          </cell>
          <cell r="I520">
            <v>81</v>
          </cell>
          <cell r="J520">
            <v>80</v>
          </cell>
          <cell r="K520">
            <v>78</v>
          </cell>
          <cell r="L520">
            <v>78</v>
          </cell>
          <cell r="M520">
            <v>76</v>
          </cell>
        </row>
        <row r="521">
          <cell r="A521" t="str">
            <v>DQ4119A1</v>
          </cell>
          <cell r="B521">
            <v>20</v>
          </cell>
          <cell r="C521">
            <v>33.40491</v>
          </cell>
          <cell r="D521">
            <v>0</v>
          </cell>
          <cell r="E521">
            <v>33.40491</v>
          </cell>
          <cell r="F521" t="str">
            <v>调货</v>
          </cell>
          <cell r="G521" t="str">
            <v>马自达MX-3</v>
          </cell>
          <cell r="H521">
            <v>40</v>
          </cell>
          <cell r="I521">
            <v>40</v>
          </cell>
          <cell r="J521">
            <v>39</v>
          </cell>
          <cell r="K521">
            <v>38</v>
          </cell>
          <cell r="L521">
            <v>38</v>
          </cell>
          <cell r="M521">
            <v>37</v>
          </cell>
        </row>
        <row r="522">
          <cell r="A522" t="str">
            <v>DQ4101A1</v>
          </cell>
          <cell r="B522">
            <v>19</v>
          </cell>
          <cell r="C522">
            <v>44.0265</v>
          </cell>
          <cell r="D522">
            <v>0</v>
          </cell>
          <cell r="E522">
            <v>44.0265</v>
          </cell>
          <cell r="F522" t="str">
            <v>调货</v>
          </cell>
          <cell r="G522" t="str">
            <v>奔驰MB100</v>
          </cell>
          <cell r="H522">
            <v>53</v>
          </cell>
          <cell r="I522">
            <v>52</v>
          </cell>
          <cell r="J522">
            <v>51</v>
          </cell>
          <cell r="K522">
            <v>50</v>
          </cell>
          <cell r="L522">
            <v>50</v>
          </cell>
          <cell r="M522">
            <v>49</v>
          </cell>
        </row>
        <row r="523">
          <cell r="A523" t="str">
            <v>DQ9206A3</v>
          </cell>
          <cell r="B523">
            <v>19</v>
          </cell>
          <cell r="C523">
            <v>31.5414922727273</v>
          </cell>
          <cell r="D523">
            <v>0</v>
          </cell>
          <cell r="E523">
            <v>31.5414922727273</v>
          </cell>
          <cell r="F523" t="str">
            <v>自制</v>
          </cell>
          <cell r="G523" t="str">
            <v>中华大空</v>
          </cell>
          <cell r="H523">
            <v>43</v>
          </cell>
          <cell r="I523">
            <v>42</v>
          </cell>
          <cell r="J523">
            <v>40</v>
          </cell>
          <cell r="K523">
            <v>38</v>
          </cell>
          <cell r="L523">
            <v>37</v>
          </cell>
          <cell r="M523">
            <v>35</v>
          </cell>
        </row>
        <row r="524">
          <cell r="A524" t="str">
            <v>DQ9011A1</v>
          </cell>
          <cell r="B524">
            <v>18</v>
          </cell>
          <cell r="C524">
            <v>44.835</v>
          </cell>
          <cell r="D524">
            <v>0</v>
          </cell>
          <cell r="E524">
            <v>44.835</v>
          </cell>
          <cell r="F524" t="str">
            <v>调货</v>
          </cell>
          <cell r="G524" t="str">
            <v>丰田特锐</v>
          </cell>
          <cell r="H524">
            <v>54</v>
          </cell>
          <cell r="I524">
            <v>53</v>
          </cell>
          <cell r="J524">
            <v>52</v>
          </cell>
          <cell r="K524">
            <v>51</v>
          </cell>
          <cell r="L524">
            <v>51</v>
          </cell>
          <cell r="M524">
            <v>50</v>
          </cell>
        </row>
        <row r="525">
          <cell r="A525" t="str">
            <v>DQ9023A</v>
          </cell>
          <cell r="B525">
            <v>17</v>
          </cell>
          <cell r="C525">
            <v>29.8347118387879</v>
          </cell>
          <cell r="D525">
            <v>0</v>
          </cell>
          <cell r="E525">
            <v>29.8347118387879</v>
          </cell>
          <cell r="F525" t="str">
            <v>自制</v>
          </cell>
          <cell r="G525" t="str">
            <v>新桑塔纳</v>
          </cell>
          <cell r="H525">
            <v>41</v>
          </cell>
          <cell r="I525">
            <v>39</v>
          </cell>
          <cell r="J525">
            <v>38</v>
          </cell>
          <cell r="K525">
            <v>36</v>
          </cell>
          <cell r="L525">
            <v>35</v>
          </cell>
          <cell r="M525">
            <v>33</v>
          </cell>
        </row>
        <row r="526">
          <cell r="A526" t="str">
            <v>DQ9101T</v>
          </cell>
          <cell r="B526">
            <v>17</v>
          </cell>
          <cell r="C526">
            <v>21.2664968149948</v>
          </cell>
          <cell r="D526">
            <v>0</v>
          </cell>
          <cell r="E526">
            <v>21.2664968149948</v>
          </cell>
          <cell r="F526" t="str">
            <v>自制</v>
          </cell>
          <cell r="G526" t="str">
            <v>27301-37410</v>
          </cell>
          <cell r="H526">
            <v>29</v>
          </cell>
          <cell r="I526">
            <v>28</v>
          </cell>
          <cell r="J526">
            <v>27</v>
          </cell>
          <cell r="K526">
            <v>26</v>
          </cell>
          <cell r="L526">
            <v>25</v>
          </cell>
          <cell r="M526">
            <v>24</v>
          </cell>
        </row>
        <row r="527">
          <cell r="A527" t="str">
            <v>DQ6106</v>
          </cell>
          <cell r="B527">
            <v>16</v>
          </cell>
          <cell r="C527">
            <v>35.9087065909091</v>
          </cell>
          <cell r="D527">
            <v>0</v>
          </cell>
          <cell r="E527">
            <v>35.9087065909091</v>
          </cell>
          <cell r="F527" t="str">
            <v>自制</v>
          </cell>
          <cell r="G527" t="str">
            <v>三菱猎豹V31</v>
          </cell>
          <cell r="H527">
            <v>49</v>
          </cell>
          <cell r="I527">
            <v>47</v>
          </cell>
          <cell r="J527">
            <v>45</v>
          </cell>
          <cell r="K527">
            <v>44</v>
          </cell>
          <cell r="L527">
            <v>42</v>
          </cell>
          <cell r="M527">
            <v>40</v>
          </cell>
        </row>
        <row r="528">
          <cell r="A528" t="str">
            <v>DQ9002E1</v>
          </cell>
          <cell r="B528">
            <v>16</v>
          </cell>
          <cell r="C528">
            <v>39.62</v>
          </cell>
          <cell r="D528">
            <v>0</v>
          </cell>
          <cell r="E528">
            <v>39.62</v>
          </cell>
          <cell r="F528" t="str">
            <v>调货</v>
          </cell>
          <cell r="G528" t="str">
            <v>马自达</v>
          </cell>
          <cell r="H528">
            <v>48</v>
          </cell>
          <cell r="I528">
            <v>47</v>
          </cell>
          <cell r="J528">
            <v>46</v>
          </cell>
          <cell r="K528">
            <v>45</v>
          </cell>
          <cell r="L528">
            <v>45</v>
          </cell>
          <cell r="M528">
            <v>44</v>
          </cell>
        </row>
        <row r="529">
          <cell r="A529" t="str">
            <v>DQ9214</v>
          </cell>
          <cell r="B529">
            <v>16</v>
          </cell>
          <cell r="C529">
            <v>36.7</v>
          </cell>
          <cell r="D529">
            <v>0</v>
          </cell>
          <cell r="E529">
            <v>36.7</v>
          </cell>
          <cell r="F529" t="str">
            <v>调货</v>
          </cell>
          <cell r="G529" t="str">
            <v>现代蓝杆</v>
          </cell>
          <cell r="H529">
            <v>44</v>
          </cell>
          <cell r="I529">
            <v>43</v>
          </cell>
          <cell r="J529">
            <v>43</v>
          </cell>
          <cell r="K529">
            <v>42</v>
          </cell>
          <cell r="L529">
            <v>42</v>
          </cell>
          <cell r="M529">
            <v>41</v>
          </cell>
        </row>
        <row r="530">
          <cell r="A530" t="str">
            <v>DQ9136A1</v>
          </cell>
          <cell r="B530">
            <v>16</v>
          </cell>
          <cell r="C530">
            <v>41.58</v>
          </cell>
          <cell r="D530">
            <v>0</v>
          </cell>
          <cell r="E530">
            <v>41.58</v>
          </cell>
          <cell r="F530" t="str">
            <v>调货</v>
          </cell>
          <cell r="G530" t="str">
            <v>新SM5 LPG</v>
          </cell>
          <cell r="H530">
            <v>50</v>
          </cell>
          <cell r="I530">
            <v>49</v>
          </cell>
          <cell r="J530">
            <v>48</v>
          </cell>
          <cell r="K530">
            <v>47</v>
          </cell>
          <cell r="L530">
            <v>47</v>
          </cell>
          <cell r="M530">
            <v>46</v>
          </cell>
        </row>
        <row r="531">
          <cell r="A531" t="str">
            <v>DQ4109A1</v>
          </cell>
          <cell r="B531">
            <v>16</v>
          </cell>
          <cell r="C531">
            <v>50.295</v>
          </cell>
          <cell r="D531">
            <v>0</v>
          </cell>
          <cell r="E531">
            <v>50.295</v>
          </cell>
          <cell r="F531" t="str">
            <v>调货</v>
          </cell>
          <cell r="G531" t="str">
            <v>雪佛兰</v>
          </cell>
          <cell r="H531">
            <v>60</v>
          </cell>
          <cell r="I531">
            <v>59</v>
          </cell>
          <cell r="J531">
            <v>58</v>
          </cell>
          <cell r="K531">
            <v>57</v>
          </cell>
          <cell r="L531">
            <v>57</v>
          </cell>
          <cell r="M531">
            <v>56</v>
          </cell>
        </row>
        <row r="532">
          <cell r="A532" t="str">
            <v>DQ133B</v>
          </cell>
          <cell r="B532">
            <v>15</v>
          </cell>
          <cell r="C532">
            <v>41.039027770696</v>
          </cell>
          <cell r="D532">
            <v>-1.37100604748578</v>
          </cell>
          <cell r="E532">
            <v>42.4100338181818</v>
          </cell>
          <cell r="F532" t="str">
            <v>自制</v>
          </cell>
          <cell r="G532" t="str">
            <v>菲亚特1.3L</v>
          </cell>
          <cell r="H532">
            <v>56</v>
          </cell>
          <cell r="I532">
            <v>54</v>
          </cell>
          <cell r="J532">
            <v>52</v>
          </cell>
          <cell r="K532">
            <v>50</v>
          </cell>
          <cell r="L532">
            <v>48</v>
          </cell>
          <cell r="M532">
            <v>46</v>
          </cell>
        </row>
        <row r="533">
          <cell r="A533" t="str">
            <v>DQ9005C</v>
          </cell>
          <cell r="B533">
            <v>12</v>
          </cell>
          <cell r="C533">
            <v>14.8697428508182</v>
          </cell>
          <cell r="D533">
            <v>0</v>
          </cell>
          <cell r="E533">
            <v>14.8697428508182</v>
          </cell>
          <cell r="F533" t="str">
            <v>自制</v>
          </cell>
          <cell r="G533" t="str">
            <v>捷豹</v>
          </cell>
          <cell r="H533">
            <v>21</v>
          </cell>
          <cell r="I533">
            <v>20</v>
          </cell>
          <cell r="J533">
            <v>19</v>
          </cell>
          <cell r="K533">
            <v>18</v>
          </cell>
          <cell r="L533">
            <v>18</v>
          </cell>
          <cell r="M533">
            <v>17</v>
          </cell>
        </row>
        <row r="534">
          <cell r="A534" t="str">
            <v>DQ9014</v>
          </cell>
          <cell r="B534">
            <v>12</v>
          </cell>
          <cell r="C534">
            <v>46.6</v>
          </cell>
          <cell r="D534">
            <v>0</v>
          </cell>
          <cell r="E534">
            <v>46.6</v>
          </cell>
          <cell r="F534" t="str">
            <v>调货</v>
          </cell>
          <cell r="G534" t="str">
            <v>奥迪200</v>
          </cell>
          <cell r="H534">
            <v>56</v>
          </cell>
          <cell r="I534">
            <v>55</v>
          </cell>
          <cell r="J534">
            <v>54</v>
          </cell>
          <cell r="K534">
            <v>53</v>
          </cell>
          <cell r="L534">
            <v>53</v>
          </cell>
          <cell r="M534">
            <v>52</v>
          </cell>
        </row>
        <row r="535">
          <cell r="A535" t="str">
            <v>DQ9029A2</v>
          </cell>
          <cell r="B535">
            <v>10</v>
          </cell>
          <cell r="C535">
            <v>39.99775</v>
          </cell>
          <cell r="D535">
            <v>0.297749999999998</v>
          </cell>
          <cell r="E535">
            <v>39.7</v>
          </cell>
          <cell r="F535" t="str">
            <v>调货</v>
          </cell>
          <cell r="G535" t="str">
            <v>宝马E36/E46</v>
          </cell>
          <cell r="H535">
            <v>48</v>
          </cell>
          <cell r="I535">
            <v>47</v>
          </cell>
          <cell r="J535">
            <v>46</v>
          </cell>
          <cell r="K535">
            <v>46</v>
          </cell>
          <cell r="L535">
            <v>45</v>
          </cell>
          <cell r="M535">
            <v>44</v>
          </cell>
        </row>
        <row r="536">
          <cell r="A536" t="str">
            <v>DQ133</v>
          </cell>
          <cell r="B536">
            <v>10</v>
          </cell>
          <cell r="C536">
            <v>55.6202418181818</v>
          </cell>
          <cell r="D536">
            <v>0</v>
          </cell>
          <cell r="E536">
            <v>55.6202418181818</v>
          </cell>
          <cell r="F536" t="str">
            <v>自制</v>
          </cell>
          <cell r="G536" t="str">
            <v>五菱之光摩托罗拉</v>
          </cell>
          <cell r="H536">
            <v>76</v>
          </cell>
          <cell r="I536">
            <v>73</v>
          </cell>
          <cell r="J536">
            <v>70</v>
          </cell>
          <cell r="K536">
            <v>67</v>
          </cell>
          <cell r="L536">
            <v>64</v>
          </cell>
          <cell r="M536">
            <v>62</v>
          </cell>
        </row>
        <row r="537">
          <cell r="A537" t="str">
            <v>DQ9024</v>
          </cell>
          <cell r="B537">
            <v>10</v>
          </cell>
          <cell r="C537">
            <v>61.7</v>
          </cell>
          <cell r="D537">
            <v>0</v>
          </cell>
          <cell r="E537">
            <v>61.7</v>
          </cell>
          <cell r="F537" t="str">
            <v>调货</v>
          </cell>
          <cell r="G537" t="str">
            <v>竞技  骑兵</v>
          </cell>
          <cell r="H537">
            <v>74</v>
          </cell>
          <cell r="I537">
            <v>73</v>
          </cell>
          <cell r="J537">
            <v>71</v>
          </cell>
          <cell r="K537">
            <v>70</v>
          </cell>
          <cell r="L537">
            <v>70</v>
          </cell>
          <cell r="M537">
            <v>68</v>
          </cell>
        </row>
        <row r="538">
          <cell r="A538" t="str">
            <v>DQ4301A1</v>
          </cell>
          <cell r="B538">
            <v>10</v>
          </cell>
          <cell r="C538">
            <v>70.665</v>
          </cell>
          <cell r="D538">
            <v>0</v>
          </cell>
          <cell r="E538">
            <v>70.665</v>
          </cell>
          <cell r="F538" t="str">
            <v>调货</v>
          </cell>
          <cell r="G538" t="str">
            <v>斯帕克0.8L</v>
          </cell>
          <cell r="H538">
            <v>85</v>
          </cell>
          <cell r="I538">
            <v>83</v>
          </cell>
          <cell r="J538">
            <v>82</v>
          </cell>
          <cell r="K538">
            <v>80</v>
          </cell>
          <cell r="L538">
            <v>80</v>
          </cell>
          <cell r="M538">
            <v>78</v>
          </cell>
        </row>
        <row r="539">
          <cell r="A539" t="str">
            <v>DQ6401</v>
          </cell>
          <cell r="B539">
            <v>10</v>
          </cell>
          <cell r="C539">
            <v>83.433</v>
          </cell>
          <cell r="D539">
            <v>0</v>
          </cell>
          <cell r="E539">
            <v>83.433</v>
          </cell>
          <cell r="F539" t="str">
            <v>调货</v>
          </cell>
          <cell r="G539" t="str">
            <v>雷诺（三孔）</v>
          </cell>
          <cell r="H539">
            <v>100</v>
          </cell>
          <cell r="I539">
            <v>98</v>
          </cell>
          <cell r="J539">
            <v>96</v>
          </cell>
          <cell r="K539">
            <v>95</v>
          </cell>
          <cell r="L539">
            <v>94</v>
          </cell>
          <cell r="M539">
            <v>92</v>
          </cell>
        </row>
        <row r="540">
          <cell r="A540" t="str">
            <v>DQ9103K1</v>
          </cell>
          <cell r="B540">
            <v>10</v>
          </cell>
          <cell r="C540">
            <v>53.4135</v>
          </cell>
          <cell r="D540">
            <v>0</v>
          </cell>
          <cell r="E540">
            <v>53.4135</v>
          </cell>
          <cell r="F540" t="str">
            <v>调货</v>
          </cell>
          <cell r="G540" t="str">
            <v>大众福克斯</v>
          </cell>
          <cell r="H540">
            <v>64</v>
          </cell>
          <cell r="I540">
            <v>63</v>
          </cell>
          <cell r="J540">
            <v>62</v>
          </cell>
          <cell r="K540">
            <v>61</v>
          </cell>
          <cell r="L540">
            <v>60</v>
          </cell>
          <cell r="M540">
            <v>59</v>
          </cell>
        </row>
        <row r="541">
          <cell r="A541" t="str">
            <v>DQ9088A1</v>
          </cell>
          <cell r="B541">
            <v>10</v>
          </cell>
          <cell r="C541">
            <v>38.65491</v>
          </cell>
          <cell r="D541">
            <v>0</v>
          </cell>
          <cell r="E541">
            <v>38.65491</v>
          </cell>
          <cell r="F541" t="str">
            <v>调货</v>
          </cell>
          <cell r="G541" t="str">
            <v>雷诺二针</v>
          </cell>
          <cell r="H541">
            <v>46</v>
          </cell>
          <cell r="I541">
            <v>46</v>
          </cell>
          <cell r="J541">
            <v>45</v>
          </cell>
          <cell r="K541">
            <v>44</v>
          </cell>
          <cell r="L541">
            <v>44</v>
          </cell>
          <cell r="M541">
            <v>43</v>
          </cell>
        </row>
        <row r="542">
          <cell r="A542" t="str">
            <v>DQ9209A2</v>
          </cell>
          <cell r="B542">
            <v>9</v>
          </cell>
          <cell r="C542">
            <v>23.4316141227273</v>
          </cell>
          <cell r="D542">
            <v>0</v>
          </cell>
          <cell r="E542">
            <v>23.4316141227273</v>
          </cell>
          <cell r="F542" t="str">
            <v>自制</v>
          </cell>
          <cell r="G542" t="str">
            <v>哈飞民意6370/6391/M100</v>
          </cell>
          <cell r="H542">
            <v>32</v>
          </cell>
          <cell r="I542">
            <v>31</v>
          </cell>
          <cell r="J542">
            <v>30</v>
          </cell>
          <cell r="K542">
            <v>29</v>
          </cell>
          <cell r="L542">
            <v>27</v>
          </cell>
          <cell r="M542">
            <v>26</v>
          </cell>
        </row>
        <row r="543">
          <cell r="A543" t="str">
            <v>DQ4608A1</v>
          </cell>
          <cell r="B543">
            <v>8</v>
          </cell>
          <cell r="C543">
            <v>106.7</v>
          </cell>
          <cell r="D543">
            <v>0</v>
          </cell>
          <cell r="E543">
            <v>106.7</v>
          </cell>
          <cell r="F543" t="str">
            <v>调货</v>
          </cell>
          <cell r="G543" t="str">
            <v>圣达菲2.7L</v>
          </cell>
          <cell r="H543">
            <v>127</v>
          </cell>
          <cell r="I543">
            <v>125</v>
          </cell>
          <cell r="J543">
            <v>123</v>
          </cell>
          <cell r="K543">
            <v>121</v>
          </cell>
          <cell r="L543">
            <v>120</v>
          </cell>
          <cell r="M543">
            <v>118</v>
          </cell>
        </row>
        <row r="544">
          <cell r="A544" t="str">
            <v>DQ9025A2</v>
          </cell>
          <cell r="B544">
            <v>8</v>
          </cell>
          <cell r="C544">
            <v>34.3898422622553</v>
          </cell>
          <cell r="D544">
            <v>1.81671057319466</v>
          </cell>
          <cell r="E544">
            <v>32.5731316890606</v>
          </cell>
          <cell r="F544" t="str">
            <v>自制</v>
          </cell>
          <cell r="G544" t="str">
            <v>奔驰AMG Coupe</v>
          </cell>
          <cell r="H544">
            <v>47</v>
          </cell>
          <cell r="I544">
            <v>45</v>
          </cell>
          <cell r="J544">
            <v>43</v>
          </cell>
          <cell r="K544">
            <v>42</v>
          </cell>
          <cell r="L544">
            <v>40</v>
          </cell>
          <cell r="M544">
            <v>38</v>
          </cell>
        </row>
        <row r="545">
          <cell r="A545" t="str">
            <v>DQ9001B1</v>
          </cell>
          <cell r="B545">
            <v>8</v>
          </cell>
          <cell r="C545">
            <v>23.484799275</v>
          </cell>
          <cell r="D545">
            <v>0</v>
          </cell>
          <cell r="E545">
            <v>23.484799275</v>
          </cell>
          <cell r="F545" t="str">
            <v>自制</v>
          </cell>
          <cell r="G545" t="str">
            <v>拉达格兰塔</v>
          </cell>
          <cell r="H545">
            <v>32</v>
          </cell>
          <cell r="I545">
            <v>31</v>
          </cell>
          <cell r="J545">
            <v>30</v>
          </cell>
          <cell r="K545">
            <v>29</v>
          </cell>
          <cell r="L545">
            <v>28</v>
          </cell>
          <cell r="M545">
            <v>26</v>
          </cell>
        </row>
        <row r="546">
          <cell r="A546" t="str">
            <v>DQ9086A1</v>
          </cell>
          <cell r="B546">
            <v>8</v>
          </cell>
          <cell r="C546">
            <v>35.50491</v>
          </cell>
          <cell r="D546">
            <v>0</v>
          </cell>
          <cell r="E546">
            <v>35.50491</v>
          </cell>
          <cell r="F546" t="str">
            <v>调货</v>
          </cell>
          <cell r="G546" t="str">
            <v>金杯 蒂阿兹</v>
          </cell>
          <cell r="H546">
            <v>43</v>
          </cell>
          <cell r="I546">
            <v>42</v>
          </cell>
          <cell r="J546">
            <v>41</v>
          </cell>
          <cell r="K546">
            <v>41</v>
          </cell>
          <cell r="L546">
            <v>40</v>
          </cell>
          <cell r="M546">
            <v>40</v>
          </cell>
        </row>
        <row r="547">
          <cell r="A547" t="str">
            <v>DQ126</v>
          </cell>
          <cell r="B547">
            <v>7</v>
          </cell>
          <cell r="C547">
            <v>23.7876085909091</v>
          </cell>
          <cell r="D547">
            <v>0</v>
          </cell>
          <cell r="E547">
            <v>23.7876085909091</v>
          </cell>
          <cell r="F547" t="str">
            <v>自制</v>
          </cell>
          <cell r="G547" t="str">
            <v>北京切诺基</v>
          </cell>
          <cell r="H547">
            <v>33</v>
          </cell>
          <cell r="I547">
            <v>31</v>
          </cell>
          <cell r="J547">
            <v>30</v>
          </cell>
          <cell r="K547">
            <v>29</v>
          </cell>
          <cell r="L547">
            <v>28</v>
          </cell>
          <cell r="M547">
            <v>27</v>
          </cell>
        </row>
        <row r="548">
          <cell r="A548" t="str">
            <v>DQ9402B1</v>
          </cell>
          <cell r="B548">
            <v>7</v>
          </cell>
          <cell r="C548">
            <v>136.5525</v>
          </cell>
          <cell r="D548">
            <v>0</v>
          </cell>
          <cell r="E548">
            <v>136.5525</v>
          </cell>
          <cell r="F548" t="str">
            <v>调货</v>
          </cell>
          <cell r="G548" t="str">
            <v>标致</v>
          </cell>
          <cell r="H548">
            <v>163</v>
          </cell>
          <cell r="I548">
            <v>160</v>
          </cell>
          <cell r="J548">
            <v>158</v>
          </cell>
          <cell r="K548">
            <v>155</v>
          </cell>
          <cell r="L548">
            <v>153</v>
          </cell>
          <cell r="M548">
            <v>151</v>
          </cell>
        </row>
        <row r="549">
          <cell r="A549" t="str">
            <v>DQ9033B1</v>
          </cell>
          <cell r="B549">
            <v>6</v>
          </cell>
          <cell r="C549">
            <v>29.9925791768939</v>
          </cell>
          <cell r="D549">
            <v>0</v>
          </cell>
          <cell r="E549">
            <v>29.9925791768939</v>
          </cell>
          <cell r="F549" t="str">
            <v>自制</v>
          </cell>
          <cell r="G549" t="str">
            <v>宝腾 艾索拉</v>
          </cell>
          <cell r="H549">
            <v>41</v>
          </cell>
          <cell r="I549">
            <v>39</v>
          </cell>
          <cell r="J549">
            <v>38</v>
          </cell>
          <cell r="K549">
            <v>36</v>
          </cell>
          <cell r="L549">
            <v>35</v>
          </cell>
          <cell r="M549">
            <v>33</v>
          </cell>
        </row>
        <row r="550">
          <cell r="A550" t="str">
            <v>DQ4402A1</v>
          </cell>
          <cell r="B550">
            <v>6</v>
          </cell>
          <cell r="C550">
            <v>66.7065</v>
          </cell>
          <cell r="D550">
            <v>0</v>
          </cell>
          <cell r="E550">
            <v>66.7065</v>
          </cell>
          <cell r="F550" t="str">
            <v>调货</v>
          </cell>
          <cell r="G550" t="str">
            <v>起亚EIO L4</v>
          </cell>
          <cell r="H550">
            <v>80</v>
          </cell>
          <cell r="I550">
            <v>79</v>
          </cell>
          <cell r="J550">
            <v>77</v>
          </cell>
          <cell r="K550">
            <v>76</v>
          </cell>
          <cell r="L550">
            <v>75</v>
          </cell>
          <cell r="M550">
            <v>74</v>
          </cell>
        </row>
        <row r="551">
          <cell r="A551" t="str">
            <v>DQ9104</v>
          </cell>
          <cell r="B551">
            <v>5</v>
          </cell>
          <cell r="C551">
            <v>22.8567656060606</v>
          </cell>
          <cell r="D551">
            <v>0</v>
          </cell>
          <cell r="E551">
            <v>22.8567656060606</v>
          </cell>
          <cell r="F551" t="str">
            <v>自制</v>
          </cell>
          <cell r="G551" t="str">
            <v>日系雷诺</v>
          </cell>
          <cell r="H551">
            <v>31</v>
          </cell>
          <cell r="I551">
            <v>30</v>
          </cell>
          <cell r="J551">
            <v>29</v>
          </cell>
          <cell r="K551">
            <v>28</v>
          </cell>
          <cell r="L551">
            <v>27</v>
          </cell>
          <cell r="M551">
            <v>26</v>
          </cell>
        </row>
        <row r="552">
          <cell r="A552" t="str">
            <v>DQ9003H4</v>
          </cell>
          <cell r="B552">
            <v>4</v>
          </cell>
          <cell r="C552">
            <v>27.3076109854545</v>
          </cell>
          <cell r="D552">
            <v>0</v>
          </cell>
          <cell r="E552">
            <v>27.3076109854545</v>
          </cell>
          <cell r="F552" t="str">
            <v>自制</v>
          </cell>
          <cell r="G552" t="str">
            <v>尼桑GTR3.8 V6</v>
          </cell>
          <cell r="H552">
            <v>37</v>
          </cell>
          <cell r="I552">
            <v>36</v>
          </cell>
          <cell r="J552">
            <v>35</v>
          </cell>
          <cell r="K552">
            <v>33</v>
          </cell>
          <cell r="L552">
            <v>32</v>
          </cell>
          <cell r="M552">
            <v>31</v>
          </cell>
        </row>
        <row r="553">
          <cell r="A553" t="str">
            <v>DQ9030B1</v>
          </cell>
          <cell r="B553">
            <v>4</v>
          </cell>
          <cell r="C553">
            <v>52.30491</v>
          </cell>
          <cell r="D553">
            <v>0</v>
          </cell>
          <cell r="E553">
            <v>52.30491</v>
          </cell>
          <cell r="F553" t="str">
            <v>调货</v>
          </cell>
          <cell r="G553" t="str">
            <v>福特蒙迪欧致胜2.0T</v>
          </cell>
          <cell r="H553">
            <v>63</v>
          </cell>
          <cell r="I553">
            <v>62</v>
          </cell>
          <cell r="J553">
            <v>61</v>
          </cell>
          <cell r="K553">
            <v>60</v>
          </cell>
          <cell r="L553">
            <v>59</v>
          </cell>
          <cell r="M553">
            <v>58</v>
          </cell>
        </row>
        <row r="554">
          <cell r="A554" t="str">
            <v>DQ9204B</v>
          </cell>
          <cell r="B554">
            <v>2</v>
          </cell>
          <cell r="C554">
            <v>43.785</v>
          </cell>
          <cell r="D554">
            <v>0</v>
          </cell>
          <cell r="E554">
            <v>43.785</v>
          </cell>
          <cell r="F554" t="str">
            <v>调货</v>
          </cell>
          <cell r="G554" t="str">
            <v>起亚欧菲莱斯3.5</v>
          </cell>
          <cell r="H554">
            <v>53</v>
          </cell>
          <cell r="I554">
            <v>52</v>
          </cell>
          <cell r="J554">
            <v>51</v>
          </cell>
          <cell r="K554">
            <v>50</v>
          </cell>
          <cell r="L554">
            <v>50</v>
          </cell>
          <cell r="M554">
            <v>49</v>
          </cell>
        </row>
        <row r="555">
          <cell r="A555" t="str">
            <v>DQ4201B1</v>
          </cell>
          <cell r="B555">
            <v>1</v>
          </cell>
          <cell r="C555">
            <v>57.93</v>
          </cell>
          <cell r="D555">
            <v>0</v>
          </cell>
          <cell r="E555">
            <v>57.93</v>
          </cell>
          <cell r="F555" t="str">
            <v>调货</v>
          </cell>
          <cell r="G555" t="str">
            <v>奔驰S320</v>
          </cell>
          <cell r="H555">
            <v>69</v>
          </cell>
          <cell r="I555">
            <v>68</v>
          </cell>
          <cell r="J555">
            <v>67</v>
          </cell>
          <cell r="K555">
            <v>66</v>
          </cell>
          <cell r="L555">
            <v>65</v>
          </cell>
          <cell r="M555">
            <v>64</v>
          </cell>
        </row>
        <row r="556">
          <cell r="A556" t="str">
            <v>DQ9005Q</v>
          </cell>
          <cell r="B556">
            <v>0</v>
          </cell>
          <cell r="C556">
            <v>16.5943345654545</v>
          </cell>
          <cell r="D556">
            <v>0</v>
          </cell>
          <cell r="E556">
            <v>16.5943345654545</v>
          </cell>
          <cell r="F556" t="str">
            <v>自制</v>
          </cell>
          <cell r="G556" t="str">
            <v>福特神探</v>
          </cell>
          <cell r="H556">
            <v>23</v>
          </cell>
          <cell r="I556">
            <v>22</v>
          </cell>
          <cell r="J556">
            <v>21</v>
          </cell>
          <cell r="K556">
            <v>20</v>
          </cell>
          <cell r="L556">
            <v>20</v>
          </cell>
          <cell r="M556">
            <v>19</v>
          </cell>
        </row>
        <row r="557">
          <cell r="A557" t="str">
            <v>DQ9132A1</v>
          </cell>
          <cell r="B557">
            <v>0</v>
          </cell>
          <cell r="C557">
            <v>31.1847618727273</v>
          </cell>
          <cell r="D557">
            <v>0</v>
          </cell>
          <cell r="E557">
            <v>31.1847618727273</v>
          </cell>
          <cell r="F557" t="str">
            <v>自制</v>
          </cell>
          <cell r="G557" t="str">
            <v>进口森雅</v>
          </cell>
          <cell r="H557">
            <v>43</v>
          </cell>
          <cell r="I557">
            <v>41</v>
          </cell>
          <cell r="J557">
            <v>39</v>
          </cell>
          <cell r="K557">
            <v>38</v>
          </cell>
          <cell r="L557">
            <v>36</v>
          </cell>
          <cell r="M557">
            <v>35</v>
          </cell>
        </row>
        <row r="558">
          <cell r="A558" t="str">
            <v>DQ9217C</v>
          </cell>
          <cell r="B558">
            <v>0</v>
          </cell>
          <cell r="C558">
            <v>52.185</v>
          </cell>
          <cell r="D558">
            <v>0</v>
          </cell>
          <cell r="E558">
            <v>52.185</v>
          </cell>
          <cell r="F558" t="str">
            <v>调货</v>
          </cell>
          <cell r="G558" t="str">
            <v>马自达Protege 1.6L</v>
          </cell>
          <cell r="H558">
            <v>63</v>
          </cell>
          <cell r="I558">
            <v>62</v>
          </cell>
          <cell r="J558">
            <v>61</v>
          </cell>
          <cell r="K558">
            <v>59</v>
          </cell>
          <cell r="L558">
            <v>59</v>
          </cell>
          <cell r="M558">
            <v>58</v>
          </cell>
        </row>
        <row r="559">
          <cell r="A559" t="str">
            <v>DQ4102A1</v>
          </cell>
          <cell r="B559">
            <v>0</v>
          </cell>
          <cell r="C559">
            <v>31.101</v>
          </cell>
          <cell r="D559">
            <v>0</v>
          </cell>
          <cell r="E559">
            <v>31.101</v>
          </cell>
          <cell r="F559" t="str">
            <v>调货</v>
          </cell>
          <cell r="G559" t="str">
            <v>本田思域</v>
          </cell>
          <cell r="H559">
            <v>38</v>
          </cell>
          <cell r="I559">
            <v>37</v>
          </cell>
          <cell r="J559">
            <v>36</v>
          </cell>
          <cell r="K559">
            <v>36</v>
          </cell>
          <cell r="L559">
            <v>35</v>
          </cell>
          <cell r="M559">
            <v>35</v>
          </cell>
        </row>
        <row r="560">
          <cell r="A560" t="str">
            <v>DQ6108C</v>
          </cell>
          <cell r="B560">
            <v>0</v>
          </cell>
          <cell r="C560">
            <v>38.87</v>
          </cell>
          <cell r="D560">
            <v>0</v>
          </cell>
          <cell r="E560">
            <v>38.87</v>
          </cell>
          <cell r="F560" t="str">
            <v>调货</v>
          </cell>
          <cell r="G560" t="str">
            <v>丰田</v>
          </cell>
          <cell r="H560">
            <v>47</v>
          </cell>
          <cell r="I560">
            <v>46</v>
          </cell>
          <cell r="J560">
            <v>45</v>
          </cell>
          <cell r="K560">
            <v>44</v>
          </cell>
          <cell r="L560">
            <v>44</v>
          </cell>
          <cell r="M560">
            <v>43</v>
          </cell>
        </row>
        <row r="561">
          <cell r="A561" t="str">
            <v>DQ9005M1</v>
          </cell>
          <cell r="B561">
            <v>0</v>
          </cell>
          <cell r="C561">
            <v>23.7256818181818</v>
          </cell>
          <cell r="D561">
            <v>0</v>
          </cell>
          <cell r="E561">
            <v>23.7256818181818</v>
          </cell>
          <cell r="F561" t="str">
            <v>调货</v>
          </cell>
          <cell r="G561" t="str">
            <v>福特96-99</v>
          </cell>
          <cell r="H561">
            <v>29</v>
          </cell>
          <cell r="I561">
            <v>28</v>
          </cell>
          <cell r="J561">
            <v>28</v>
          </cell>
          <cell r="K561">
            <v>27</v>
          </cell>
          <cell r="L561">
            <v>27</v>
          </cell>
          <cell r="M561">
            <v>27</v>
          </cell>
        </row>
        <row r="562">
          <cell r="A562" t="str">
            <v>DQ9007J1</v>
          </cell>
          <cell r="B562">
            <v>0</v>
          </cell>
          <cell r="C562">
            <v>32.3873860154545</v>
          </cell>
          <cell r="D562">
            <v>0</v>
          </cell>
          <cell r="E562">
            <v>32.3873860154545</v>
          </cell>
          <cell r="F562" t="str">
            <v>自制</v>
          </cell>
          <cell r="G562" t="str">
            <v>现代3L030</v>
          </cell>
          <cell r="H562">
            <v>44</v>
          </cell>
          <cell r="I562">
            <v>43</v>
          </cell>
          <cell r="J562">
            <v>41</v>
          </cell>
          <cell r="K562">
            <v>39</v>
          </cell>
          <cell r="L562">
            <v>38</v>
          </cell>
          <cell r="M562">
            <v>36</v>
          </cell>
        </row>
        <row r="563">
          <cell r="A563" t="str">
            <v>DQ9034A3</v>
          </cell>
          <cell r="B563">
            <v>0</v>
          </cell>
          <cell r="C563">
            <v>25.5983353727273</v>
          </cell>
          <cell r="D563">
            <v>0</v>
          </cell>
          <cell r="E563">
            <v>25.5983353727273</v>
          </cell>
          <cell r="F563" t="str">
            <v>自制</v>
          </cell>
          <cell r="G563" t="str">
            <v>纳智捷TT26S</v>
          </cell>
          <cell r="H563">
            <v>35</v>
          </cell>
          <cell r="I563">
            <v>34</v>
          </cell>
          <cell r="J563">
            <v>32</v>
          </cell>
          <cell r="K563">
            <v>31</v>
          </cell>
          <cell r="L563">
            <v>30</v>
          </cell>
          <cell r="M563">
            <v>29</v>
          </cell>
        </row>
        <row r="564">
          <cell r="A564" t="str">
            <v>DQ9062A4</v>
          </cell>
          <cell r="B564">
            <v>0</v>
          </cell>
          <cell r="C564">
            <v>41.58</v>
          </cell>
          <cell r="D564">
            <v>0</v>
          </cell>
          <cell r="E564">
            <v>41.58</v>
          </cell>
          <cell r="F564" t="str">
            <v>调货</v>
          </cell>
          <cell r="G564" t="str">
            <v>瑞迈2.0T</v>
          </cell>
          <cell r="H564">
            <v>50</v>
          </cell>
          <cell r="I564">
            <v>49</v>
          </cell>
          <cell r="J564">
            <v>48</v>
          </cell>
          <cell r="K564">
            <v>47</v>
          </cell>
          <cell r="L564">
            <v>47</v>
          </cell>
          <cell r="M564">
            <v>46</v>
          </cell>
        </row>
        <row r="565">
          <cell r="A565" t="str">
            <v>DQ9111</v>
          </cell>
          <cell r="B565">
            <v>0</v>
          </cell>
          <cell r="C565">
            <v>30.03</v>
          </cell>
          <cell r="D565">
            <v>0</v>
          </cell>
          <cell r="E565">
            <v>30.03</v>
          </cell>
          <cell r="F565" t="str">
            <v>调货</v>
          </cell>
          <cell r="G565" t="str">
            <v>拉达笔式</v>
          </cell>
          <cell r="H565">
            <v>36</v>
          </cell>
          <cell r="I565">
            <v>36</v>
          </cell>
          <cell r="J565">
            <v>35</v>
          </cell>
          <cell r="K565">
            <v>34</v>
          </cell>
          <cell r="L565">
            <v>34</v>
          </cell>
          <cell r="M565">
            <v>34</v>
          </cell>
        </row>
        <row r="566">
          <cell r="A566" t="str">
            <v>DQ9128B1</v>
          </cell>
          <cell r="B566">
            <v>0</v>
          </cell>
          <cell r="C566">
            <v>54.6</v>
          </cell>
          <cell r="D566">
            <v>0</v>
          </cell>
          <cell r="E566">
            <v>54.6</v>
          </cell>
          <cell r="F566" t="str">
            <v>调货</v>
          </cell>
          <cell r="G566" t="str">
            <v>别克卢赛恩</v>
          </cell>
          <cell r="H566">
            <v>65</v>
          </cell>
          <cell r="I566">
            <v>64</v>
          </cell>
          <cell r="J566">
            <v>63</v>
          </cell>
          <cell r="K566">
            <v>62</v>
          </cell>
          <cell r="L566">
            <v>62</v>
          </cell>
          <cell r="M566">
            <v>61</v>
          </cell>
        </row>
        <row r="567">
          <cell r="A567" t="str">
            <v>DQ9201D</v>
          </cell>
          <cell r="B567">
            <v>0</v>
          </cell>
          <cell r="C567">
            <v>30.7</v>
          </cell>
          <cell r="D567">
            <v>0</v>
          </cell>
          <cell r="E567">
            <v>30.7</v>
          </cell>
          <cell r="F567" t="str">
            <v>调货</v>
          </cell>
          <cell r="G567" t="str">
            <v>长安奔奔</v>
          </cell>
          <cell r="H567">
            <v>37</v>
          </cell>
          <cell r="I567">
            <v>36</v>
          </cell>
          <cell r="J567">
            <v>36</v>
          </cell>
          <cell r="K567">
            <v>35</v>
          </cell>
          <cell r="L567">
            <v>35</v>
          </cell>
          <cell r="M567">
            <v>34</v>
          </cell>
        </row>
        <row r="568">
          <cell r="A568" t="str">
            <v>DQ9109J1</v>
          </cell>
          <cell r="B568">
            <v>0</v>
          </cell>
          <cell r="C568">
            <v>43.68</v>
          </cell>
          <cell r="D568">
            <v>0</v>
          </cell>
          <cell r="E568">
            <v>43.68</v>
          </cell>
          <cell r="F568" t="str">
            <v>调货</v>
          </cell>
          <cell r="G568" t="str">
            <v>本田 LIFE 2009</v>
          </cell>
          <cell r="H568">
            <v>52</v>
          </cell>
          <cell r="I568">
            <v>52</v>
          </cell>
          <cell r="J568">
            <v>51</v>
          </cell>
          <cell r="K568">
            <v>50</v>
          </cell>
          <cell r="L568">
            <v>49</v>
          </cell>
          <cell r="M568">
            <v>49</v>
          </cell>
        </row>
        <row r="569">
          <cell r="A569" t="str">
            <v>DQ9005S1</v>
          </cell>
          <cell r="B569">
            <v>0</v>
          </cell>
          <cell r="C569">
            <v>24.8362574854545</v>
          </cell>
          <cell r="D569">
            <v>0</v>
          </cell>
          <cell r="E569">
            <v>24.8362574854545</v>
          </cell>
          <cell r="F569" t="str">
            <v>自制</v>
          </cell>
          <cell r="G569" t="str">
            <v>福特嘉年华</v>
          </cell>
          <cell r="H569">
            <v>34</v>
          </cell>
          <cell r="I569">
            <v>33</v>
          </cell>
          <cell r="J569">
            <v>32</v>
          </cell>
          <cell r="K569">
            <v>30</v>
          </cell>
          <cell r="L569">
            <v>29</v>
          </cell>
          <cell r="M569">
            <v>28</v>
          </cell>
        </row>
        <row r="570">
          <cell r="A570" t="str">
            <v>DQ4103A1</v>
          </cell>
          <cell r="B570">
            <v>0</v>
          </cell>
          <cell r="C570">
            <v>49.245</v>
          </cell>
          <cell r="D570">
            <v>0</v>
          </cell>
          <cell r="E570">
            <v>49.245</v>
          </cell>
          <cell r="F570" t="str">
            <v>调货</v>
          </cell>
          <cell r="G570" t="str">
            <v>三菱96-03</v>
          </cell>
          <cell r="H570">
            <v>59</v>
          </cell>
          <cell r="I570">
            <v>58</v>
          </cell>
          <cell r="J570">
            <v>57</v>
          </cell>
          <cell r="K570">
            <v>56</v>
          </cell>
          <cell r="L570">
            <v>56</v>
          </cell>
          <cell r="M570">
            <v>55</v>
          </cell>
        </row>
        <row r="571">
          <cell r="A571" t="str">
            <v>DQ6601A1</v>
          </cell>
          <cell r="B571">
            <v>0</v>
          </cell>
          <cell r="C571">
            <v>165.165</v>
          </cell>
          <cell r="D571">
            <v>0</v>
          </cell>
          <cell r="E571">
            <v>165.165</v>
          </cell>
          <cell r="F571" t="str">
            <v>调货</v>
          </cell>
          <cell r="G571" t="str">
            <v>大切诺基4.0L</v>
          </cell>
          <cell r="H571">
            <v>197</v>
          </cell>
          <cell r="I571">
            <v>194</v>
          </cell>
          <cell r="J571">
            <v>190</v>
          </cell>
          <cell r="K571">
            <v>187</v>
          </cell>
          <cell r="L571">
            <v>185</v>
          </cell>
          <cell r="M571">
            <v>182</v>
          </cell>
        </row>
        <row r="572">
          <cell r="A572" t="str">
            <v>DQ9117E1</v>
          </cell>
          <cell r="B572">
            <v>0</v>
          </cell>
          <cell r="C572">
            <v>39.291</v>
          </cell>
          <cell r="D572">
            <v>0</v>
          </cell>
          <cell r="E572">
            <v>39.291</v>
          </cell>
          <cell r="F572" t="str">
            <v>调货</v>
          </cell>
          <cell r="G572" t="str">
            <v>铃木</v>
          </cell>
          <cell r="H572">
            <v>47</v>
          </cell>
          <cell r="I572">
            <v>46</v>
          </cell>
          <cell r="J572">
            <v>46</v>
          </cell>
          <cell r="K572">
            <v>45</v>
          </cell>
          <cell r="L572">
            <v>45</v>
          </cell>
          <cell r="M572">
            <v>44</v>
          </cell>
        </row>
        <row r="573">
          <cell r="A573" t="str">
            <v>DQ9159A1</v>
          </cell>
          <cell r="B573">
            <v>0</v>
          </cell>
          <cell r="C573">
            <v>38.43</v>
          </cell>
          <cell r="D573">
            <v>0</v>
          </cell>
          <cell r="E573">
            <v>38.43</v>
          </cell>
          <cell r="F573" t="str">
            <v>调货</v>
          </cell>
          <cell r="G573" t="str">
            <v>三星SM5</v>
          </cell>
          <cell r="H573">
            <v>46</v>
          </cell>
          <cell r="I573">
            <v>45</v>
          </cell>
          <cell r="J573">
            <v>45</v>
          </cell>
          <cell r="K573">
            <v>44</v>
          </cell>
          <cell r="L573">
            <v>44</v>
          </cell>
          <cell r="M573">
            <v>43</v>
          </cell>
        </row>
        <row r="574">
          <cell r="A574" t="str">
            <v>DQ4103B1</v>
          </cell>
          <cell r="B574">
            <v>0</v>
          </cell>
          <cell r="C574">
            <v>38.9046</v>
          </cell>
          <cell r="D574">
            <v>0</v>
          </cell>
          <cell r="E574">
            <v>38.9046</v>
          </cell>
          <cell r="F574" t="str">
            <v>调货</v>
          </cell>
          <cell r="G574" t="str">
            <v>尼桑B13</v>
          </cell>
          <cell r="H574">
            <v>47</v>
          </cell>
          <cell r="I574">
            <v>46</v>
          </cell>
          <cell r="J574">
            <v>45</v>
          </cell>
          <cell r="K574">
            <v>44</v>
          </cell>
          <cell r="L574">
            <v>44</v>
          </cell>
          <cell r="M574">
            <v>43</v>
          </cell>
        </row>
        <row r="575">
          <cell r="A575" t="str">
            <v>DQ4104A1</v>
          </cell>
          <cell r="B575">
            <v>0</v>
          </cell>
          <cell r="C575">
            <v>39.9546</v>
          </cell>
          <cell r="D575">
            <v>0</v>
          </cell>
          <cell r="E575">
            <v>39.9546</v>
          </cell>
          <cell r="F575" t="str">
            <v>调货</v>
          </cell>
          <cell r="G575" t="str">
            <v>本田EF2</v>
          </cell>
          <cell r="H575">
            <v>48</v>
          </cell>
          <cell r="I575">
            <v>47</v>
          </cell>
          <cell r="J575">
            <v>46</v>
          </cell>
          <cell r="K575">
            <v>46</v>
          </cell>
          <cell r="L575">
            <v>45</v>
          </cell>
          <cell r="M575">
            <v>44</v>
          </cell>
        </row>
        <row r="576">
          <cell r="A576" t="str">
            <v>DQ4106A1</v>
          </cell>
          <cell r="B576">
            <v>0</v>
          </cell>
          <cell r="C576">
            <v>33.118485275</v>
          </cell>
          <cell r="D576">
            <v>0</v>
          </cell>
          <cell r="E576">
            <v>33.118485275</v>
          </cell>
          <cell r="F576" t="str">
            <v>自制</v>
          </cell>
          <cell r="G576">
            <v>12713668</v>
          </cell>
          <cell r="H576">
            <v>45</v>
          </cell>
          <cell r="I576">
            <v>44</v>
          </cell>
          <cell r="J576">
            <v>42</v>
          </cell>
          <cell r="K576">
            <v>40</v>
          </cell>
          <cell r="L576">
            <v>39</v>
          </cell>
          <cell r="M576">
            <v>37</v>
          </cell>
        </row>
        <row r="577">
          <cell r="A577" t="str">
            <v>DQ9084A1</v>
          </cell>
          <cell r="B577">
            <v>0</v>
          </cell>
          <cell r="C577">
            <v>35.3763193283368</v>
          </cell>
          <cell r="D577">
            <v>1.71877178288228</v>
          </cell>
          <cell r="E577">
            <v>33.6575475454545</v>
          </cell>
          <cell r="F577" t="str">
            <v>自制</v>
          </cell>
          <cell r="G577" t="str">
            <v>比亚迪秦PLUS</v>
          </cell>
          <cell r="H577">
            <v>48</v>
          </cell>
          <cell r="I577">
            <v>46</v>
          </cell>
          <cell r="J577">
            <v>45</v>
          </cell>
          <cell r="K577">
            <v>43</v>
          </cell>
          <cell r="L577">
            <v>41</v>
          </cell>
          <cell r="M577">
            <v>39</v>
          </cell>
        </row>
      </sheetData>
      <sheetData sheetId="5">
        <row r="1">
          <cell r="A1" t="str">
            <v>对外型号</v>
          </cell>
          <cell r="B1" t="str">
            <v>2025年销量</v>
          </cell>
          <cell r="C1" t="str">
            <v>定价用本60315</v>
          </cell>
          <cell r="D1" t="str">
            <v>增加</v>
          </cell>
          <cell r="E1" t="str">
            <v>中含本60301</v>
          </cell>
          <cell r="F1" t="str">
            <v>新属性</v>
          </cell>
          <cell r="G1" t="str">
            <v>通用名</v>
          </cell>
          <cell r="H1" t="str">
            <v>NP中含60315</v>
          </cell>
          <cell r="I1" t="str">
            <v>LP中含60315</v>
          </cell>
          <cell r="J1" t="str">
            <v>SLP中含60315</v>
          </cell>
          <cell r="K1" t="str">
            <v>2S中含60315</v>
          </cell>
          <cell r="L1" t="str">
            <v>3S中含60315</v>
          </cell>
          <cell r="M1" t="str">
            <v>4S中含60315</v>
          </cell>
        </row>
        <row r="2">
          <cell r="A2" t="str">
            <v>DQ910852</v>
          </cell>
          <cell r="B2">
            <v>102127</v>
          </cell>
          <cell r="C2">
            <v>26.9251778</v>
          </cell>
          <cell r="D2">
            <v>0</v>
          </cell>
          <cell r="E2">
            <v>26.9251778</v>
          </cell>
          <cell r="F2" t="str">
            <v>自制</v>
          </cell>
          <cell r="G2" t="str">
            <v>丰田卡罗拉</v>
          </cell>
          <cell r="H2">
            <v>37</v>
          </cell>
          <cell r="I2">
            <v>36</v>
          </cell>
          <cell r="J2">
            <v>34</v>
          </cell>
          <cell r="K2">
            <v>33</v>
          </cell>
          <cell r="L2">
            <v>31</v>
          </cell>
          <cell r="M2">
            <v>30</v>
          </cell>
        </row>
        <row r="3">
          <cell r="A3" t="str">
            <v>DQ9101B1</v>
          </cell>
          <cell r="B3">
            <v>68787</v>
          </cell>
          <cell r="C3">
            <v>16.7785508330585</v>
          </cell>
          <cell r="D3">
            <v>-0.956367666941542</v>
          </cell>
          <cell r="E3">
            <v>17.7349185</v>
          </cell>
          <cell r="F3" t="str">
            <v>自制</v>
          </cell>
          <cell r="G3" t="str">
            <v>伽玛发动机</v>
          </cell>
          <cell r="H3">
            <v>23</v>
          </cell>
          <cell r="I3">
            <v>22</v>
          </cell>
          <cell r="J3">
            <v>21</v>
          </cell>
          <cell r="K3">
            <v>21</v>
          </cell>
          <cell r="L3">
            <v>20</v>
          </cell>
          <cell r="M3">
            <v>19</v>
          </cell>
        </row>
        <row r="4">
          <cell r="A4" t="str">
            <v>DQ910848</v>
          </cell>
          <cell r="B4">
            <v>59649</v>
          </cell>
          <cell r="C4">
            <v>25.78248532</v>
          </cell>
          <cell r="D4">
            <v>0</v>
          </cell>
          <cell r="E4">
            <v>25.78248532</v>
          </cell>
          <cell r="F4" t="str">
            <v>自制</v>
          </cell>
          <cell r="G4" t="str">
            <v>丰田02248</v>
          </cell>
          <cell r="H4">
            <v>35</v>
          </cell>
          <cell r="I4">
            <v>34</v>
          </cell>
          <cell r="J4">
            <v>33</v>
          </cell>
          <cell r="K4">
            <v>31</v>
          </cell>
          <cell r="L4">
            <v>30</v>
          </cell>
          <cell r="M4">
            <v>29</v>
          </cell>
        </row>
        <row r="5">
          <cell r="A5" t="str">
            <v>DQ910840</v>
          </cell>
          <cell r="B5">
            <v>57082</v>
          </cell>
          <cell r="C5">
            <v>26.02448532</v>
          </cell>
          <cell r="D5">
            <v>0</v>
          </cell>
          <cell r="E5">
            <v>26.02448532</v>
          </cell>
          <cell r="F5" t="str">
            <v>自制</v>
          </cell>
          <cell r="G5" t="str">
            <v>丰田02240</v>
          </cell>
          <cell r="H5">
            <v>36</v>
          </cell>
          <cell r="I5">
            <v>34</v>
          </cell>
          <cell r="J5">
            <v>33</v>
          </cell>
          <cell r="K5">
            <v>32</v>
          </cell>
          <cell r="L5">
            <v>30</v>
          </cell>
          <cell r="M5">
            <v>29</v>
          </cell>
        </row>
        <row r="6">
          <cell r="A6" t="str">
            <v>DQ9106L</v>
          </cell>
          <cell r="B6">
            <v>55969</v>
          </cell>
          <cell r="C6">
            <v>29.0308005333333</v>
          </cell>
          <cell r="D6">
            <v>0</v>
          </cell>
          <cell r="E6">
            <v>29.0308005333333</v>
          </cell>
          <cell r="F6" t="str">
            <v>自制</v>
          </cell>
          <cell r="G6" t="str">
            <v>波罗</v>
          </cell>
          <cell r="H6">
            <v>40</v>
          </cell>
          <cell r="I6">
            <v>38</v>
          </cell>
          <cell r="J6">
            <v>37</v>
          </cell>
          <cell r="K6">
            <v>35</v>
          </cell>
          <cell r="L6">
            <v>34</v>
          </cell>
          <cell r="M6">
            <v>32</v>
          </cell>
        </row>
        <row r="7">
          <cell r="A7" t="str">
            <v>DQ9003H2</v>
          </cell>
          <cell r="B7">
            <v>50616</v>
          </cell>
          <cell r="C7">
            <v>25.8028078</v>
          </cell>
          <cell r="D7">
            <v>0</v>
          </cell>
          <cell r="E7">
            <v>25.8028078</v>
          </cell>
          <cell r="F7" t="str">
            <v>自制</v>
          </cell>
          <cell r="G7" t="str">
            <v>尼桑</v>
          </cell>
          <cell r="H7">
            <v>35</v>
          </cell>
          <cell r="I7">
            <v>34</v>
          </cell>
          <cell r="J7">
            <v>33</v>
          </cell>
          <cell r="K7">
            <v>31</v>
          </cell>
          <cell r="L7">
            <v>30</v>
          </cell>
          <cell r="M7">
            <v>29</v>
          </cell>
        </row>
        <row r="8">
          <cell r="A8" t="str">
            <v>DQ9103A</v>
          </cell>
          <cell r="B8">
            <v>44310</v>
          </cell>
          <cell r="C8">
            <v>30.9277846</v>
          </cell>
          <cell r="D8">
            <v>0</v>
          </cell>
          <cell r="E8">
            <v>30.9277846</v>
          </cell>
          <cell r="F8" t="str">
            <v>自制</v>
          </cell>
          <cell r="G8" t="str">
            <v>奥迪C6</v>
          </cell>
          <cell r="H8">
            <v>42</v>
          </cell>
          <cell r="I8">
            <v>41</v>
          </cell>
          <cell r="J8">
            <v>39</v>
          </cell>
          <cell r="K8">
            <v>38</v>
          </cell>
          <cell r="L8">
            <v>36</v>
          </cell>
          <cell r="M8">
            <v>35</v>
          </cell>
        </row>
        <row r="9">
          <cell r="A9" t="str">
            <v>DQ9110A</v>
          </cell>
          <cell r="B9">
            <v>34817</v>
          </cell>
          <cell r="C9">
            <v>26.1332808666667</v>
          </cell>
          <cell r="D9">
            <v>0</v>
          </cell>
          <cell r="E9">
            <v>26.1332808666667</v>
          </cell>
          <cell r="F9" t="str">
            <v>自制</v>
          </cell>
          <cell r="G9" t="str">
            <v>宝马博世款</v>
          </cell>
          <cell r="H9">
            <v>36</v>
          </cell>
          <cell r="I9">
            <v>34</v>
          </cell>
          <cell r="J9">
            <v>33</v>
          </cell>
          <cell r="K9">
            <v>32</v>
          </cell>
          <cell r="L9">
            <v>31</v>
          </cell>
          <cell r="M9">
            <v>29</v>
          </cell>
        </row>
        <row r="10">
          <cell r="A10" t="str">
            <v>DQ910839</v>
          </cell>
          <cell r="B10">
            <v>34454</v>
          </cell>
          <cell r="C10">
            <v>25.80862132</v>
          </cell>
          <cell r="D10">
            <v>0</v>
          </cell>
          <cell r="E10">
            <v>25.80862132</v>
          </cell>
          <cell r="F10" t="str">
            <v>自制</v>
          </cell>
          <cell r="G10" t="str">
            <v>丰田02239</v>
          </cell>
          <cell r="H10">
            <v>35</v>
          </cell>
          <cell r="I10">
            <v>34</v>
          </cell>
          <cell r="J10">
            <v>33</v>
          </cell>
          <cell r="K10">
            <v>31</v>
          </cell>
          <cell r="L10">
            <v>30</v>
          </cell>
          <cell r="M10">
            <v>29</v>
          </cell>
        </row>
        <row r="11">
          <cell r="A11" t="str">
            <v>DQ9115A</v>
          </cell>
          <cell r="B11">
            <v>29979</v>
          </cell>
          <cell r="C11">
            <v>17.8186096751092</v>
          </cell>
          <cell r="D11">
            <v>-0.114209658224117</v>
          </cell>
          <cell r="E11">
            <v>17.9328193333333</v>
          </cell>
          <cell r="F11" t="str">
            <v>自制</v>
          </cell>
          <cell r="G11" t="str">
            <v>4A9</v>
          </cell>
          <cell r="H11">
            <v>25</v>
          </cell>
          <cell r="I11">
            <v>24</v>
          </cell>
          <cell r="J11">
            <v>23</v>
          </cell>
          <cell r="K11">
            <v>22</v>
          </cell>
          <cell r="L11">
            <v>21</v>
          </cell>
          <cell r="M11">
            <v>20</v>
          </cell>
        </row>
        <row r="12">
          <cell r="A12" t="str">
            <v>DQ9110C</v>
          </cell>
          <cell r="B12">
            <v>26011</v>
          </cell>
          <cell r="C12">
            <v>27.769754</v>
          </cell>
          <cell r="D12">
            <v>0</v>
          </cell>
          <cell r="E12">
            <v>27.769754</v>
          </cell>
          <cell r="F12" t="str">
            <v>自制</v>
          </cell>
          <cell r="G12" t="str">
            <v>宝马德尔福款</v>
          </cell>
          <cell r="H12">
            <v>38</v>
          </cell>
          <cell r="I12">
            <v>37</v>
          </cell>
          <cell r="J12">
            <v>35</v>
          </cell>
          <cell r="K12">
            <v>34</v>
          </cell>
          <cell r="L12">
            <v>32</v>
          </cell>
          <cell r="M12">
            <v>31</v>
          </cell>
        </row>
        <row r="13">
          <cell r="A13" t="str">
            <v>DQ9012</v>
          </cell>
          <cell r="B13">
            <v>25879</v>
          </cell>
          <cell r="C13">
            <v>31.0840398</v>
          </cell>
          <cell r="D13">
            <v>0</v>
          </cell>
          <cell r="E13">
            <v>31.0840398</v>
          </cell>
          <cell r="F13" t="str">
            <v>自制</v>
          </cell>
          <cell r="G13" t="str">
            <v>骐达</v>
          </cell>
          <cell r="H13">
            <v>42</v>
          </cell>
          <cell r="I13">
            <v>41</v>
          </cell>
          <cell r="J13">
            <v>39</v>
          </cell>
          <cell r="K13">
            <v>38</v>
          </cell>
          <cell r="L13">
            <v>36</v>
          </cell>
          <cell r="M13">
            <v>35</v>
          </cell>
        </row>
        <row r="14">
          <cell r="A14" t="str">
            <v>DQ910844</v>
          </cell>
          <cell r="B14">
            <v>24839</v>
          </cell>
          <cell r="C14">
            <v>25.77988932</v>
          </cell>
          <cell r="D14">
            <v>0</v>
          </cell>
          <cell r="E14">
            <v>25.77988932</v>
          </cell>
          <cell r="F14" t="str">
            <v>自制</v>
          </cell>
          <cell r="G14" t="str">
            <v>丰田02244</v>
          </cell>
          <cell r="H14">
            <v>35</v>
          </cell>
          <cell r="I14">
            <v>34</v>
          </cell>
          <cell r="J14">
            <v>33</v>
          </cell>
          <cell r="K14">
            <v>31</v>
          </cell>
          <cell r="L14">
            <v>30</v>
          </cell>
          <cell r="M14">
            <v>29</v>
          </cell>
        </row>
        <row r="15">
          <cell r="A15" t="str">
            <v>DQ9003H1</v>
          </cell>
          <cell r="B15">
            <v>24084</v>
          </cell>
          <cell r="C15">
            <v>26.54150444</v>
          </cell>
          <cell r="D15">
            <v>0</v>
          </cell>
          <cell r="E15">
            <v>26.54150444</v>
          </cell>
          <cell r="F15" t="str">
            <v>自制</v>
          </cell>
          <cell r="G15" t="str">
            <v>尼桑</v>
          </cell>
          <cell r="H15">
            <v>36</v>
          </cell>
          <cell r="I15">
            <v>35</v>
          </cell>
          <cell r="J15">
            <v>34</v>
          </cell>
          <cell r="K15">
            <v>32</v>
          </cell>
          <cell r="L15">
            <v>31</v>
          </cell>
          <cell r="M15">
            <v>30</v>
          </cell>
        </row>
        <row r="16">
          <cell r="A16" t="str">
            <v>DQ9101D</v>
          </cell>
          <cell r="B16">
            <v>23954</v>
          </cell>
          <cell r="C16">
            <v>18.8135928783694</v>
          </cell>
          <cell r="D16">
            <v>-0.404454854963924</v>
          </cell>
          <cell r="E16">
            <v>19.2180477333333</v>
          </cell>
          <cell r="F16" t="str">
            <v>自制</v>
          </cell>
          <cell r="G16" t="str">
            <v>12款智跑 12款IX35 K5</v>
          </cell>
          <cell r="H16">
            <v>26</v>
          </cell>
          <cell r="I16">
            <v>25</v>
          </cell>
          <cell r="J16">
            <v>24</v>
          </cell>
          <cell r="K16">
            <v>23</v>
          </cell>
          <cell r="L16">
            <v>22</v>
          </cell>
          <cell r="M16">
            <v>21</v>
          </cell>
        </row>
        <row r="17">
          <cell r="A17" t="str">
            <v>DQ9117D2</v>
          </cell>
          <cell r="B17">
            <v>21699</v>
          </cell>
          <cell r="C17">
            <v>29.824075</v>
          </cell>
          <cell r="D17">
            <v>0</v>
          </cell>
          <cell r="E17">
            <v>29.824075</v>
          </cell>
          <cell r="F17" t="str">
            <v>自制</v>
          </cell>
          <cell r="G17" t="str">
            <v>铃木SX4 2012 2.0L；铃木 快捷（进口）1.3</v>
          </cell>
          <cell r="H17">
            <v>41</v>
          </cell>
          <cell r="I17">
            <v>39</v>
          </cell>
          <cell r="J17">
            <v>38</v>
          </cell>
          <cell r="K17">
            <v>36</v>
          </cell>
          <cell r="L17">
            <v>35</v>
          </cell>
          <cell r="M17">
            <v>33</v>
          </cell>
        </row>
        <row r="18">
          <cell r="A18" t="str">
            <v>DQ9219A</v>
          </cell>
          <cell r="B18">
            <v>20887</v>
          </cell>
          <cell r="C18">
            <v>20.8667085</v>
          </cell>
          <cell r="D18">
            <v>0</v>
          </cell>
          <cell r="E18">
            <v>20.8667085</v>
          </cell>
          <cell r="F18" t="str">
            <v>自制</v>
          </cell>
          <cell r="G18" t="str">
            <v>哈弗H6 1.5T</v>
          </cell>
          <cell r="H18">
            <v>29</v>
          </cell>
          <cell r="I18">
            <v>28</v>
          </cell>
          <cell r="J18">
            <v>27</v>
          </cell>
          <cell r="K18">
            <v>26</v>
          </cell>
          <cell r="L18">
            <v>24</v>
          </cell>
          <cell r="M18">
            <v>23</v>
          </cell>
        </row>
        <row r="19">
          <cell r="A19" t="str">
            <v>DQ9003H3</v>
          </cell>
          <cell r="B19">
            <v>20603</v>
          </cell>
          <cell r="C19">
            <v>26.70320444</v>
          </cell>
          <cell r="D19">
            <v>0</v>
          </cell>
          <cell r="E19">
            <v>26.70320444</v>
          </cell>
          <cell r="F19" t="str">
            <v>自制</v>
          </cell>
          <cell r="G19" t="str">
            <v>尼桑</v>
          </cell>
          <cell r="H19">
            <v>37</v>
          </cell>
          <cell r="I19">
            <v>35</v>
          </cell>
          <cell r="J19">
            <v>34</v>
          </cell>
          <cell r="K19">
            <v>33</v>
          </cell>
          <cell r="L19">
            <v>31</v>
          </cell>
          <cell r="M19">
            <v>30</v>
          </cell>
        </row>
        <row r="20">
          <cell r="A20" t="str">
            <v>DQ9101Q</v>
          </cell>
          <cell r="B20">
            <v>20241</v>
          </cell>
          <cell r="C20">
            <v>18.7557152</v>
          </cell>
          <cell r="D20">
            <v>0</v>
          </cell>
          <cell r="E20">
            <v>18.7557152</v>
          </cell>
          <cell r="F20" t="str">
            <v>自制</v>
          </cell>
          <cell r="G20" t="str">
            <v>现代飞思</v>
          </cell>
          <cell r="H20">
            <v>26</v>
          </cell>
          <cell r="I20">
            <v>25</v>
          </cell>
          <cell r="J20">
            <v>24</v>
          </cell>
          <cell r="K20">
            <v>23</v>
          </cell>
          <cell r="L20">
            <v>22</v>
          </cell>
          <cell r="M20">
            <v>21</v>
          </cell>
        </row>
        <row r="21">
          <cell r="A21" t="str">
            <v>DQ910850</v>
          </cell>
          <cell r="B21">
            <v>19458</v>
          </cell>
          <cell r="C21">
            <v>26.27004932</v>
          </cell>
          <cell r="D21">
            <v>0</v>
          </cell>
          <cell r="E21">
            <v>26.27004932</v>
          </cell>
          <cell r="F21" t="str">
            <v>自制</v>
          </cell>
          <cell r="G21" t="str">
            <v>丰田02250</v>
          </cell>
          <cell r="H21">
            <v>36</v>
          </cell>
          <cell r="I21">
            <v>35</v>
          </cell>
          <cell r="J21">
            <v>33</v>
          </cell>
          <cell r="K21">
            <v>32</v>
          </cell>
          <cell r="L21">
            <v>31</v>
          </cell>
          <cell r="M21">
            <v>29</v>
          </cell>
        </row>
        <row r="22">
          <cell r="A22" t="str">
            <v>DQ9109S</v>
          </cell>
          <cell r="B22">
            <v>18917</v>
          </cell>
          <cell r="C22">
            <v>28.1608570666667</v>
          </cell>
          <cell r="D22">
            <v>0</v>
          </cell>
          <cell r="E22">
            <v>28.1608570666667</v>
          </cell>
          <cell r="F22" t="str">
            <v>自制</v>
          </cell>
          <cell r="G22" t="str">
            <v>思域1.8</v>
          </cell>
          <cell r="H22">
            <v>39</v>
          </cell>
          <cell r="I22">
            <v>37</v>
          </cell>
          <cell r="J22">
            <v>36</v>
          </cell>
          <cell r="K22">
            <v>34</v>
          </cell>
          <cell r="L22">
            <v>33</v>
          </cell>
          <cell r="M22">
            <v>31</v>
          </cell>
        </row>
        <row r="23">
          <cell r="A23" t="str">
            <v>DQ9103AR</v>
          </cell>
          <cell r="B23">
            <v>16941</v>
          </cell>
          <cell r="C23">
            <v>31.8473846</v>
          </cell>
          <cell r="D23">
            <v>0</v>
          </cell>
          <cell r="E23">
            <v>31.8473846</v>
          </cell>
          <cell r="F23" t="str">
            <v>自制</v>
          </cell>
          <cell r="G23" t="str">
            <v>奥迪A6红头</v>
          </cell>
          <cell r="H23">
            <v>43</v>
          </cell>
          <cell r="I23">
            <v>42</v>
          </cell>
          <cell r="J23">
            <v>40</v>
          </cell>
          <cell r="K23">
            <v>39</v>
          </cell>
          <cell r="L23">
            <v>37</v>
          </cell>
          <cell r="M23">
            <v>36</v>
          </cell>
        </row>
        <row r="24">
          <cell r="A24" t="str">
            <v>DQ9023</v>
          </cell>
          <cell r="B24">
            <v>16299</v>
          </cell>
          <cell r="C24">
            <v>31.1033334666667</v>
          </cell>
          <cell r="D24">
            <v>0</v>
          </cell>
          <cell r="E24">
            <v>31.1033334666667</v>
          </cell>
          <cell r="F24" t="str">
            <v>自制</v>
          </cell>
          <cell r="G24" t="str">
            <v>新桑塔纳</v>
          </cell>
          <cell r="H24">
            <v>42</v>
          </cell>
          <cell r="I24">
            <v>41</v>
          </cell>
          <cell r="J24">
            <v>39</v>
          </cell>
          <cell r="K24">
            <v>38</v>
          </cell>
          <cell r="L24">
            <v>36</v>
          </cell>
          <cell r="M24">
            <v>35</v>
          </cell>
        </row>
        <row r="25">
          <cell r="A25" t="str">
            <v>DQ9036C1</v>
          </cell>
          <cell r="B25">
            <v>15337</v>
          </cell>
          <cell r="C25">
            <v>21.7322798</v>
          </cell>
          <cell r="D25">
            <v>0</v>
          </cell>
          <cell r="E25">
            <v>21.7322798</v>
          </cell>
          <cell r="F25" t="str">
            <v>自制</v>
          </cell>
          <cell r="G25" t="str">
            <v>克莱斯勒 道奇 Jeep Ram 大众</v>
          </cell>
          <cell r="H25">
            <v>30</v>
          </cell>
          <cell r="I25">
            <v>29</v>
          </cell>
          <cell r="J25">
            <v>28</v>
          </cell>
          <cell r="K25">
            <v>27</v>
          </cell>
          <cell r="L25">
            <v>25</v>
          </cell>
          <cell r="M25">
            <v>24</v>
          </cell>
        </row>
        <row r="26">
          <cell r="A26" t="str">
            <v>DQ910851</v>
          </cell>
          <cell r="B26">
            <v>15227</v>
          </cell>
          <cell r="C26">
            <v>27.6944578</v>
          </cell>
          <cell r="D26">
            <v>0</v>
          </cell>
          <cell r="E26">
            <v>27.6944578</v>
          </cell>
          <cell r="F26" t="str">
            <v>自制</v>
          </cell>
          <cell r="G26" t="str">
            <v>丰田02251</v>
          </cell>
          <cell r="H26">
            <v>38</v>
          </cell>
          <cell r="I26">
            <v>37</v>
          </cell>
          <cell r="J26">
            <v>35</v>
          </cell>
          <cell r="K26">
            <v>34</v>
          </cell>
          <cell r="L26">
            <v>32</v>
          </cell>
          <cell r="M26">
            <v>31</v>
          </cell>
        </row>
        <row r="27">
          <cell r="A27" t="str">
            <v>DQ9119</v>
          </cell>
          <cell r="B27">
            <v>14968</v>
          </cell>
          <cell r="C27">
            <v>23.4857502</v>
          </cell>
          <cell r="D27">
            <v>0</v>
          </cell>
          <cell r="E27">
            <v>23.4857502</v>
          </cell>
          <cell r="F27" t="str">
            <v>自制</v>
          </cell>
          <cell r="G27" t="str">
            <v>五菱宏光B15</v>
          </cell>
          <cell r="H27">
            <v>32</v>
          </cell>
          <cell r="I27">
            <v>31</v>
          </cell>
          <cell r="J27">
            <v>30</v>
          </cell>
          <cell r="K27">
            <v>29</v>
          </cell>
          <cell r="L27">
            <v>28</v>
          </cell>
          <cell r="M27">
            <v>26</v>
          </cell>
        </row>
        <row r="28">
          <cell r="A28" t="str">
            <v>DQ9003B</v>
          </cell>
          <cell r="B28">
            <v>14842</v>
          </cell>
          <cell r="C28">
            <v>28.89242444</v>
          </cell>
          <cell r="D28">
            <v>0</v>
          </cell>
          <cell r="E28">
            <v>28.89242444</v>
          </cell>
          <cell r="F28" t="str">
            <v>自制</v>
          </cell>
          <cell r="G28" t="str">
            <v>天籁侧插</v>
          </cell>
          <cell r="H28">
            <v>40</v>
          </cell>
          <cell r="I28">
            <v>38</v>
          </cell>
          <cell r="J28">
            <v>37</v>
          </cell>
          <cell r="K28">
            <v>35</v>
          </cell>
          <cell r="L28">
            <v>34</v>
          </cell>
          <cell r="M28">
            <v>32</v>
          </cell>
        </row>
        <row r="29">
          <cell r="A29" t="str">
            <v>DQ910830</v>
          </cell>
          <cell r="B29">
            <v>13648</v>
          </cell>
          <cell r="C29">
            <v>26.16818932</v>
          </cell>
          <cell r="D29">
            <v>0</v>
          </cell>
          <cell r="E29">
            <v>26.16818932</v>
          </cell>
          <cell r="F29" t="str">
            <v>自制</v>
          </cell>
          <cell r="G29" t="str">
            <v>丰田02230</v>
          </cell>
          <cell r="H29">
            <v>36</v>
          </cell>
          <cell r="I29">
            <v>35</v>
          </cell>
          <cell r="J29">
            <v>33</v>
          </cell>
          <cell r="K29">
            <v>32</v>
          </cell>
          <cell r="L29">
            <v>31</v>
          </cell>
          <cell r="M29">
            <v>29</v>
          </cell>
        </row>
        <row r="30">
          <cell r="A30" t="str">
            <v>DQ9101F</v>
          </cell>
          <cell r="B30">
            <v>13633</v>
          </cell>
          <cell r="C30">
            <v>18.232965</v>
          </cell>
          <cell r="D30">
            <v>0</v>
          </cell>
          <cell r="E30">
            <v>18.232965</v>
          </cell>
          <cell r="F30" t="str">
            <v>自制</v>
          </cell>
          <cell r="G30" t="str">
            <v>索兰托 K5</v>
          </cell>
          <cell r="H30">
            <v>25</v>
          </cell>
          <cell r="I30">
            <v>24</v>
          </cell>
          <cell r="J30">
            <v>23</v>
          </cell>
          <cell r="K30">
            <v>22</v>
          </cell>
          <cell r="L30">
            <v>21</v>
          </cell>
          <cell r="M30">
            <v>21</v>
          </cell>
        </row>
        <row r="31">
          <cell r="A31" t="str">
            <v>DQ9016E1</v>
          </cell>
          <cell r="B31">
            <v>13013</v>
          </cell>
          <cell r="C31">
            <v>35.7196481292168</v>
          </cell>
          <cell r="D31">
            <v>0.397380929216755</v>
          </cell>
          <cell r="E31">
            <v>35.3222672</v>
          </cell>
          <cell r="F31" t="str">
            <v>自制</v>
          </cell>
          <cell r="G31" t="str">
            <v>凯迪拉克2.0T（进口）</v>
          </cell>
          <cell r="H31">
            <v>49</v>
          </cell>
          <cell r="I31">
            <v>47</v>
          </cell>
          <cell r="J31">
            <v>45</v>
          </cell>
          <cell r="K31">
            <v>43</v>
          </cell>
          <cell r="L31">
            <v>42</v>
          </cell>
          <cell r="M31">
            <v>40</v>
          </cell>
        </row>
        <row r="32">
          <cell r="A32" t="str">
            <v>DQ9107B</v>
          </cell>
          <cell r="B32">
            <v>12542</v>
          </cell>
          <cell r="C32">
            <v>19.1667607333333</v>
          </cell>
          <cell r="D32">
            <v>0</v>
          </cell>
          <cell r="E32">
            <v>19.1667607333333</v>
          </cell>
          <cell r="F32" t="str">
            <v>自制</v>
          </cell>
          <cell r="G32" t="str">
            <v>东风小康</v>
          </cell>
          <cell r="H32">
            <v>26</v>
          </cell>
          <cell r="I32">
            <v>25</v>
          </cell>
          <cell r="J32">
            <v>24</v>
          </cell>
          <cell r="K32">
            <v>24</v>
          </cell>
          <cell r="L32">
            <v>23</v>
          </cell>
          <cell r="M32">
            <v>22</v>
          </cell>
        </row>
        <row r="33">
          <cell r="A33" t="str">
            <v>DQ9101A</v>
          </cell>
          <cell r="B33">
            <v>11761</v>
          </cell>
          <cell r="C33">
            <v>16.7987736676643</v>
          </cell>
          <cell r="D33">
            <v>-0.691869493255172</v>
          </cell>
          <cell r="E33">
            <v>17.4906431609195</v>
          </cell>
          <cell r="F33" t="str">
            <v>自制</v>
          </cell>
          <cell r="G33" t="str">
            <v>伊兰特 VVT 圆头</v>
          </cell>
          <cell r="H33">
            <v>23</v>
          </cell>
          <cell r="I33">
            <v>22</v>
          </cell>
          <cell r="J33">
            <v>21</v>
          </cell>
          <cell r="K33">
            <v>21</v>
          </cell>
          <cell r="L33">
            <v>20</v>
          </cell>
          <cell r="M33">
            <v>19</v>
          </cell>
        </row>
        <row r="34">
          <cell r="A34" t="str">
            <v>DQ910855</v>
          </cell>
          <cell r="B34">
            <v>11435</v>
          </cell>
          <cell r="C34">
            <v>27.55130532</v>
          </cell>
          <cell r="D34">
            <v>0</v>
          </cell>
          <cell r="E34">
            <v>27.55130532</v>
          </cell>
          <cell r="F34" t="str">
            <v>自制</v>
          </cell>
          <cell r="G34" t="str">
            <v>丰田02255</v>
          </cell>
          <cell r="H34">
            <v>38</v>
          </cell>
          <cell r="I34">
            <v>36</v>
          </cell>
          <cell r="J34">
            <v>35</v>
          </cell>
          <cell r="K34">
            <v>34</v>
          </cell>
          <cell r="L34">
            <v>32</v>
          </cell>
          <cell r="M34">
            <v>31</v>
          </cell>
        </row>
        <row r="35">
          <cell r="A35" t="str">
            <v>DQ9007A1</v>
          </cell>
          <cell r="B35">
            <v>10957</v>
          </cell>
          <cell r="C35">
            <v>34.4804526</v>
          </cell>
          <cell r="D35">
            <v>0</v>
          </cell>
          <cell r="E35">
            <v>34.4804526</v>
          </cell>
          <cell r="F35" t="str">
            <v>自制</v>
          </cell>
          <cell r="G35" t="str">
            <v>索纳塔九代</v>
          </cell>
          <cell r="H35">
            <v>47</v>
          </cell>
          <cell r="I35">
            <v>45</v>
          </cell>
          <cell r="J35">
            <v>44</v>
          </cell>
          <cell r="K35">
            <v>42</v>
          </cell>
          <cell r="L35">
            <v>40</v>
          </cell>
          <cell r="M35">
            <v>38</v>
          </cell>
        </row>
        <row r="36">
          <cell r="A36" t="str">
            <v>DQ9128A1</v>
          </cell>
          <cell r="B36">
            <v>10803</v>
          </cell>
          <cell r="C36">
            <v>33.9012525333333</v>
          </cell>
          <cell r="D36">
            <v>0</v>
          </cell>
          <cell r="E36">
            <v>33.9012525333333</v>
          </cell>
          <cell r="F36" t="str">
            <v>自制</v>
          </cell>
          <cell r="G36" t="str">
            <v>昂科雷</v>
          </cell>
          <cell r="H36">
            <v>46</v>
          </cell>
          <cell r="I36">
            <v>45</v>
          </cell>
          <cell r="J36">
            <v>43</v>
          </cell>
          <cell r="K36">
            <v>41</v>
          </cell>
          <cell r="L36">
            <v>39</v>
          </cell>
          <cell r="M36">
            <v>38</v>
          </cell>
        </row>
        <row r="37">
          <cell r="A37" t="str">
            <v>DQ9016</v>
          </cell>
          <cell r="B37">
            <v>10077</v>
          </cell>
          <cell r="C37">
            <v>32.6108885333333</v>
          </cell>
          <cell r="D37">
            <v>0</v>
          </cell>
          <cell r="E37">
            <v>32.6108885333333</v>
          </cell>
          <cell r="F37" t="str">
            <v>自制</v>
          </cell>
          <cell r="G37" t="str">
            <v>别克君越</v>
          </cell>
          <cell r="H37">
            <v>45</v>
          </cell>
          <cell r="I37">
            <v>43</v>
          </cell>
          <cell r="J37">
            <v>41</v>
          </cell>
          <cell r="K37">
            <v>40</v>
          </cell>
          <cell r="L37">
            <v>38</v>
          </cell>
          <cell r="M37">
            <v>36</v>
          </cell>
        </row>
        <row r="38">
          <cell r="A38" t="str">
            <v>DQ9003A</v>
          </cell>
          <cell r="B38">
            <v>9775</v>
          </cell>
          <cell r="C38">
            <v>28.04542444</v>
          </cell>
          <cell r="D38">
            <v>0</v>
          </cell>
          <cell r="E38">
            <v>28.04542444</v>
          </cell>
          <cell r="F38" t="str">
            <v>自制</v>
          </cell>
          <cell r="G38" t="str">
            <v>奇骏2.5</v>
          </cell>
          <cell r="H38">
            <v>38</v>
          </cell>
          <cell r="I38">
            <v>37</v>
          </cell>
          <cell r="J38">
            <v>36</v>
          </cell>
          <cell r="K38">
            <v>34</v>
          </cell>
          <cell r="L38">
            <v>33</v>
          </cell>
          <cell r="M38">
            <v>31</v>
          </cell>
        </row>
        <row r="39">
          <cell r="A39" t="str">
            <v>DQ9025A1</v>
          </cell>
          <cell r="B39">
            <v>9357</v>
          </cell>
          <cell r="C39">
            <v>36.123498444859</v>
          </cell>
          <cell r="D39">
            <v>1.71085063819228</v>
          </cell>
          <cell r="E39">
            <v>34.4126478066667</v>
          </cell>
          <cell r="F39" t="str">
            <v>自制</v>
          </cell>
          <cell r="G39" t="str">
            <v>奔驰GLK350</v>
          </cell>
          <cell r="H39">
            <v>49</v>
          </cell>
          <cell r="I39">
            <v>47</v>
          </cell>
          <cell r="J39">
            <v>46</v>
          </cell>
          <cell r="K39">
            <v>44</v>
          </cell>
          <cell r="L39">
            <v>42</v>
          </cell>
          <cell r="M39">
            <v>40</v>
          </cell>
        </row>
        <row r="40">
          <cell r="A40" t="str">
            <v>DQ9101B</v>
          </cell>
          <cell r="B40">
            <v>8848</v>
          </cell>
          <cell r="C40">
            <v>18.7352263333333</v>
          </cell>
          <cell r="D40">
            <v>0</v>
          </cell>
          <cell r="E40">
            <v>18.7352263333333</v>
          </cell>
          <cell r="F40" t="str">
            <v>自制</v>
          </cell>
          <cell r="G40" t="str">
            <v>伽马圆头</v>
          </cell>
          <cell r="H40">
            <v>26</v>
          </cell>
          <cell r="I40">
            <v>25</v>
          </cell>
          <cell r="J40">
            <v>24</v>
          </cell>
          <cell r="K40">
            <v>23</v>
          </cell>
          <cell r="L40">
            <v>22</v>
          </cell>
          <cell r="M40">
            <v>21</v>
          </cell>
        </row>
        <row r="41">
          <cell r="A41" t="str">
            <v>DQ9130E1</v>
          </cell>
          <cell r="B41">
            <v>8777</v>
          </cell>
          <cell r="C41">
            <v>23.2689204</v>
          </cell>
          <cell r="D41">
            <v>0</v>
          </cell>
          <cell r="E41">
            <v>23.2689204</v>
          </cell>
          <cell r="F41" t="str">
            <v>自制</v>
          </cell>
          <cell r="G41" t="str">
            <v>福特锐界</v>
          </cell>
          <cell r="H41">
            <v>32</v>
          </cell>
          <cell r="I41">
            <v>31</v>
          </cell>
          <cell r="J41">
            <v>30</v>
          </cell>
          <cell r="K41">
            <v>28</v>
          </cell>
          <cell r="L41">
            <v>27</v>
          </cell>
          <cell r="M41">
            <v>26</v>
          </cell>
        </row>
        <row r="42">
          <cell r="A42" t="str">
            <v>DQ9406M</v>
          </cell>
          <cell r="B42">
            <v>8711</v>
          </cell>
          <cell r="C42">
            <v>110.3025</v>
          </cell>
          <cell r="D42">
            <v>0</v>
          </cell>
          <cell r="E42">
            <v>110.3025</v>
          </cell>
          <cell r="F42" t="str">
            <v>调货</v>
          </cell>
          <cell r="G42" t="str">
            <v>科鲁兹1790</v>
          </cell>
          <cell r="H42">
            <v>132</v>
          </cell>
          <cell r="I42">
            <v>130</v>
          </cell>
          <cell r="J42">
            <v>127</v>
          </cell>
          <cell r="K42">
            <v>125</v>
          </cell>
          <cell r="L42">
            <v>124</v>
          </cell>
          <cell r="M42">
            <v>122</v>
          </cell>
        </row>
        <row r="43">
          <cell r="A43" t="str">
            <v>DQ9117</v>
          </cell>
          <cell r="B43">
            <v>8604</v>
          </cell>
          <cell r="C43">
            <v>22.4323396</v>
          </cell>
          <cell r="D43">
            <v>0</v>
          </cell>
          <cell r="E43">
            <v>22.4323396</v>
          </cell>
          <cell r="F43" t="str">
            <v>自制</v>
          </cell>
          <cell r="G43" t="str">
            <v>北斗星K14（联电系统）</v>
          </cell>
          <cell r="H43">
            <v>31</v>
          </cell>
          <cell r="I43">
            <v>30</v>
          </cell>
          <cell r="J43">
            <v>29</v>
          </cell>
          <cell r="K43">
            <v>27</v>
          </cell>
          <cell r="L43">
            <v>26</v>
          </cell>
          <cell r="M43">
            <v>25</v>
          </cell>
        </row>
        <row r="44">
          <cell r="A44" t="str">
            <v>DQ9109</v>
          </cell>
          <cell r="B44">
            <v>8590</v>
          </cell>
          <cell r="C44">
            <v>27.94937</v>
          </cell>
          <cell r="D44">
            <v>0</v>
          </cell>
          <cell r="E44">
            <v>27.94937</v>
          </cell>
          <cell r="F44" t="str">
            <v>自制</v>
          </cell>
          <cell r="G44" t="str">
            <v>本田7代雅阁</v>
          </cell>
          <cell r="H44">
            <v>38</v>
          </cell>
          <cell r="I44">
            <v>37</v>
          </cell>
          <cell r="J44">
            <v>35</v>
          </cell>
          <cell r="K44">
            <v>34</v>
          </cell>
          <cell r="L44">
            <v>33</v>
          </cell>
          <cell r="M44">
            <v>31</v>
          </cell>
        </row>
        <row r="45">
          <cell r="A45" t="str">
            <v>DQ9101A1</v>
          </cell>
          <cell r="B45">
            <v>8480</v>
          </cell>
          <cell r="C45">
            <v>17.2379768275862</v>
          </cell>
          <cell r="D45">
            <v>0</v>
          </cell>
          <cell r="E45">
            <v>17.2379768275862</v>
          </cell>
          <cell r="F45" t="str">
            <v>自制</v>
          </cell>
          <cell r="G45" t="str">
            <v>27301-26640</v>
          </cell>
          <cell r="H45">
            <v>24</v>
          </cell>
          <cell r="I45">
            <v>23</v>
          </cell>
          <cell r="J45">
            <v>22</v>
          </cell>
          <cell r="K45">
            <v>21</v>
          </cell>
          <cell r="L45">
            <v>20</v>
          </cell>
          <cell r="M45">
            <v>19</v>
          </cell>
        </row>
        <row r="46">
          <cell r="A46" t="str">
            <v>DQ9109C</v>
          </cell>
          <cell r="B46">
            <v>8478</v>
          </cell>
          <cell r="C46">
            <v>28.5926173333333</v>
          </cell>
          <cell r="D46">
            <v>0</v>
          </cell>
          <cell r="E46">
            <v>28.5926173333333</v>
          </cell>
          <cell r="F46" t="str">
            <v>自制</v>
          </cell>
          <cell r="G46" t="str">
            <v>本田讴歌 3.5L</v>
          </cell>
          <cell r="H46">
            <v>39</v>
          </cell>
          <cell r="I46">
            <v>38</v>
          </cell>
          <cell r="J46">
            <v>36</v>
          </cell>
          <cell r="K46">
            <v>35</v>
          </cell>
          <cell r="L46">
            <v>33</v>
          </cell>
          <cell r="M46">
            <v>32</v>
          </cell>
        </row>
        <row r="47">
          <cell r="A47" t="str">
            <v>DQ9132B1</v>
          </cell>
          <cell r="B47">
            <v>8163</v>
          </cell>
          <cell r="C47">
            <v>29.2603840666667</v>
          </cell>
          <cell r="D47">
            <v>0</v>
          </cell>
          <cell r="E47">
            <v>29.2603840666667</v>
          </cell>
          <cell r="F47" t="str">
            <v>自制</v>
          </cell>
          <cell r="G47" t="str">
            <v>丰田大发</v>
          </cell>
          <cell r="H47">
            <v>40</v>
          </cell>
          <cell r="I47">
            <v>39</v>
          </cell>
          <cell r="J47">
            <v>37</v>
          </cell>
          <cell r="K47">
            <v>36</v>
          </cell>
          <cell r="L47">
            <v>34</v>
          </cell>
          <cell r="M47">
            <v>33</v>
          </cell>
        </row>
        <row r="48">
          <cell r="A48" t="str">
            <v>DQ9010B</v>
          </cell>
          <cell r="B48">
            <v>8152</v>
          </cell>
          <cell r="C48">
            <v>26.1389106</v>
          </cell>
          <cell r="D48">
            <v>0</v>
          </cell>
          <cell r="E48">
            <v>26.1389106</v>
          </cell>
          <cell r="F48" t="str">
            <v>自制</v>
          </cell>
          <cell r="G48" t="str">
            <v>飞度1.5（短）</v>
          </cell>
          <cell r="H48">
            <v>36</v>
          </cell>
          <cell r="I48">
            <v>34</v>
          </cell>
          <cell r="J48">
            <v>33</v>
          </cell>
          <cell r="K48">
            <v>32</v>
          </cell>
          <cell r="L48">
            <v>31</v>
          </cell>
          <cell r="M48">
            <v>29</v>
          </cell>
        </row>
        <row r="49">
          <cell r="A49" t="str">
            <v>DQ910834</v>
          </cell>
          <cell r="B49">
            <v>8111</v>
          </cell>
          <cell r="C49">
            <v>26.62510532</v>
          </cell>
          <cell r="D49">
            <v>0</v>
          </cell>
          <cell r="E49">
            <v>26.62510532</v>
          </cell>
          <cell r="F49" t="str">
            <v>自制</v>
          </cell>
          <cell r="G49" t="str">
            <v>丰田02234</v>
          </cell>
          <cell r="H49">
            <v>36</v>
          </cell>
          <cell r="I49">
            <v>35</v>
          </cell>
          <cell r="J49">
            <v>34</v>
          </cell>
          <cell r="K49">
            <v>32</v>
          </cell>
          <cell r="L49">
            <v>31</v>
          </cell>
          <cell r="M49">
            <v>30</v>
          </cell>
        </row>
        <row r="50">
          <cell r="A50" t="str">
            <v>DQ9003G1</v>
          </cell>
          <cell r="B50">
            <v>7870</v>
          </cell>
          <cell r="C50">
            <v>28.6811052</v>
          </cell>
          <cell r="D50">
            <v>0</v>
          </cell>
          <cell r="E50">
            <v>28.6811052</v>
          </cell>
          <cell r="F50" t="str">
            <v>自制</v>
          </cell>
          <cell r="G50" t="str">
            <v>日产逍客</v>
          </cell>
          <cell r="H50">
            <v>39</v>
          </cell>
          <cell r="I50">
            <v>38</v>
          </cell>
          <cell r="J50">
            <v>36</v>
          </cell>
          <cell r="K50">
            <v>35</v>
          </cell>
          <cell r="L50">
            <v>33</v>
          </cell>
          <cell r="M50">
            <v>32</v>
          </cell>
        </row>
        <row r="51">
          <cell r="A51" t="str">
            <v>DQ9010J2</v>
          </cell>
          <cell r="B51">
            <v>7601</v>
          </cell>
          <cell r="C51">
            <v>32.1327421333333</v>
          </cell>
          <cell r="D51">
            <v>0</v>
          </cell>
          <cell r="E51">
            <v>32.1327421333333</v>
          </cell>
          <cell r="F51" t="str">
            <v>自制</v>
          </cell>
          <cell r="G51" t="str">
            <v>本田</v>
          </cell>
          <cell r="H51">
            <v>44</v>
          </cell>
          <cell r="I51">
            <v>42</v>
          </cell>
          <cell r="J51">
            <v>41</v>
          </cell>
          <cell r="K51">
            <v>39</v>
          </cell>
          <cell r="L51">
            <v>37</v>
          </cell>
          <cell r="M51">
            <v>36</v>
          </cell>
        </row>
        <row r="52">
          <cell r="A52" t="str">
            <v>DQ9007B1</v>
          </cell>
          <cell r="B52">
            <v>7245</v>
          </cell>
          <cell r="C52">
            <v>33.8967926</v>
          </cell>
          <cell r="D52">
            <v>0</v>
          </cell>
          <cell r="E52">
            <v>33.8967926</v>
          </cell>
          <cell r="F52" t="str">
            <v>自制</v>
          </cell>
          <cell r="G52" t="str">
            <v>现代索纳塔9 2.0L</v>
          </cell>
          <cell r="H52">
            <v>46</v>
          </cell>
          <cell r="I52">
            <v>45</v>
          </cell>
          <cell r="J52">
            <v>43</v>
          </cell>
          <cell r="K52">
            <v>41</v>
          </cell>
          <cell r="L52">
            <v>39</v>
          </cell>
          <cell r="M52">
            <v>38</v>
          </cell>
        </row>
        <row r="53">
          <cell r="A53" t="str">
            <v>DQ9103D</v>
          </cell>
          <cell r="B53">
            <v>6928</v>
          </cell>
          <cell r="C53">
            <v>30.6476034</v>
          </cell>
          <cell r="D53">
            <v>0</v>
          </cell>
          <cell r="E53">
            <v>30.6476034</v>
          </cell>
          <cell r="F53" t="str">
            <v>自制</v>
          </cell>
          <cell r="G53" t="str">
            <v>帕萨特B5 不铣胶面</v>
          </cell>
          <cell r="H53">
            <v>42</v>
          </cell>
          <cell r="I53">
            <v>40</v>
          </cell>
          <cell r="J53">
            <v>39</v>
          </cell>
          <cell r="K53">
            <v>37</v>
          </cell>
          <cell r="L53">
            <v>36</v>
          </cell>
          <cell r="M53">
            <v>34</v>
          </cell>
        </row>
        <row r="54">
          <cell r="A54" t="str">
            <v>DQ9010F</v>
          </cell>
          <cell r="B54">
            <v>6839</v>
          </cell>
          <cell r="C54">
            <v>25.150446</v>
          </cell>
          <cell r="D54">
            <v>0</v>
          </cell>
          <cell r="E54">
            <v>25.150446</v>
          </cell>
          <cell r="F54" t="str">
            <v>自制</v>
          </cell>
          <cell r="G54" t="str">
            <v>新飞度</v>
          </cell>
          <cell r="H54">
            <v>34</v>
          </cell>
          <cell r="I54">
            <v>33</v>
          </cell>
          <cell r="J54">
            <v>32</v>
          </cell>
          <cell r="K54">
            <v>31</v>
          </cell>
          <cell r="L54">
            <v>29</v>
          </cell>
          <cell r="M54">
            <v>28</v>
          </cell>
        </row>
        <row r="55">
          <cell r="A55" t="str">
            <v>DQ9109G1</v>
          </cell>
          <cell r="B55">
            <v>6768</v>
          </cell>
          <cell r="C55">
            <v>28.4023833333333</v>
          </cell>
          <cell r="D55">
            <v>0</v>
          </cell>
          <cell r="E55">
            <v>28.4023833333333</v>
          </cell>
          <cell r="F55" t="str">
            <v>自制</v>
          </cell>
          <cell r="G55" t="str">
            <v>本田 雅阁 3.5L</v>
          </cell>
          <cell r="H55">
            <v>39</v>
          </cell>
          <cell r="I55">
            <v>37</v>
          </cell>
          <cell r="J55">
            <v>36</v>
          </cell>
          <cell r="K55">
            <v>35</v>
          </cell>
          <cell r="L55">
            <v>33</v>
          </cell>
          <cell r="M55">
            <v>32</v>
          </cell>
        </row>
        <row r="56">
          <cell r="A56" t="str">
            <v>DQ9109H1</v>
          </cell>
          <cell r="B56">
            <v>6692</v>
          </cell>
          <cell r="C56">
            <v>28.6779670666667</v>
          </cell>
          <cell r="D56">
            <v>0</v>
          </cell>
          <cell r="E56">
            <v>28.6779670666667</v>
          </cell>
          <cell r="F56" t="str">
            <v>自制</v>
          </cell>
          <cell r="G56" t="str">
            <v>本田 pil0t 13-09</v>
          </cell>
          <cell r="H56">
            <v>39</v>
          </cell>
          <cell r="I56">
            <v>38</v>
          </cell>
          <cell r="J56">
            <v>36</v>
          </cell>
          <cell r="K56">
            <v>35</v>
          </cell>
          <cell r="L56">
            <v>33</v>
          </cell>
          <cell r="M56">
            <v>32</v>
          </cell>
        </row>
        <row r="57">
          <cell r="A57" t="str">
            <v>DQ9401</v>
          </cell>
          <cell r="B57">
            <v>6559</v>
          </cell>
          <cell r="C57">
            <v>30.8093432333333</v>
          </cell>
          <cell r="D57">
            <v>0</v>
          </cell>
          <cell r="E57">
            <v>30.8093432333333</v>
          </cell>
          <cell r="F57" t="str">
            <v>自制</v>
          </cell>
          <cell r="G57" t="str">
            <v>德尔福三代</v>
          </cell>
          <cell r="H57">
            <v>42</v>
          </cell>
          <cell r="I57">
            <v>41</v>
          </cell>
          <cell r="J57">
            <v>39</v>
          </cell>
          <cell r="K57">
            <v>37</v>
          </cell>
          <cell r="L57">
            <v>36</v>
          </cell>
          <cell r="M57">
            <v>34</v>
          </cell>
        </row>
        <row r="58">
          <cell r="A58" t="str">
            <v>DQ9044A1</v>
          </cell>
          <cell r="B58">
            <v>6511</v>
          </cell>
          <cell r="C58">
            <v>24.8805906666667</v>
          </cell>
          <cell r="D58">
            <v>0</v>
          </cell>
          <cell r="E58">
            <v>24.8805906666667</v>
          </cell>
          <cell r="F58" t="str">
            <v>自制</v>
          </cell>
          <cell r="G58" t="str">
            <v>福田</v>
          </cell>
          <cell r="H58">
            <v>34</v>
          </cell>
          <cell r="I58">
            <v>33</v>
          </cell>
          <cell r="J58">
            <v>32</v>
          </cell>
          <cell r="K58">
            <v>30</v>
          </cell>
          <cell r="L58">
            <v>29</v>
          </cell>
          <cell r="M58">
            <v>28</v>
          </cell>
        </row>
        <row r="59">
          <cell r="A59" t="str">
            <v>DQ9109B1</v>
          </cell>
          <cell r="B59">
            <v>6237</v>
          </cell>
          <cell r="C59">
            <v>28.8472537333333</v>
          </cell>
          <cell r="D59">
            <v>0</v>
          </cell>
          <cell r="E59">
            <v>28.8472537333333</v>
          </cell>
          <cell r="F59" t="str">
            <v>自制</v>
          </cell>
          <cell r="G59" t="str">
            <v>本田9代雅阁</v>
          </cell>
          <cell r="H59">
            <v>39</v>
          </cell>
          <cell r="I59">
            <v>38</v>
          </cell>
          <cell r="J59">
            <v>37</v>
          </cell>
          <cell r="K59">
            <v>35</v>
          </cell>
          <cell r="L59">
            <v>34</v>
          </cell>
          <cell r="M59">
            <v>32</v>
          </cell>
        </row>
        <row r="60">
          <cell r="A60" t="str">
            <v>DQ9109A</v>
          </cell>
          <cell r="B60">
            <v>6068</v>
          </cell>
          <cell r="C60">
            <v>27.88447</v>
          </cell>
          <cell r="D60">
            <v>0</v>
          </cell>
          <cell r="E60">
            <v>27.88447</v>
          </cell>
          <cell r="F60" t="str">
            <v>自制</v>
          </cell>
          <cell r="G60" t="str">
            <v>本田8代雅阁</v>
          </cell>
          <cell r="H60">
            <v>38</v>
          </cell>
          <cell r="I60">
            <v>37</v>
          </cell>
          <cell r="J60">
            <v>35</v>
          </cell>
          <cell r="K60">
            <v>34</v>
          </cell>
          <cell r="L60">
            <v>33</v>
          </cell>
          <cell r="M60">
            <v>31</v>
          </cell>
        </row>
        <row r="61">
          <cell r="A61" t="str">
            <v>DQ9021B</v>
          </cell>
          <cell r="B61">
            <v>6063</v>
          </cell>
          <cell r="C61">
            <v>22.8558792</v>
          </cell>
          <cell r="D61">
            <v>0</v>
          </cell>
          <cell r="E61">
            <v>22.8558792</v>
          </cell>
          <cell r="F61" t="str">
            <v>自制</v>
          </cell>
          <cell r="G61" t="str">
            <v>长城胜翼</v>
          </cell>
          <cell r="H61">
            <v>31</v>
          </cell>
          <cell r="I61">
            <v>30</v>
          </cell>
          <cell r="J61">
            <v>29</v>
          </cell>
          <cell r="K61">
            <v>28</v>
          </cell>
          <cell r="L61">
            <v>27</v>
          </cell>
          <cell r="M61">
            <v>26</v>
          </cell>
        </row>
        <row r="62">
          <cell r="A62" t="str">
            <v>DQ9023B</v>
          </cell>
          <cell r="B62">
            <v>6061</v>
          </cell>
          <cell r="C62">
            <v>31.5510334666667</v>
          </cell>
          <cell r="D62">
            <v>0</v>
          </cell>
          <cell r="E62">
            <v>31.5510334666667</v>
          </cell>
          <cell r="F62" t="str">
            <v>自制</v>
          </cell>
          <cell r="G62" t="str">
            <v>奥迪Q5</v>
          </cell>
          <cell r="H62">
            <v>43</v>
          </cell>
          <cell r="I62">
            <v>42</v>
          </cell>
          <cell r="J62">
            <v>40</v>
          </cell>
          <cell r="K62">
            <v>38</v>
          </cell>
          <cell r="L62">
            <v>37</v>
          </cell>
          <cell r="M62">
            <v>35</v>
          </cell>
        </row>
        <row r="63">
          <cell r="A63" t="str">
            <v>DQ9036C102</v>
          </cell>
          <cell r="B63">
            <v>5922</v>
          </cell>
          <cell r="C63">
            <v>22.5738348</v>
          </cell>
          <cell r="D63">
            <v>0</v>
          </cell>
          <cell r="E63">
            <v>22.5738348</v>
          </cell>
          <cell r="F63" t="str">
            <v>自制</v>
          </cell>
          <cell r="G63" t="str">
            <v>克莱斯勒300C 3.6L(带螺丝）</v>
          </cell>
          <cell r="H63">
            <v>31</v>
          </cell>
          <cell r="I63">
            <v>30</v>
          </cell>
          <cell r="J63">
            <v>29</v>
          </cell>
          <cell r="K63">
            <v>28</v>
          </cell>
          <cell r="L63">
            <v>26</v>
          </cell>
          <cell r="M63">
            <v>25</v>
          </cell>
        </row>
        <row r="64">
          <cell r="A64" t="str">
            <v>DQ910846</v>
          </cell>
          <cell r="B64">
            <v>5902</v>
          </cell>
          <cell r="C64">
            <v>26.80904932</v>
          </cell>
          <cell r="D64">
            <v>0</v>
          </cell>
          <cell r="E64">
            <v>26.80904932</v>
          </cell>
          <cell r="F64" t="str">
            <v>自制</v>
          </cell>
          <cell r="G64" t="str">
            <v>丰田02246</v>
          </cell>
          <cell r="H64">
            <v>37</v>
          </cell>
          <cell r="I64">
            <v>35</v>
          </cell>
          <cell r="J64">
            <v>34</v>
          </cell>
          <cell r="K64">
            <v>33</v>
          </cell>
          <cell r="L64">
            <v>31</v>
          </cell>
          <cell r="M64">
            <v>30</v>
          </cell>
        </row>
        <row r="65">
          <cell r="A65" t="str">
            <v>DQ9104F</v>
          </cell>
          <cell r="B65">
            <v>5750</v>
          </cell>
          <cell r="C65">
            <v>23.4635316333333</v>
          </cell>
          <cell r="D65">
            <v>0</v>
          </cell>
          <cell r="E65">
            <v>23.4635316333333</v>
          </cell>
          <cell r="F65" t="str">
            <v>自制</v>
          </cell>
          <cell r="G65" t="str">
            <v>法系雷诺</v>
          </cell>
          <cell r="H65">
            <v>32</v>
          </cell>
          <cell r="I65">
            <v>31</v>
          </cell>
          <cell r="J65">
            <v>30</v>
          </cell>
          <cell r="K65">
            <v>29</v>
          </cell>
          <cell r="L65">
            <v>27</v>
          </cell>
          <cell r="M65">
            <v>26</v>
          </cell>
        </row>
        <row r="66">
          <cell r="A66" t="str">
            <v>DQ9003G2</v>
          </cell>
          <cell r="B66">
            <v>5695</v>
          </cell>
          <cell r="C66">
            <v>28.4754052</v>
          </cell>
          <cell r="D66">
            <v>0</v>
          </cell>
          <cell r="E66">
            <v>28.4754052</v>
          </cell>
          <cell r="F66" t="str">
            <v>自制</v>
          </cell>
          <cell r="G66" t="str">
            <v>日产奇骏2.0</v>
          </cell>
          <cell r="H66">
            <v>39</v>
          </cell>
          <cell r="I66">
            <v>38</v>
          </cell>
          <cell r="J66">
            <v>36</v>
          </cell>
          <cell r="K66">
            <v>35</v>
          </cell>
          <cell r="L66">
            <v>33</v>
          </cell>
          <cell r="M66">
            <v>32</v>
          </cell>
        </row>
        <row r="67">
          <cell r="A67" t="str">
            <v>DQ901808</v>
          </cell>
          <cell r="B67">
            <v>5686</v>
          </cell>
          <cell r="C67">
            <v>33.944746</v>
          </cell>
          <cell r="D67">
            <v>0</v>
          </cell>
          <cell r="E67">
            <v>33.944746</v>
          </cell>
          <cell r="F67" t="str">
            <v>自制</v>
          </cell>
          <cell r="G67" t="str">
            <v>卡罗拉1.2T</v>
          </cell>
          <cell r="H67">
            <v>46</v>
          </cell>
          <cell r="I67">
            <v>45</v>
          </cell>
          <cell r="J67">
            <v>43</v>
          </cell>
          <cell r="K67">
            <v>41</v>
          </cell>
          <cell r="L67">
            <v>40</v>
          </cell>
          <cell r="M67">
            <v>38</v>
          </cell>
        </row>
        <row r="68">
          <cell r="A68" t="str">
            <v>DQ9107A</v>
          </cell>
          <cell r="B68">
            <v>5315</v>
          </cell>
          <cell r="C68">
            <v>19.3075607333333</v>
          </cell>
          <cell r="D68">
            <v>0</v>
          </cell>
          <cell r="E68">
            <v>19.3075607333333</v>
          </cell>
          <cell r="F68" t="str">
            <v>自制</v>
          </cell>
          <cell r="G68" t="str">
            <v>北汽威旺</v>
          </cell>
          <cell r="H68">
            <v>27</v>
          </cell>
          <cell r="I68">
            <v>26</v>
          </cell>
          <cell r="J68">
            <v>25</v>
          </cell>
          <cell r="K68">
            <v>24</v>
          </cell>
          <cell r="L68">
            <v>23</v>
          </cell>
          <cell r="M68">
            <v>22</v>
          </cell>
        </row>
        <row r="69">
          <cell r="A69" t="str">
            <v>DQ9038A1</v>
          </cell>
          <cell r="B69">
            <v>5156</v>
          </cell>
          <cell r="C69">
            <v>24.0914066666667</v>
          </cell>
          <cell r="D69">
            <v>0</v>
          </cell>
          <cell r="E69">
            <v>24.0914066666667</v>
          </cell>
          <cell r="F69" t="str">
            <v>自制</v>
          </cell>
          <cell r="G69" t="str">
            <v>宏光B15</v>
          </cell>
          <cell r="H69">
            <v>33</v>
          </cell>
          <cell r="I69">
            <v>32</v>
          </cell>
          <cell r="J69">
            <v>31</v>
          </cell>
          <cell r="K69">
            <v>29</v>
          </cell>
          <cell r="L69">
            <v>28</v>
          </cell>
          <cell r="M69">
            <v>27</v>
          </cell>
        </row>
        <row r="70">
          <cell r="A70" t="str">
            <v>DQ9130F1</v>
          </cell>
          <cell r="B70">
            <v>4904</v>
          </cell>
          <cell r="C70">
            <v>31.1928444</v>
          </cell>
          <cell r="D70">
            <v>0</v>
          </cell>
          <cell r="E70">
            <v>31.1928444</v>
          </cell>
          <cell r="F70" t="str">
            <v>自制</v>
          </cell>
          <cell r="G70" t="str">
            <v>福特金牛</v>
          </cell>
          <cell r="H70">
            <v>43</v>
          </cell>
          <cell r="I70">
            <v>41</v>
          </cell>
          <cell r="J70">
            <v>39</v>
          </cell>
          <cell r="K70">
            <v>38</v>
          </cell>
          <cell r="L70">
            <v>36</v>
          </cell>
          <cell r="M70">
            <v>35</v>
          </cell>
        </row>
        <row r="71">
          <cell r="A71" t="str">
            <v>DQ9116E</v>
          </cell>
          <cell r="B71">
            <v>4803</v>
          </cell>
          <cell r="C71">
            <v>21.2884576</v>
          </cell>
          <cell r="D71">
            <v>0</v>
          </cell>
          <cell r="E71">
            <v>21.2884576</v>
          </cell>
          <cell r="F71" t="str">
            <v>自制</v>
          </cell>
          <cell r="G71" t="str">
            <v>473QE发动机</v>
          </cell>
          <cell r="H71">
            <v>29</v>
          </cell>
          <cell r="I71">
            <v>28</v>
          </cell>
          <cell r="J71">
            <v>27</v>
          </cell>
          <cell r="K71">
            <v>26</v>
          </cell>
          <cell r="L71">
            <v>25</v>
          </cell>
          <cell r="M71">
            <v>24</v>
          </cell>
        </row>
        <row r="72">
          <cell r="A72" t="str">
            <v>DQ9113B2</v>
          </cell>
          <cell r="B72">
            <v>4784</v>
          </cell>
          <cell r="C72">
            <v>31.7199452</v>
          </cell>
          <cell r="D72">
            <v>0</v>
          </cell>
          <cell r="E72">
            <v>31.7199452</v>
          </cell>
          <cell r="F72" t="str">
            <v>自制</v>
          </cell>
          <cell r="G72" t="str">
            <v>三菱劲炫</v>
          </cell>
          <cell r="H72">
            <v>43</v>
          </cell>
          <cell r="I72">
            <v>42</v>
          </cell>
          <cell r="J72">
            <v>40</v>
          </cell>
          <cell r="K72">
            <v>39</v>
          </cell>
          <cell r="L72">
            <v>37</v>
          </cell>
          <cell r="M72">
            <v>35</v>
          </cell>
        </row>
        <row r="73">
          <cell r="A73" t="str">
            <v>DQ129</v>
          </cell>
          <cell r="B73">
            <v>4746</v>
          </cell>
          <cell r="C73">
            <v>40.8087511563595</v>
          </cell>
          <cell r="D73">
            <v>-0.247588343640505</v>
          </cell>
          <cell r="E73">
            <v>41.0563395</v>
          </cell>
          <cell r="F73" t="str">
            <v>自制</v>
          </cell>
          <cell r="G73" t="str">
            <v>小红旗</v>
          </cell>
          <cell r="H73">
            <v>56</v>
          </cell>
          <cell r="I73">
            <v>54</v>
          </cell>
          <cell r="J73">
            <v>52</v>
          </cell>
          <cell r="K73">
            <v>49</v>
          </cell>
          <cell r="L73">
            <v>47</v>
          </cell>
          <cell r="M73">
            <v>45</v>
          </cell>
        </row>
        <row r="74">
          <cell r="A74" t="str">
            <v>DQ9230A1</v>
          </cell>
          <cell r="B74">
            <v>4605</v>
          </cell>
          <cell r="C74">
            <v>24.13526181</v>
          </cell>
          <cell r="D74">
            <v>0</v>
          </cell>
          <cell r="E74">
            <v>24.13526181</v>
          </cell>
          <cell r="F74" t="str">
            <v>自制</v>
          </cell>
          <cell r="G74" t="str">
            <v>五菱之光 1.2L</v>
          </cell>
          <cell r="H74">
            <v>33</v>
          </cell>
          <cell r="I74">
            <v>32</v>
          </cell>
          <cell r="J74">
            <v>31</v>
          </cell>
          <cell r="K74">
            <v>29</v>
          </cell>
          <cell r="L74">
            <v>28</v>
          </cell>
          <cell r="M74">
            <v>27</v>
          </cell>
        </row>
        <row r="75">
          <cell r="A75" t="str">
            <v>DQ9216B</v>
          </cell>
          <cell r="B75">
            <v>4574</v>
          </cell>
          <cell r="C75">
            <v>22.7403638</v>
          </cell>
          <cell r="D75">
            <v>0</v>
          </cell>
          <cell r="E75">
            <v>22.7403638</v>
          </cell>
          <cell r="F75" t="str">
            <v>自制</v>
          </cell>
          <cell r="G75" t="str">
            <v>荣威350</v>
          </cell>
          <cell r="H75">
            <v>31</v>
          </cell>
          <cell r="I75">
            <v>30</v>
          </cell>
          <cell r="J75">
            <v>29</v>
          </cell>
          <cell r="K75">
            <v>28</v>
          </cell>
          <cell r="L75">
            <v>27</v>
          </cell>
          <cell r="M75">
            <v>26</v>
          </cell>
        </row>
        <row r="76">
          <cell r="A76" t="str">
            <v>DQ9110E1</v>
          </cell>
          <cell r="B76">
            <v>4566</v>
          </cell>
          <cell r="C76">
            <v>27.863925</v>
          </cell>
          <cell r="D76">
            <v>0</v>
          </cell>
          <cell r="E76">
            <v>27.863925</v>
          </cell>
          <cell r="F76" t="str">
            <v>自制</v>
          </cell>
          <cell r="G76" t="str">
            <v>标致1.6T</v>
          </cell>
          <cell r="H76">
            <v>38</v>
          </cell>
          <cell r="I76">
            <v>37</v>
          </cell>
          <cell r="J76">
            <v>35</v>
          </cell>
          <cell r="K76">
            <v>34</v>
          </cell>
          <cell r="L76">
            <v>33</v>
          </cell>
          <cell r="M76">
            <v>31</v>
          </cell>
        </row>
        <row r="77">
          <cell r="A77" t="str">
            <v>DQ9032A1</v>
          </cell>
          <cell r="B77">
            <v>4540</v>
          </cell>
          <cell r="C77">
            <v>34.0242848</v>
          </cell>
          <cell r="D77">
            <v>0</v>
          </cell>
          <cell r="E77">
            <v>34.0242848</v>
          </cell>
          <cell r="F77" t="str">
            <v>自制</v>
          </cell>
          <cell r="G77" t="str">
            <v>铃木</v>
          </cell>
          <cell r="H77">
            <v>46</v>
          </cell>
          <cell r="I77">
            <v>45</v>
          </cell>
          <cell r="J77">
            <v>43</v>
          </cell>
          <cell r="K77">
            <v>41</v>
          </cell>
          <cell r="L77">
            <v>40</v>
          </cell>
          <cell r="M77">
            <v>38</v>
          </cell>
        </row>
        <row r="78">
          <cell r="A78" t="str">
            <v>DQ9005D</v>
          </cell>
          <cell r="B78">
            <v>4452</v>
          </cell>
          <cell r="C78">
            <v>16.37471902</v>
          </cell>
          <cell r="D78">
            <v>0</v>
          </cell>
          <cell r="E78">
            <v>16.37471902</v>
          </cell>
          <cell r="F78" t="str">
            <v>自制</v>
          </cell>
          <cell r="G78" t="str">
            <v>福克斯</v>
          </cell>
          <cell r="H78">
            <v>23</v>
          </cell>
          <cell r="I78">
            <v>22</v>
          </cell>
          <cell r="J78">
            <v>21</v>
          </cell>
          <cell r="K78">
            <v>20</v>
          </cell>
          <cell r="L78">
            <v>19</v>
          </cell>
          <cell r="M78">
            <v>19</v>
          </cell>
        </row>
        <row r="79">
          <cell r="A79" t="str">
            <v>DQ9003A3</v>
          </cell>
          <cell r="B79">
            <v>4377</v>
          </cell>
          <cell r="C79">
            <v>28.16642444</v>
          </cell>
          <cell r="D79">
            <v>0</v>
          </cell>
          <cell r="E79">
            <v>28.16642444</v>
          </cell>
          <cell r="F79" t="str">
            <v>自制</v>
          </cell>
          <cell r="G79" t="str">
            <v>天籁 2.0L</v>
          </cell>
          <cell r="H79">
            <v>39</v>
          </cell>
          <cell r="I79">
            <v>37</v>
          </cell>
          <cell r="J79">
            <v>36</v>
          </cell>
          <cell r="K79">
            <v>34</v>
          </cell>
          <cell r="L79">
            <v>33</v>
          </cell>
          <cell r="M79">
            <v>31</v>
          </cell>
        </row>
        <row r="80">
          <cell r="A80" t="str">
            <v>DQ9101K1</v>
          </cell>
          <cell r="B80">
            <v>4352</v>
          </cell>
          <cell r="C80">
            <v>20.4697101333333</v>
          </cell>
          <cell r="D80">
            <v>0</v>
          </cell>
          <cell r="E80">
            <v>20.4697101333333</v>
          </cell>
          <cell r="F80" t="str">
            <v>自制</v>
          </cell>
          <cell r="G80" t="str">
            <v>现代瑞纳</v>
          </cell>
          <cell r="H80">
            <v>28</v>
          </cell>
          <cell r="I80">
            <v>27</v>
          </cell>
          <cell r="J80">
            <v>26</v>
          </cell>
          <cell r="K80">
            <v>25</v>
          </cell>
          <cell r="L80">
            <v>24</v>
          </cell>
          <cell r="M80">
            <v>23</v>
          </cell>
        </row>
        <row r="81">
          <cell r="A81" t="str">
            <v>DQ9010A</v>
          </cell>
          <cell r="B81">
            <v>4307</v>
          </cell>
          <cell r="C81">
            <v>27.6146222</v>
          </cell>
          <cell r="D81">
            <v>0</v>
          </cell>
          <cell r="E81">
            <v>27.6146222</v>
          </cell>
          <cell r="F81" t="str">
            <v>自制</v>
          </cell>
          <cell r="G81" t="str">
            <v>飞度1.3后排</v>
          </cell>
          <cell r="H81">
            <v>38</v>
          </cell>
          <cell r="I81">
            <v>36</v>
          </cell>
          <cell r="J81">
            <v>35</v>
          </cell>
          <cell r="K81">
            <v>34</v>
          </cell>
          <cell r="L81">
            <v>32</v>
          </cell>
          <cell r="M81">
            <v>31</v>
          </cell>
        </row>
        <row r="82">
          <cell r="A82" t="str">
            <v>DQ9021D</v>
          </cell>
          <cell r="B82">
            <v>4280</v>
          </cell>
          <cell r="C82">
            <v>22.1078792</v>
          </cell>
          <cell r="D82">
            <v>0</v>
          </cell>
          <cell r="E82">
            <v>22.1078792</v>
          </cell>
          <cell r="F82" t="str">
            <v>自制</v>
          </cell>
          <cell r="G82" t="str">
            <v>吉利帝豪</v>
          </cell>
          <cell r="H82">
            <v>30</v>
          </cell>
          <cell r="I82">
            <v>29</v>
          </cell>
          <cell r="J82">
            <v>28</v>
          </cell>
          <cell r="K82">
            <v>27</v>
          </cell>
          <cell r="L82">
            <v>26</v>
          </cell>
          <cell r="M82">
            <v>25</v>
          </cell>
        </row>
        <row r="83">
          <cell r="A83" t="str">
            <v>DQ9025C1</v>
          </cell>
          <cell r="B83">
            <v>4253</v>
          </cell>
          <cell r="C83">
            <v>33.5437241333084</v>
          </cell>
          <cell r="D83">
            <v>2.18193653330839</v>
          </cell>
          <cell r="E83">
            <v>31.3617876</v>
          </cell>
          <cell r="F83" t="str">
            <v>自制</v>
          </cell>
          <cell r="G83" t="str">
            <v>奔驰209发动机</v>
          </cell>
          <cell r="H83">
            <v>46</v>
          </cell>
          <cell r="I83">
            <v>44</v>
          </cell>
          <cell r="J83">
            <v>42</v>
          </cell>
          <cell r="K83">
            <v>41</v>
          </cell>
          <cell r="L83">
            <v>39</v>
          </cell>
          <cell r="M83">
            <v>37</v>
          </cell>
        </row>
        <row r="84">
          <cell r="A84" t="str">
            <v>DQ9115</v>
          </cell>
          <cell r="B84">
            <v>3936</v>
          </cell>
          <cell r="C84">
            <v>21.3711114</v>
          </cell>
          <cell r="D84">
            <v>0</v>
          </cell>
          <cell r="E84">
            <v>21.3711114</v>
          </cell>
          <cell r="F84" t="str">
            <v>自制</v>
          </cell>
          <cell r="G84" t="str">
            <v>海马479Q</v>
          </cell>
          <cell r="H84">
            <v>29</v>
          </cell>
          <cell r="I84">
            <v>28</v>
          </cell>
          <cell r="J84">
            <v>27</v>
          </cell>
          <cell r="K84">
            <v>26</v>
          </cell>
          <cell r="L84">
            <v>25</v>
          </cell>
          <cell r="M84">
            <v>24</v>
          </cell>
        </row>
        <row r="85">
          <cell r="A85" t="str">
            <v>DQ6493</v>
          </cell>
          <cell r="B85">
            <v>3902</v>
          </cell>
          <cell r="C85">
            <v>38.63504142091</v>
          </cell>
          <cell r="D85">
            <v>-0.474042879089948</v>
          </cell>
          <cell r="E85">
            <v>39.1090843</v>
          </cell>
          <cell r="F85" t="str">
            <v>自制</v>
          </cell>
          <cell r="G85" t="str">
            <v>德尔福二代</v>
          </cell>
          <cell r="H85">
            <v>53</v>
          </cell>
          <cell r="I85">
            <v>51</v>
          </cell>
          <cell r="J85">
            <v>49</v>
          </cell>
          <cell r="K85">
            <v>47</v>
          </cell>
          <cell r="L85">
            <v>45</v>
          </cell>
          <cell r="M85">
            <v>43</v>
          </cell>
        </row>
        <row r="86">
          <cell r="A86" t="str">
            <v>DQ1212X</v>
          </cell>
          <cell r="B86">
            <v>3836</v>
          </cell>
          <cell r="C86">
            <v>43.6354052463525</v>
          </cell>
          <cell r="D86">
            <v>-1.64337695364751</v>
          </cell>
          <cell r="E86">
            <v>45.2787822</v>
          </cell>
          <cell r="F86" t="str">
            <v>自制</v>
          </cell>
          <cell r="G86" t="str">
            <v>奇瑞风云</v>
          </cell>
          <cell r="H86">
            <v>59</v>
          </cell>
          <cell r="I86">
            <v>57</v>
          </cell>
          <cell r="J86">
            <v>55</v>
          </cell>
          <cell r="K86">
            <v>53</v>
          </cell>
          <cell r="L86">
            <v>51</v>
          </cell>
          <cell r="M86">
            <v>48</v>
          </cell>
        </row>
        <row r="87">
          <cell r="A87" t="str">
            <v>DQ9007C2</v>
          </cell>
          <cell r="B87">
            <v>3733</v>
          </cell>
          <cell r="C87">
            <v>32.6652545936922</v>
          </cell>
          <cell r="D87">
            <v>1.50892939369222</v>
          </cell>
          <cell r="E87">
            <v>31.1563252</v>
          </cell>
          <cell r="F87" t="str">
            <v>自制</v>
          </cell>
          <cell r="G87" t="str">
            <v>索兰托2.0T</v>
          </cell>
          <cell r="H87">
            <v>45</v>
          </cell>
          <cell r="I87">
            <v>43</v>
          </cell>
          <cell r="J87">
            <v>41</v>
          </cell>
          <cell r="K87">
            <v>40</v>
          </cell>
          <cell r="L87">
            <v>38</v>
          </cell>
          <cell r="M87">
            <v>36</v>
          </cell>
        </row>
        <row r="88">
          <cell r="A88" t="str">
            <v>DQ9201C1</v>
          </cell>
          <cell r="B88">
            <v>3633</v>
          </cell>
          <cell r="C88">
            <v>23.27237</v>
          </cell>
          <cell r="D88">
            <v>0</v>
          </cell>
          <cell r="E88">
            <v>23.27237</v>
          </cell>
          <cell r="F88" t="str">
            <v>自制</v>
          </cell>
          <cell r="G88" t="str">
            <v>欧诺474</v>
          </cell>
          <cell r="H88">
            <v>32</v>
          </cell>
          <cell r="I88">
            <v>31</v>
          </cell>
          <cell r="J88">
            <v>30</v>
          </cell>
          <cell r="K88">
            <v>28</v>
          </cell>
          <cell r="L88">
            <v>27</v>
          </cell>
          <cell r="M88">
            <v>26</v>
          </cell>
        </row>
        <row r="89">
          <cell r="A89" t="str">
            <v>DQ9039B1</v>
          </cell>
          <cell r="B89">
            <v>3603</v>
          </cell>
          <cell r="C89">
            <v>23.1708474666667</v>
          </cell>
          <cell r="D89">
            <v>0</v>
          </cell>
          <cell r="E89">
            <v>23.1708474666667</v>
          </cell>
          <cell r="F89" t="str">
            <v>自制</v>
          </cell>
          <cell r="G89" t="str">
            <v>宝骏 730</v>
          </cell>
          <cell r="H89">
            <v>32</v>
          </cell>
          <cell r="I89">
            <v>31</v>
          </cell>
          <cell r="J89">
            <v>29</v>
          </cell>
          <cell r="K89">
            <v>28</v>
          </cell>
          <cell r="L89">
            <v>27</v>
          </cell>
          <cell r="M89">
            <v>26</v>
          </cell>
        </row>
        <row r="90">
          <cell r="A90" t="str">
            <v>DQ9002D1</v>
          </cell>
          <cell r="B90">
            <v>3581</v>
          </cell>
          <cell r="C90">
            <v>38.7132891774814</v>
          </cell>
          <cell r="D90">
            <v>0.600621177481408</v>
          </cell>
          <cell r="E90">
            <v>38.112668</v>
          </cell>
          <cell r="F90" t="str">
            <v>自制</v>
          </cell>
          <cell r="G90" t="str">
            <v>马自达3 昂克赛拉</v>
          </cell>
          <cell r="H90">
            <v>53</v>
          </cell>
          <cell r="I90">
            <v>51</v>
          </cell>
          <cell r="J90">
            <v>49</v>
          </cell>
          <cell r="K90">
            <v>47</v>
          </cell>
          <cell r="L90">
            <v>45</v>
          </cell>
          <cell r="M90">
            <v>43</v>
          </cell>
        </row>
        <row r="91">
          <cell r="A91" t="str">
            <v>DQ9134B1</v>
          </cell>
          <cell r="B91">
            <v>3527</v>
          </cell>
          <cell r="C91">
            <v>35.6949709528897</v>
          </cell>
          <cell r="D91">
            <v>0.918283952889726</v>
          </cell>
          <cell r="E91">
            <v>34.776687</v>
          </cell>
          <cell r="F91" t="str">
            <v>自制</v>
          </cell>
          <cell r="G91" t="str">
            <v>昂科拉</v>
          </cell>
          <cell r="H91">
            <v>49</v>
          </cell>
          <cell r="I91">
            <v>47</v>
          </cell>
          <cell r="J91">
            <v>45</v>
          </cell>
          <cell r="K91">
            <v>43</v>
          </cell>
          <cell r="L91">
            <v>42</v>
          </cell>
          <cell r="M91">
            <v>40</v>
          </cell>
        </row>
        <row r="92">
          <cell r="A92" t="str">
            <v>DQ9109D1</v>
          </cell>
          <cell r="B92">
            <v>3464</v>
          </cell>
          <cell r="C92">
            <v>29.63622</v>
          </cell>
          <cell r="D92">
            <v>0</v>
          </cell>
          <cell r="E92">
            <v>29.63622</v>
          </cell>
          <cell r="F92" t="str">
            <v>自制</v>
          </cell>
          <cell r="G92" t="str">
            <v>2016款 本田CRV 2.4L</v>
          </cell>
          <cell r="H92">
            <v>41</v>
          </cell>
          <cell r="I92">
            <v>39</v>
          </cell>
          <cell r="J92">
            <v>38</v>
          </cell>
          <cell r="K92">
            <v>36</v>
          </cell>
          <cell r="L92">
            <v>35</v>
          </cell>
          <cell r="M92">
            <v>33</v>
          </cell>
        </row>
        <row r="93">
          <cell r="A93" t="str">
            <v>DQ9042A1</v>
          </cell>
          <cell r="B93">
            <v>3409</v>
          </cell>
          <cell r="C93">
            <v>49.1715</v>
          </cell>
          <cell r="D93">
            <v>0</v>
          </cell>
          <cell r="E93">
            <v>49.1715</v>
          </cell>
          <cell r="F93" t="str">
            <v>调货</v>
          </cell>
          <cell r="G93" t="str">
            <v>江铃 驭胜 S330 1.5T</v>
          </cell>
          <cell r="H93">
            <v>59</v>
          </cell>
          <cell r="I93">
            <v>58</v>
          </cell>
          <cell r="J93">
            <v>57</v>
          </cell>
          <cell r="K93">
            <v>56</v>
          </cell>
          <cell r="L93">
            <v>56</v>
          </cell>
          <cell r="M93">
            <v>55</v>
          </cell>
        </row>
        <row r="94">
          <cell r="A94" t="str">
            <v>DQ9109T</v>
          </cell>
          <cell r="B94">
            <v>3390</v>
          </cell>
          <cell r="C94">
            <v>29.1706570666667</v>
          </cell>
          <cell r="D94">
            <v>0</v>
          </cell>
          <cell r="E94">
            <v>29.1706570666667</v>
          </cell>
          <cell r="F94" t="str">
            <v>自制</v>
          </cell>
          <cell r="G94" t="str">
            <v>本田6代雅阁</v>
          </cell>
          <cell r="H94">
            <v>40</v>
          </cell>
          <cell r="I94">
            <v>38</v>
          </cell>
          <cell r="J94">
            <v>37</v>
          </cell>
          <cell r="K94">
            <v>36</v>
          </cell>
          <cell r="L94">
            <v>34</v>
          </cell>
          <cell r="M94">
            <v>33</v>
          </cell>
        </row>
        <row r="95">
          <cell r="A95" t="str">
            <v>DQ9202</v>
          </cell>
          <cell r="B95">
            <v>3312</v>
          </cell>
          <cell r="C95">
            <v>31.13891</v>
          </cell>
          <cell r="D95">
            <v>0</v>
          </cell>
          <cell r="E95">
            <v>31.13891</v>
          </cell>
          <cell r="F95" t="str">
            <v>自制</v>
          </cell>
          <cell r="G95" t="str">
            <v>474三插</v>
          </cell>
          <cell r="H95">
            <v>43</v>
          </cell>
          <cell r="I95">
            <v>41</v>
          </cell>
          <cell r="J95">
            <v>39</v>
          </cell>
          <cell r="K95">
            <v>38</v>
          </cell>
          <cell r="L95">
            <v>36</v>
          </cell>
          <cell r="M95">
            <v>35</v>
          </cell>
        </row>
        <row r="96">
          <cell r="A96" t="str">
            <v>DQ9209A</v>
          </cell>
          <cell r="B96">
            <v>3275</v>
          </cell>
          <cell r="C96">
            <v>23.673903</v>
          </cell>
          <cell r="D96">
            <v>0</v>
          </cell>
          <cell r="E96">
            <v>23.673903</v>
          </cell>
          <cell r="F96" t="str">
            <v>自制</v>
          </cell>
          <cell r="G96" t="str">
            <v>哈飞赛马 赛豹 菱帅</v>
          </cell>
          <cell r="H96">
            <v>32</v>
          </cell>
          <cell r="I96">
            <v>31</v>
          </cell>
          <cell r="J96">
            <v>30</v>
          </cell>
          <cell r="K96">
            <v>29</v>
          </cell>
          <cell r="L96">
            <v>28</v>
          </cell>
          <cell r="M96">
            <v>27</v>
          </cell>
        </row>
        <row r="97">
          <cell r="A97" t="str">
            <v>DQ9101B3</v>
          </cell>
          <cell r="B97">
            <v>3199</v>
          </cell>
          <cell r="C97">
            <v>19.5437263333333</v>
          </cell>
          <cell r="D97">
            <v>0</v>
          </cell>
          <cell r="E97">
            <v>19.5437263333333</v>
          </cell>
          <cell r="F97" t="str">
            <v>自制</v>
          </cell>
          <cell r="G97" t="str">
            <v>27301-2B000</v>
          </cell>
          <cell r="H97">
            <v>27</v>
          </cell>
          <cell r="I97">
            <v>26</v>
          </cell>
          <cell r="J97">
            <v>25</v>
          </cell>
          <cell r="K97">
            <v>24</v>
          </cell>
          <cell r="L97">
            <v>23</v>
          </cell>
          <cell r="M97">
            <v>22</v>
          </cell>
        </row>
        <row r="98">
          <cell r="A98" t="str">
            <v>DQ9101C</v>
          </cell>
          <cell r="B98">
            <v>3132</v>
          </cell>
          <cell r="C98">
            <v>18.165865</v>
          </cell>
          <cell r="D98">
            <v>0</v>
          </cell>
          <cell r="E98">
            <v>18.165865</v>
          </cell>
          <cell r="F98" t="str">
            <v>自制</v>
          </cell>
          <cell r="G98" t="str">
            <v>现代 全新胜达(进口) 3.0L</v>
          </cell>
          <cell r="H98">
            <v>25</v>
          </cell>
          <cell r="I98">
            <v>24</v>
          </cell>
          <cell r="J98">
            <v>23</v>
          </cell>
          <cell r="K98">
            <v>22</v>
          </cell>
          <cell r="L98">
            <v>21</v>
          </cell>
          <cell r="M98">
            <v>20</v>
          </cell>
        </row>
        <row r="99">
          <cell r="A99" t="str">
            <v>DQ9101E</v>
          </cell>
          <cell r="B99">
            <v>3109</v>
          </cell>
          <cell r="C99">
            <v>17.8673098275862</v>
          </cell>
          <cell r="D99">
            <v>0</v>
          </cell>
          <cell r="E99">
            <v>17.8673098275862</v>
          </cell>
          <cell r="F99" t="str">
            <v>自制</v>
          </cell>
          <cell r="G99" t="str">
            <v>圣达菲2.7L</v>
          </cell>
          <cell r="H99">
            <v>25</v>
          </cell>
          <cell r="I99">
            <v>24</v>
          </cell>
          <cell r="J99">
            <v>23</v>
          </cell>
          <cell r="K99">
            <v>22</v>
          </cell>
          <cell r="L99">
            <v>21</v>
          </cell>
          <cell r="M99">
            <v>20</v>
          </cell>
        </row>
        <row r="100">
          <cell r="A100" t="str">
            <v>DQ9010K1</v>
          </cell>
          <cell r="B100">
            <v>2997</v>
          </cell>
          <cell r="C100">
            <v>31.3733021333333</v>
          </cell>
          <cell r="D100">
            <v>0</v>
          </cell>
          <cell r="E100">
            <v>31.3733021333333</v>
          </cell>
          <cell r="F100" t="str">
            <v>自制</v>
          </cell>
          <cell r="G100" t="str">
            <v>本田 哥瑞（1.5直喷）</v>
          </cell>
          <cell r="H100">
            <v>43</v>
          </cell>
          <cell r="I100">
            <v>41</v>
          </cell>
          <cell r="J100">
            <v>40</v>
          </cell>
          <cell r="K100">
            <v>38</v>
          </cell>
          <cell r="L100">
            <v>37</v>
          </cell>
          <cell r="M100">
            <v>35</v>
          </cell>
        </row>
        <row r="101">
          <cell r="A101" t="str">
            <v>DQ9402</v>
          </cell>
          <cell r="B101">
            <v>2996</v>
          </cell>
          <cell r="C101">
            <v>82.0896582</v>
          </cell>
          <cell r="D101">
            <v>0</v>
          </cell>
          <cell r="E101">
            <v>82.0896582</v>
          </cell>
          <cell r="F101" t="str">
            <v>自制</v>
          </cell>
          <cell r="G101" t="str">
            <v>标致307</v>
          </cell>
          <cell r="H101">
            <v>111</v>
          </cell>
          <cell r="I101">
            <v>107</v>
          </cell>
          <cell r="J101">
            <v>103</v>
          </cell>
          <cell r="K101">
            <v>99</v>
          </cell>
          <cell r="L101">
            <v>95</v>
          </cell>
          <cell r="M101">
            <v>91</v>
          </cell>
        </row>
        <row r="102">
          <cell r="A102" t="str">
            <v>DQ910838</v>
          </cell>
          <cell r="B102">
            <v>2976</v>
          </cell>
          <cell r="C102">
            <v>26.30502932</v>
          </cell>
          <cell r="D102">
            <v>0</v>
          </cell>
          <cell r="E102">
            <v>26.30502932</v>
          </cell>
          <cell r="F102" t="str">
            <v>自制</v>
          </cell>
          <cell r="G102" t="str">
            <v>丰田02238</v>
          </cell>
          <cell r="H102">
            <v>36</v>
          </cell>
          <cell r="I102">
            <v>35</v>
          </cell>
          <cell r="J102">
            <v>33</v>
          </cell>
          <cell r="K102">
            <v>32</v>
          </cell>
          <cell r="L102">
            <v>31</v>
          </cell>
          <cell r="M102">
            <v>29</v>
          </cell>
        </row>
        <row r="103">
          <cell r="A103" t="str">
            <v>DQ9005H</v>
          </cell>
          <cell r="B103">
            <v>2962</v>
          </cell>
          <cell r="C103">
            <v>17.74727702</v>
          </cell>
          <cell r="D103">
            <v>0</v>
          </cell>
          <cell r="E103">
            <v>17.74727702</v>
          </cell>
          <cell r="F103" t="str">
            <v>自制</v>
          </cell>
          <cell r="G103" t="str">
            <v>福特林肯05-08</v>
          </cell>
          <cell r="H103">
            <v>24</v>
          </cell>
          <cell r="I103">
            <v>24</v>
          </cell>
          <cell r="J103">
            <v>23</v>
          </cell>
          <cell r="K103">
            <v>22</v>
          </cell>
          <cell r="L103">
            <v>21</v>
          </cell>
          <cell r="M103">
            <v>20</v>
          </cell>
        </row>
        <row r="104">
          <cell r="A104" t="str">
            <v>DQ9002C1</v>
          </cell>
          <cell r="B104">
            <v>2933</v>
          </cell>
          <cell r="C104">
            <v>26.1955078</v>
          </cell>
          <cell r="D104">
            <v>0</v>
          </cell>
          <cell r="E104">
            <v>26.1955078</v>
          </cell>
          <cell r="F104" t="str">
            <v>自制</v>
          </cell>
          <cell r="G104" t="str">
            <v>马自达3</v>
          </cell>
          <cell r="H104">
            <v>36</v>
          </cell>
          <cell r="I104">
            <v>35</v>
          </cell>
          <cell r="J104">
            <v>33</v>
          </cell>
          <cell r="K104">
            <v>32</v>
          </cell>
          <cell r="L104">
            <v>31</v>
          </cell>
          <cell r="M104">
            <v>29</v>
          </cell>
        </row>
        <row r="105">
          <cell r="A105" t="str">
            <v>DQ9029B1</v>
          </cell>
          <cell r="B105">
            <v>2898</v>
          </cell>
          <cell r="C105">
            <v>28.2397866794971</v>
          </cell>
          <cell r="D105">
            <v>0.52257991283039</v>
          </cell>
          <cell r="E105">
            <v>27.7172067666667</v>
          </cell>
          <cell r="F105" t="str">
            <v>自制</v>
          </cell>
          <cell r="G105" t="str">
            <v>宝马1.5T</v>
          </cell>
          <cell r="H105">
            <v>39</v>
          </cell>
          <cell r="I105">
            <v>37</v>
          </cell>
          <cell r="J105">
            <v>36</v>
          </cell>
          <cell r="K105">
            <v>34</v>
          </cell>
          <cell r="L105">
            <v>33</v>
          </cell>
          <cell r="M105">
            <v>32</v>
          </cell>
        </row>
        <row r="106">
          <cell r="A106" t="str">
            <v>DQ9002</v>
          </cell>
          <cell r="B106">
            <v>2868</v>
          </cell>
          <cell r="C106">
            <v>28.98614444</v>
          </cell>
          <cell r="D106">
            <v>0</v>
          </cell>
          <cell r="E106">
            <v>28.98614444</v>
          </cell>
          <cell r="F106" t="str">
            <v>自制</v>
          </cell>
          <cell r="G106" t="str">
            <v>马六三插</v>
          </cell>
          <cell r="H106">
            <v>40</v>
          </cell>
          <cell r="I106">
            <v>38</v>
          </cell>
          <cell r="J106">
            <v>37</v>
          </cell>
          <cell r="K106">
            <v>35</v>
          </cell>
          <cell r="L106">
            <v>34</v>
          </cell>
          <cell r="M106">
            <v>32</v>
          </cell>
        </row>
        <row r="107">
          <cell r="A107" t="str">
            <v>DQ9219A4</v>
          </cell>
          <cell r="B107">
            <v>2839</v>
          </cell>
          <cell r="C107">
            <v>21.2352085</v>
          </cell>
          <cell r="D107">
            <v>0</v>
          </cell>
          <cell r="E107">
            <v>21.2352085</v>
          </cell>
          <cell r="F107" t="str">
            <v>自制</v>
          </cell>
          <cell r="G107" t="str">
            <v>广汽传祺GS4</v>
          </cell>
          <cell r="H107">
            <v>29</v>
          </cell>
          <cell r="I107">
            <v>28</v>
          </cell>
          <cell r="J107">
            <v>27</v>
          </cell>
          <cell r="K107">
            <v>26</v>
          </cell>
          <cell r="L107">
            <v>25</v>
          </cell>
          <cell r="M107">
            <v>24</v>
          </cell>
        </row>
        <row r="108">
          <cell r="A108" t="str">
            <v>DQ9205</v>
          </cell>
          <cell r="B108">
            <v>2813</v>
          </cell>
          <cell r="C108">
            <v>32.418892</v>
          </cell>
          <cell r="D108">
            <v>0</v>
          </cell>
          <cell r="E108">
            <v>32.418892</v>
          </cell>
          <cell r="F108" t="str">
            <v>自制</v>
          </cell>
          <cell r="G108" t="str">
            <v>哈飞赛马1.3</v>
          </cell>
          <cell r="H108">
            <v>44</v>
          </cell>
          <cell r="I108">
            <v>43</v>
          </cell>
          <cell r="J108">
            <v>41</v>
          </cell>
          <cell r="K108">
            <v>39</v>
          </cell>
          <cell r="L108">
            <v>38</v>
          </cell>
          <cell r="M108">
            <v>36</v>
          </cell>
        </row>
        <row r="109">
          <cell r="A109" t="str">
            <v>DQ9010</v>
          </cell>
          <cell r="B109">
            <v>2773</v>
          </cell>
          <cell r="C109">
            <v>27.6146222</v>
          </cell>
          <cell r="D109">
            <v>0</v>
          </cell>
          <cell r="E109">
            <v>27.6146222</v>
          </cell>
          <cell r="F109" t="str">
            <v>自制</v>
          </cell>
          <cell r="G109" t="str">
            <v>飞度1.3前排</v>
          </cell>
          <cell r="H109">
            <v>38</v>
          </cell>
          <cell r="I109">
            <v>36</v>
          </cell>
          <cell r="J109">
            <v>35</v>
          </cell>
          <cell r="K109">
            <v>34</v>
          </cell>
          <cell r="L109">
            <v>32</v>
          </cell>
          <cell r="M109">
            <v>31</v>
          </cell>
        </row>
        <row r="110">
          <cell r="A110" t="str">
            <v>DQ9017F1</v>
          </cell>
          <cell r="B110">
            <v>2750</v>
          </cell>
          <cell r="C110">
            <v>34.7364229597646</v>
          </cell>
          <cell r="D110">
            <v>0.664972359764607</v>
          </cell>
          <cell r="E110">
            <v>34.0714506</v>
          </cell>
          <cell r="F110" t="str">
            <v>自制</v>
          </cell>
          <cell r="G110" t="str">
            <v>沃尔沃S60</v>
          </cell>
          <cell r="H110">
            <v>47</v>
          </cell>
          <cell r="I110">
            <v>46</v>
          </cell>
          <cell r="J110">
            <v>44</v>
          </cell>
          <cell r="K110">
            <v>42</v>
          </cell>
          <cell r="L110">
            <v>40</v>
          </cell>
          <cell r="M110">
            <v>39</v>
          </cell>
        </row>
        <row r="111">
          <cell r="A111" t="str">
            <v>DQ910140</v>
          </cell>
          <cell r="B111">
            <v>2713</v>
          </cell>
          <cell r="C111">
            <v>20.21347752</v>
          </cell>
          <cell r="D111">
            <v>0</v>
          </cell>
          <cell r="E111">
            <v>20.21347752</v>
          </cell>
          <cell r="F111" t="str">
            <v>自制</v>
          </cell>
          <cell r="G111" t="str">
            <v>27301-04000</v>
          </cell>
          <cell r="H111">
            <v>28</v>
          </cell>
          <cell r="I111">
            <v>27</v>
          </cell>
          <cell r="J111">
            <v>26</v>
          </cell>
          <cell r="K111">
            <v>25</v>
          </cell>
          <cell r="L111">
            <v>24</v>
          </cell>
          <cell r="M111">
            <v>23</v>
          </cell>
        </row>
        <row r="112">
          <cell r="A112" t="str">
            <v>DQ9037C2</v>
          </cell>
          <cell r="B112">
            <v>2709</v>
          </cell>
          <cell r="C112">
            <v>31.7376843333333</v>
          </cell>
          <cell r="D112">
            <v>0</v>
          </cell>
          <cell r="E112">
            <v>31.7376843333333</v>
          </cell>
          <cell r="F112" t="str">
            <v>自制</v>
          </cell>
          <cell r="G112" t="str">
            <v>比亚迪476</v>
          </cell>
          <cell r="H112">
            <v>43</v>
          </cell>
          <cell r="I112">
            <v>42</v>
          </cell>
          <cell r="J112">
            <v>40</v>
          </cell>
          <cell r="K112">
            <v>39</v>
          </cell>
          <cell r="L112">
            <v>37</v>
          </cell>
          <cell r="M112">
            <v>35</v>
          </cell>
        </row>
        <row r="113">
          <cell r="A113" t="str">
            <v>DQ1212S</v>
          </cell>
          <cell r="B113">
            <v>2699</v>
          </cell>
          <cell r="C113">
            <v>32.5842319</v>
          </cell>
          <cell r="D113">
            <v>0</v>
          </cell>
          <cell r="E113">
            <v>32.5842319</v>
          </cell>
          <cell r="F113" t="str">
            <v>自制</v>
          </cell>
          <cell r="G113" t="str">
            <v>奇瑞477F发动机</v>
          </cell>
          <cell r="H113">
            <v>44</v>
          </cell>
          <cell r="I113">
            <v>43</v>
          </cell>
          <cell r="J113">
            <v>41</v>
          </cell>
          <cell r="K113">
            <v>40</v>
          </cell>
          <cell r="L113">
            <v>38</v>
          </cell>
          <cell r="M113">
            <v>36</v>
          </cell>
        </row>
        <row r="114">
          <cell r="A114" t="str">
            <v>DQ9036E1</v>
          </cell>
          <cell r="B114">
            <v>2681</v>
          </cell>
          <cell r="C114">
            <v>26.9629492</v>
          </cell>
          <cell r="D114">
            <v>0</v>
          </cell>
          <cell r="E114">
            <v>26.9629492</v>
          </cell>
          <cell r="F114" t="str">
            <v>自制</v>
          </cell>
          <cell r="G114" t="str">
            <v>克莱斯勒大捷龙</v>
          </cell>
          <cell r="H114">
            <v>37</v>
          </cell>
          <cell r="I114">
            <v>36</v>
          </cell>
          <cell r="J114">
            <v>34</v>
          </cell>
          <cell r="K114">
            <v>33</v>
          </cell>
          <cell r="L114">
            <v>32</v>
          </cell>
          <cell r="M114">
            <v>30</v>
          </cell>
        </row>
        <row r="115">
          <cell r="A115" t="str">
            <v>DQ9124A2</v>
          </cell>
          <cell r="B115">
            <v>2678</v>
          </cell>
          <cell r="C115">
            <v>22.4092697333333</v>
          </cell>
          <cell r="D115">
            <v>0</v>
          </cell>
          <cell r="E115">
            <v>22.4092697333333</v>
          </cell>
          <cell r="F115" t="str">
            <v>自制</v>
          </cell>
          <cell r="G115" t="str">
            <v>Jeep指南者 自由客 道奇 酷威 锋哲 铂锐2.0 2.4</v>
          </cell>
          <cell r="H115">
            <v>31</v>
          </cell>
          <cell r="I115">
            <v>30</v>
          </cell>
          <cell r="J115">
            <v>29</v>
          </cell>
          <cell r="K115">
            <v>27</v>
          </cell>
          <cell r="L115">
            <v>26</v>
          </cell>
          <cell r="M115">
            <v>25</v>
          </cell>
        </row>
        <row r="116">
          <cell r="A116" t="str">
            <v>DQ9119A</v>
          </cell>
          <cell r="B116">
            <v>2672</v>
          </cell>
          <cell r="C116">
            <v>32.0820144</v>
          </cell>
          <cell r="D116">
            <v>0</v>
          </cell>
          <cell r="E116">
            <v>32.0820144</v>
          </cell>
          <cell r="F116" t="str">
            <v>自制</v>
          </cell>
          <cell r="G116" t="str">
            <v>SPARK 1.2L/1.4L</v>
          </cell>
          <cell r="H116">
            <v>44</v>
          </cell>
          <cell r="I116">
            <v>42</v>
          </cell>
          <cell r="J116">
            <v>41</v>
          </cell>
          <cell r="K116">
            <v>39</v>
          </cell>
          <cell r="L116">
            <v>37</v>
          </cell>
          <cell r="M116">
            <v>36</v>
          </cell>
        </row>
        <row r="117">
          <cell r="A117" t="str">
            <v>DQ9103</v>
          </cell>
          <cell r="B117">
            <v>2660</v>
          </cell>
          <cell r="C117">
            <v>30.4177034</v>
          </cell>
          <cell r="D117">
            <v>0</v>
          </cell>
          <cell r="E117">
            <v>30.4177034</v>
          </cell>
          <cell r="F117" t="str">
            <v>自制</v>
          </cell>
          <cell r="G117" t="str">
            <v>帕萨特B5 铣胶面</v>
          </cell>
          <cell r="H117">
            <v>42</v>
          </cell>
          <cell r="I117">
            <v>40</v>
          </cell>
          <cell r="J117">
            <v>39</v>
          </cell>
          <cell r="K117">
            <v>37</v>
          </cell>
          <cell r="L117">
            <v>35</v>
          </cell>
          <cell r="M117">
            <v>34</v>
          </cell>
        </row>
        <row r="118">
          <cell r="A118" t="str">
            <v>DQ901811</v>
          </cell>
          <cell r="B118">
            <v>2643</v>
          </cell>
          <cell r="C118">
            <v>48.8708181818182</v>
          </cell>
          <cell r="D118">
            <v>0</v>
          </cell>
          <cell r="E118">
            <v>48.8708181818182</v>
          </cell>
          <cell r="F118" t="str">
            <v>调货</v>
          </cell>
          <cell r="G118" t="str">
            <v>丰田凯美瑞汉兰达2017-2018 3.5L</v>
          </cell>
          <cell r="H118">
            <v>59</v>
          </cell>
          <cell r="I118">
            <v>58</v>
          </cell>
          <cell r="J118">
            <v>57</v>
          </cell>
          <cell r="K118">
            <v>56</v>
          </cell>
          <cell r="L118">
            <v>55</v>
          </cell>
          <cell r="M118">
            <v>54</v>
          </cell>
        </row>
        <row r="119">
          <cell r="A119" t="str">
            <v>DQ9117C2</v>
          </cell>
          <cell r="B119">
            <v>2631</v>
          </cell>
          <cell r="C119">
            <v>40.15305</v>
          </cell>
          <cell r="D119">
            <v>0</v>
          </cell>
          <cell r="E119">
            <v>40.15305</v>
          </cell>
          <cell r="F119" t="str">
            <v>调货</v>
          </cell>
          <cell r="G119" t="str">
            <v>铃木奥拓2000-2002</v>
          </cell>
          <cell r="H119">
            <v>48</v>
          </cell>
          <cell r="I119">
            <v>47</v>
          </cell>
          <cell r="J119">
            <v>47</v>
          </cell>
          <cell r="K119">
            <v>46</v>
          </cell>
          <cell r="L119">
            <v>45</v>
          </cell>
          <cell r="M119">
            <v>45</v>
          </cell>
        </row>
        <row r="120">
          <cell r="A120" t="str">
            <v>DQ9210A2</v>
          </cell>
          <cell r="B120">
            <v>2624</v>
          </cell>
          <cell r="C120">
            <v>22.1603316</v>
          </cell>
          <cell r="D120">
            <v>0</v>
          </cell>
          <cell r="E120">
            <v>22.1603316</v>
          </cell>
          <cell r="F120" t="str">
            <v>自制</v>
          </cell>
          <cell r="G120" t="str">
            <v>长安欧尚</v>
          </cell>
          <cell r="H120">
            <v>30</v>
          </cell>
          <cell r="I120">
            <v>29</v>
          </cell>
          <cell r="J120">
            <v>28</v>
          </cell>
          <cell r="K120">
            <v>27</v>
          </cell>
          <cell r="L120">
            <v>26</v>
          </cell>
          <cell r="M120">
            <v>25</v>
          </cell>
        </row>
        <row r="121">
          <cell r="A121" t="str">
            <v>DQ9030A1</v>
          </cell>
          <cell r="B121">
            <v>2624</v>
          </cell>
          <cell r="C121">
            <v>36.05008</v>
          </cell>
          <cell r="D121">
            <v>0</v>
          </cell>
          <cell r="E121">
            <v>36.05008</v>
          </cell>
          <cell r="F121" t="str">
            <v>自制</v>
          </cell>
          <cell r="G121" t="str">
            <v>福特致胜2.0T</v>
          </cell>
          <cell r="H121">
            <v>49</v>
          </cell>
          <cell r="I121">
            <v>47</v>
          </cell>
          <cell r="J121">
            <v>46</v>
          </cell>
          <cell r="K121">
            <v>44</v>
          </cell>
          <cell r="L121">
            <v>42</v>
          </cell>
          <cell r="M121">
            <v>40</v>
          </cell>
        </row>
        <row r="122">
          <cell r="A122" t="str">
            <v>DQ9040B1</v>
          </cell>
          <cell r="B122">
            <v>2608</v>
          </cell>
          <cell r="C122">
            <v>27.2821035333333</v>
          </cell>
          <cell r="D122">
            <v>0</v>
          </cell>
          <cell r="E122">
            <v>27.2821035333333</v>
          </cell>
          <cell r="F122" t="str">
            <v>自制</v>
          </cell>
          <cell r="G122" t="str">
            <v>长安逸动 1.5T</v>
          </cell>
          <cell r="H122">
            <v>37</v>
          </cell>
          <cell r="I122">
            <v>36</v>
          </cell>
          <cell r="J122">
            <v>35</v>
          </cell>
          <cell r="K122">
            <v>33</v>
          </cell>
          <cell r="L122">
            <v>32</v>
          </cell>
          <cell r="M122">
            <v>31</v>
          </cell>
        </row>
        <row r="123">
          <cell r="A123" t="str">
            <v>DQ9034A1</v>
          </cell>
          <cell r="B123">
            <v>2599</v>
          </cell>
          <cell r="C123">
            <v>33.84675</v>
          </cell>
          <cell r="D123">
            <v>0</v>
          </cell>
          <cell r="E123">
            <v>33.84675</v>
          </cell>
          <cell r="F123" t="str">
            <v>调货</v>
          </cell>
          <cell r="G123" t="str">
            <v>纳智捷2.0T（直杆）</v>
          </cell>
          <cell r="H123">
            <v>41</v>
          </cell>
          <cell r="I123">
            <v>40</v>
          </cell>
          <cell r="J123">
            <v>39</v>
          </cell>
          <cell r="K123">
            <v>39</v>
          </cell>
          <cell r="L123">
            <v>38</v>
          </cell>
          <cell r="M123">
            <v>38</v>
          </cell>
        </row>
        <row r="124">
          <cell r="A124" t="str">
            <v>DQ9402E1</v>
          </cell>
          <cell r="B124">
            <v>2592</v>
          </cell>
          <cell r="C124">
            <v>107.427297066667</v>
          </cell>
          <cell r="D124">
            <v>0</v>
          </cell>
          <cell r="E124">
            <v>107.427297066667</v>
          </cell>
          <cell r="F124" t="str">
            <v>自制</v>
          </cell>
          <cell r="G124" t="str">
            <v>新款爱丽舍</v>
          </cell>
          <cell r="H124">
            <v>146</v>
          </cell>
          <cell r="I124">
            <v>140</v>
          </cell>
          <cell r="J124">
            <v>135</v>
          </cell>
          <cell r="K124">
            <v>129</v>
          </cell>
          <cell r="L124">
            <v>124</v>
          </cell>
          <cell r="M124">
            <v>119</v>
          </cell>
        </row>
        <row r="125">
          <cell r="A125" t="str">
            <v>DQ9113C</v>
          </cell>
          <cell r="B125">
            <v>2568</v>
          </cell>
          <cell r="C125">
            <v>30.9268452</v>
          </cell>
          <cell r="D125">
            <v>0</v>
          </cell>
          <cell r="E125">
            <v>30.9268452</v>
          </cell>
          <cell r="F125" t="str">
            <v>自制</v>
          </cell>
          <cell r="G125" t="str">
            <v>帕杰罗欧蓝德富利卡</v>
          </cell>
          <cell r="H125">
            <v>42</v>
          </cell>
          <cell r="I125">
            <v>41</v>
          </cell>
          <cell r="J125">
            <v>39</v>
          </cell>
          <cell r="K125">
            <v>38</v>
          </cell>
          <cell r="L125">
            <v>36</v>
          </cell>
          <cell r="M125">
            <v>35</v>
          </cell>
        </row>
        <row r="126">
          <cell r="A126" t="str">
            <v>DQ9005</v>
          </cell>
          <cell r="B126">
            <v>2535</v>
          </cell>
          <cell r="C126">
            <v>16.94141702</v>
          </cell>
          <cell r="D126">
            <v>0</v>
          </cell>
          <cell r="E126">
            <v>16.94141702</v>
          </cell>
          <cell r="F126" t="str">
            <v>自制</v>
          </cell>
          <cell r="G126" t="str">
            <v>小福特</v>
          </cell>
          <cell r="H126">
            <v>23</v>
          </cell>
          <cell r="I126">
            <v>23</v>
          </cell>
          <cell r="J126">
            <v>22</v>
          </cell>
          <cell r="K126">
            <v>21</v>
          </cell>
          <cell r="L126">
            <v>20</v>
          </cell>
          <cell r="M126">
            <v>19</v>
          </cell>
        </row>
        <row r="127">
          <cell r="A127" t="str">
            <v>DQ9101J1</v>
          </cell>
          <cell r="B127">
            <v>2535</v>
          </cell>
          <cell r="C127">
            <v>19.3414870833333</v>
          </cell>
          <cell r="D127">
            <v>0</v>
          </cell>
          <cell r="E127">
            <v>19.3414870833333</v>
          </cell>
          <cell r="F127" t="str">
            <v>自制</v>
          </cell>
          <cell r="G127" t="str">
            <v>雅绅特</v>
          </cell>
          <cell r="H127">
            <v>27</v>
          </cell>
          <cell r="I127">
            <v>26</v>
          </cell>
          <cell r="J127">
            <v>25</v>
          </cell>
          <cell r="K127">
            <v>24</v>
          </cell>
          <cell r="L127">
            <v>23</v>
          </cell>
          <cell r="M127">
            <v>22</v>
          </cell>
        </row>
        <row r="128">
          <cell r="A128" t="str">
            <v>DQ492</v>
          </cell>
          <cell r="B128">
            <v>2493</v>
          </cell>
          <cell r="C128">
            <v>69.6286358419704</v>
          </cell>
          <cell r="D128">
            <v>-2.14826749136287</v>
          </cell>
          <cell r="E128">
            <v>71.7769033333333</v>
          </cell>
          <cell r="F128" t="str">
            <v>自制</v>
          </cell>
          <cell r="G128" t="str">
            <v>捷达王</v>
          </cell>
          <cell r="H128">
            <v>94</v>
          </cell>
          <cell r="I128">
            <v>91</v>
          </cell>
          <cell r="J128">
            <v>88</v>
          </cell>
          <cell r="K128">
            <v>84</v>
          </cell>
          <cell r="L128">
            <v>81</v>
          </cell>
          <cell r="M128">
            <v>77</v>
          </cell>
        </row>
        <row r="129">
          <cell r="A129" t="str">
            <v>DQ9046A1</v>
          </cell>
          <cell r="B129">
            <v>2476</v>
          </cell>
          <cell r="C129">
            <v>23.0613592</v>
          </cell>
          <cell r="D129">
            <v>0</v>
          </cell>
          <cell r="E129">
            <v>23.0613592</v>
          </cell>
          <cell r="F129" t="str">
            <v>自制</v>
          </cell>
          <cell r="G129" t="str">
            <v>江淮瑞风M3 1.6L</v>
          </cell>
          <cell r="H129">
            <v>32</v>
          </cell>
          <cell r="I129">
            <v>30</v>
          </cell>
          <cell r="J129">
            <v>29</v>
          </cell>
          <cell r="K129">
            <v>28</v>
          </cell>
          <cell r="L129">
            <v>27</v>
          </cell>
          <cell r="M129">
            <v>26</v>
          </cell>
        </row>
        <row r="130">
          <cell r="A130" t="str">
            <v>DQ9107</v>
          </cell>
          <cell r="B130">
            <v>2462</v>
          </cell>
          <cell r="C130">
            <v>19.3075607333333</v>
          </cell>
          <cell r="D130">
            <v>0</v>
          </cell>
          <cell r="E130">
            <v>19.3075607333333</v>
          </cell>
          <cell r="F130" t="str">
            <v>自制</v>
          </cell>
          <cell r="G130" t="str">
            <v>一汽威志 威乐</v>
          </cell>
          <cell r="H130">
            <v>27</v>
          </cell>
          <cell r="I130">
            <v>26</v>
          </cell>
          <cell r="J130">
            <v>25</v>
          </cell>
          <cell r="K130">
            <v>24</v>
          </cell>
          <cell r="L130">
            <v>23</v>
          </cell>
          <cell r="M130">
            <v>22</v>
          </cell>
        </row>
        <row r="131">
          <cell r="A131" t="str">
            <v>DQ9114L</v>
          </cell>
          <cell r="B131">
            <v>2353</v>
          </cell>
          <cell r="C131">
            <v>31.8017168775689</v>
          </cell>
          <cell r="D131">
            <v>0.624160357568903</v>
          </cell>
          <cell r="E131">
            <v>31.17755652</v>
          </cell>
          <cell r="F131" t="str">
            <v>自制</v>
          </cell>
          <cell r="G131" t="str">
            <v>途锐联体短管</v>
          </cell>
          <cell r="H131">
            <v>43</v>
          </cell>
          <cell r="I131">
            <v>42</v>
          </cell>
          <cell r="J131">
            <v>40</v>
          </cell>
          <cell r="K131">
            <v>39</v>
          </cell>
          <cell r="L131">
            <v>37</v>
          </cell>
          <cell r="M131">
            <v>35</v>
          </cell>
        </row>
        <row r="132">
          <cell r="A132" t="str">
            <v>DQ901810</v>
          </cell>
          <cell r="B132">
            <v>2298</v>
          </cell>
          <cell r="C132">
            <v>49.1715</v>
          </cell>
          <cell r="D132">
            <v>0</v>
          </cell>
          <cell r="E132">
            <v>49.1715</v>
          </cell>
          <cell r="F132" t="str">
            <v>调货</v>
          </cell>
          <cell r="G132" t="str">
            <v>丰田2017-201818致炫</v>
          </cell>
          <cell r="H132">
            <v>59</v>
          </cell>
          <cell r="I132">
            <v>58</v>
          </cell>
          <cell r="J132">
            <v>57</v>
          </cell>
          <cell r="K132">
            <v>56</v>
          </cell>
          <cell r="L132">
            <v>56</v>
          </cell>
          <cell r="M132">
            <v>55</v>
          </cell>
        </row>
        <row r="133">
          <cell r="A133" t="str">
            <v>DQ9005J1</v>
          </cell>
          <cell r="B133">
            <v>2282</v>
          </cell>
          <cell r="C133">
            <v>31.7354906</v>
          </cell>
          <cell r="D133">
            <v>0</v>
          </cell>
          <cell r="E133">
            <v>31.7354906</v>
          </cell>
          <cell r="F133" t="str">
            <v>自制</v>
          </cell>
          <cell r="G133" t="str">
            <v>新蒙迪欧1.5T/新翼虎1.5T</v>
          </cell>
          <cell r="H133">
            <v>43</v>
          </cell>
          <cell r="I133">
            <v>42</v>
          </cell>
          <cell r="J133">
            <v>40</v>
          </cell>
          <cell r="K133">
            <v>39</v>
          </cell>
          <cell r="L133">
            <v>37</v>
          </cell>
          <cell r="M133">
            <v>35</v>
          </cell>
        </row>
        <row r="134">
          <cell r="A134" t="str">
            <v>DQ9036C2</v>
          </cell>
          <cell r="B134">
            <v>2251</v>
          </cell>
          <cell r="C134">
            <v>22.6562798</v>
          </cell>
          <cell r="D134">
            <v>0</v>
          </cell>
          <cell r="E134">
            <v>22.6562798</v>
          </cell>
          <cell r="F134" t="str">
            <v>自制</v>
          </cell>
          <cell r="G134" t="str">
            <v>jeep 自由光2.0L</v>
          </cell>
          <cell r="H134">
            <v>31</v>
          </cell>
          <cell r="I134">
            <v>30</v>
          </cell>
          <cell r="J134">
            <v>29</v>
          </cell>
          <cell r="K134">
            <v>28</v>
          </cell>
          <cell r="L134">
            <v>27</v>
          </cell>
          <cell r="M134">
            <v>25</v>
          </cell>
        </row>
        <row r="135">
          <cell r="A135" t="str">
            <v>DQ901876</v>
          </cell>
          <cell r="B135">
            <v>2237</v>
          </cell>
          <cell r="C135">
            <v>36.5526281853759</v>
          </cell>
          <cell r="D135">
            <v>2.41141118537593</v>
          </cell>
          <cell r="E135">
            <v>34.141217</v>
          </cell>
          <cell r="F135" t="str">
            <v>自制</v>
          </cell>
          <cell r="G135" t="str">
            <v>丰田凯美瑞2.0L</v>
          </cell>
          <cell r="H135">
            <v>50</v>
          </cell>
          <cell r="I135">
            <v>48</v>
          </cell>
          <cell r="J135">
            <v>46</v>
          </cell>
          <cell r="K135">
            <v>44</v>
          </cell>
          <cell r="L135">
            <v>43</v>
          </cell>
          <cell r="M135">
            <v>41</v>
          </cell>
        </row>
        <row r="136">
          <cell r="A136" t="str">
            <v>DQ9007C1</v>
          </cell>
          <cell r="B136">
            <v>2221</v>
          </cell>
          <cell r="C136">
            <v>32.7227754703323</v>
          </cell>
          <cell r="D136">
            <v>0.876750270332316</v>
          </cell>
          <cell r="E136">
            <v>31.8460252</v>
          </cell>
          <cell r="F136" t="str">
            <v>自制</v>
          </cell>
          <cell r="G136" t="str">
            <v>途胜1.6T</v>
          </cell>
          <cell r="H136">
            <v>45</v>
          </cell>
          <cell r="I136">
            <v>43</v>
          </cell>
          <cell r="J136">
            <v>41</v>
          </cell>
          <cell r="K136">
            <v>40</v>
          </cell>
          <cell r="L136">
            <v>38</v>
          </cell>
          <cell r="M136">
            <v>36</v>
          </cell>
        </row>
        <row r="137">
          <cell r="A137" t="str">
            <v>DQ9201A</v>
          </cell>
          <cell r="B137">
            <v>2198</v>
          </cell>
          <cell r="C137">
            <v>23.61513</v>
          </cell>
          <cell r="D137">
            <v>0</v>
          </cell>
          <cell r="E137">
            <v>23.61513</v>
          </cell>
          <cell r="F137" t="str">
            <v>自制</v>
          </cell>
          <cell r="G137" t="str">
            <v>474两插</v>
          </cell>
          <cell r="H137">
            <v>32</v>
          </cell>
          <cell r="I137">
            <v>31</v>
          </cell>
          <cell r="J137">
            <v>30</v>
          </cell>
          <cell r="K137">
            <v>29</v>
          </cell>
          <cell r="L137">
            <v>28</v>
          </cell>
          <cell r="M137">
            <v>26</v>
          </cell>
        </row>
        <row r="138">
          <cell r="A138" t="str">
            <v>DQ9158A1</v>
          </cell>
          <cell r="B138">
            <v>2172</v>
          </cell>
          <cell r="C138">
            <v>25.5062118</v>
          </cell>
          <cell r="D138">
            <v>0</v>
          </cell>
          <cell r="E138">
            <v>25.5062118</v>
          </cell>
          <cell r="F138" t="str">
            <v>自制</v>
          </cell>
          <cell r="G138" t="str">
            <v>道奇杜兰戈指挥官</v>
          </cell>
          <cell r="H138">
            <v>35</v>
          </cell>
          <cell r="I138">
            <v>34</v>
          </cell>
          <cell r="J138">
            <v>32</v>
          </cell>
          <cell r="K138">
            <v>31</v>
          </cell>
          <cell r="L138">
            <v>30</v>
          </cell>
          <cell r="M138">
            <v>29</v>
          </cell>
        </row>
        <row r="139">
          <cell r="A139" t="str">
            <v>DQ9040C2</v>
          </cell>
          <cell r="B139">
            <v>2147</v>
          </cell>
          <cell r="C139">
            <v>26.2441841933333</v>
          </cell>
          <cell r="D139">
            <v>0</v>
          </cell>
          <cell r="E139">
            <v>26.2441841933333</v>
          </cell>
          <cell r="F139" t="str">
            <v>自制</v>
          </cell>
          <cell r="G139" t="str">
            <v>众泰T300 1.5T</v>
          </cell>
          <cell r="H139">
            <v>36</v>
          </cell>
          <cell r="I139">
            <v>35</v>
          </cell>
          <cell r="J139">
            <v>33</v>
          </cell>
          <cell r="K139">
            <v>32</v>
          </cell>
          <cell r="L139">
            <v>31</v>
          </cell>
          <cell r="M139">
            <v>29</v>
          </cell>
        </row>
        <row r="140">
          <cell r="A140" t="str">
            <v>DQ9038A2</v>
          </cell>
          <cell r="B140">
            <v>2106</v>
          </cell>
          <cell r="C140">
            <v>24.49909</v>
          </cell>
          <cell r="D140">
            <v>0</v>
          </cell>
          <cell r="E140">
            <v>24.49909</v>
          </cell>
          <cell r="F140" t="str">
            <v>自制</v>
          </cell>
          <cell r="G140" t="str">
            <v>别克 英朗 GT 1.5L</v>
          </cell>
          <cell r="H140">
            <v>34</v>
          </cell>
          <cell r="I140">
            <v>32</v>
          </cell>
          <cell r="J140">
            <v>31</v>
          </cell>
          <cell r="K140">
            <v>30</v>
          </cell>
          <cell r="L140">
            <v>29</v>
          </cell>
          <cell r="M140">
            <v>27</v>
          </cell>
        </row>
        <row r="141">
          <cell r="A141" t="str">
            <v>DQ9124A1</v>
          </cell>
          <cell r="B141">
            <v>2090</v>
          </cell>
          <cell r="C141">
            <v>22.5412697333333</v>
          </cell>
          <cell r="D141">
            <v>0</v>
          </cell>
          <cell r="E141">
            <v>22.5412697333333</v>
          </cell>
          <cell r="F141" t="str">
            <v>自制</v>
          </cell>
          <cell r="G141" t="str">
            <v>道奇酷博 锋哲 300C 酷威 铂锐2.0 2.4 2.7</v>
          </cell>
          <cell r="H141">
            <v>31</v>
          </cell>
          <cell r="I141">
            <v>30</v>
          </cell>
          <cell r="J141">
            <v>29</v>
          </cell>
          <cell r="K141">
            <v>28</v>
          </cell>
          <cell r="L141">
            <v>26</v>
          </cell>
          <cell r="M141">
            <v>25</v>
          </cell>
        </row>
        <row r="142">
          <cell r="A142" t="str">
            <v>DQ9207</v>
          </cell>
          <cell r="B142">
            <v>2081</v>
          </cell>
          <cell r="C142">
            <v>23.78123</v>
          </cell>
          <cell r="D142">
            <v>0</v>
          </cell>
          <cell r="E142">
            <v>23.78123</v>
          </cell>
          <cell r="F142" t="str">
            <v>自制</v>
          </cell>
          <cell r="G142" t="str">
            <v>江淮瑞风两插</v>
          </cell>
          <cell r="H142">
            <v>33</v>
          </cell>
          <cell r="I142">
            <v>31</v>
          </cell>
          <cell r="J142">
            <v>30</v>
          </cell>
          <cell r="K142">
            <v>29</v>
          </cell>
          <cell r="L142">
            <v>28</v>
          </cell>
          <cell r="M142">
            <v>27</v>
          </cell>
        </row>
        <row r="143">
          <cell r="A143" t="str">
            <v>DQ9117D1</v>
          </cell>
          <cell r="B143">
            <v>2075</v>
          </cell>
          <cell r="C143">
            <v>29.2779383333333</v>
          </cell>
          <cell r="D143">
            <v>0</v>
          </cell>
          <cell r="E143">
            <v>29.2779383333333</v>
          </cell>
          <cell r="F143" t="str">
            <v>自制</v>
          </cell>
          <cell r="G143" t="str">
            <v>铃木奥拓5 2009-2016款</v>
          </cell>
          <cell r="H143">
            <v>40</v>
          </cell>
          <cell r="I143">
            <v>39</v>
          </cell>
          <cell r="J143">
            <v>37</v>
          </cell>
          <cell r="K143">
            <v>36</v>
          </cell>
          <cell r="L143">
            <v>34</v>
          </cell>
          <cell r="M143">
            <v>33</v>
          </cell>
        </row>
        <row r="144">
          <cell r="A144" t="str">
            <v>DQ9202A</v>
          </cell>
          <cell r="B144">
            <v>2043</v>
          </cell>
          <cell r="C144">
            <v>32.26366</v>
          </cell>
          <cell r="D144">
            <v>0</v>
          </cell>
          <cell r="E144">
            <v>32.26366</v>
          </cell>
          <cell r="F144" t="str">
            <v>自制</v>
          </cell>
          <cell r="G144" t="str">
            <v>三菱铃木</v>
          </cell>
          <cell r="H144">
            <v>44</v>
          </cell>
          <cell r="I144">
            <v>42</v>
          </cell>
          <cell r="J144">
            <v>41</v>
          </cell>
          <cell r="K144">
            <v>39</v>
          </cell>
          <cell r="L144">
            <v>38</v>
          </cell>
          <cell r="M144">
            <v>36</v>
          </cell>
        </row>
        <row r="145">
          <cell r="A145" t="str">
            <v>DQ910837</v>
          </cell>
          <cell r="B145">
            <v>2024</v>
          </cell>
          <cell r="C145">
            <v>26.88538932</v>
          </cell>
          <cell r="D145">
            <v>0</v>
          </cell>
          <cell r="E145">
            <v>26.88538932</v>
          </cell>
          <cell r="F145" t="str">
            <v>自制</v>
          </cell>
          <cell r="G145" t="str">
            <v>丰田02237</v>
          </cell>
          <cell r="H145">
            <v>37</v>
          </cell>
          <cell r="I145">
            <v>35</v>
          </cell>
          <cell r="J145">
            <v>34</v>
          </cell>
          <cell r="K145">
            <v>33</v>
          </cell>
          <cell r="L145">
            <v>31</v>
          </cell>
          <cell r="M145">
            <v>30</v>
          </cell>
        </row>
        <row r="146">
          <cell r="A146" t="str">
            <v>DQ9021G1</v>
          </cell>
          <cell r="B146">
            <v>2023</v>
          </cell>
          <cell r="C146">
            <v>22.3711972</v>
          </cell>
          <cell r="D146">
            <v>0</v>
          </cell>
          <cell r="E146">
            <v>22.3711972</v>
          </cell>
          <cell r="F146" t="str">
            <v>自制</v>
          </cell>
          <cell r="G146" t="str">
            <v>SM3  1.6</v>
          </cell>
          <cell r="H146">
            <v>31</v>
          </cell>
          <cell r="I146">
            <v>30</v>
          </cell>
          <cell r="J146">
            <v>28</v>
          </cell>
          <cell r="K146">
            <v>27</v>
          </cell>
          <cell r="L146">
            <v>26</v>
          </cell>
          <cell r="M146">
            <v>25</v>
          </cell>
        </row>
        <row r="147">
          <cell r="A147" t="str">
            <v>DQ9040A1</v>
          </cell>
          <cell r="B147">
            <v>2000</v>
          </cell>
          <cell r="C147">
            <v>24.6463132</v>
          </cell>
          <cell r="D147">
            <v>0</v>
          </cell>
          <cell r="E147">
            <v>24.6463132</v>
          </cell>
          <cell r="F147" t="str">
            <v>自制</v>
          </cell>
          <cell r="G147" t="str">
            <v>长安CS75 15年款</v>
          </cell>
          <cell r="H147">
            <v>34</v>
          </cell>
          <cell r="I147">
            <v>33</v>
          </cell>
          <cell r="J147">
            <v>31</v>
          </cell>
          <cell r="K147">
            <v>30</v>
          </cell>
          <cell r="L147">
            <v>29</v>
          </cell>
          <cell r="M147">
            <v>28</v>
          </cell>
        </row>
        <row r="148">
          <cell r="A148" t="str">
            <v>DQ9048A1</v>
          </cell>
          <cell r="B148">
            <v>1980</v>
          </cell>
          <cell r="C148">
            <v>23.6012032</v>
          </cell>
          <cell r="D148">
            <v>0</v>
          </cell>
          <cell r="E148">
            <v>23.6012032</v>
          </cell>
          <cell r="F148" t="str">
            <v>自制</v>
          </cell>
          <cell r="G148" t="str">
            <v>观致 观致3 1.6T、斯威 X3 1.5T</v>
          </cell>
          <cell r="H148">
            <v>32</v>
          </cell>
          <cell r="I148">
            <v>31</v>
          </cell>
          <cell r="J148">
            <v>30</v>
          </cell>
          <cell r="K148">
            <v>29</v>
          </cell>
          <cell r="L148">
            <v>28</v>
          </cell>
          <cell r="M148">
            <v>26</v>
          </cell>
        </row>
        <row r="149">
          <cell r="A149" t="str">
            <v>DQ9007E1</v>
          </cell>
          <cell r="B149">
            <v>1975</v>
          </cell>
          <cell r="C149">
            <v>35.4827726</v>
          </cell>
          <cell r="D149">
            <v>0</v>
          </cell>
          <cell r="E149">
            <v>35.4827726</v>
          </cell>
          <cell r="F149" t="str">
            <v>自制</v>
          </cell>
          <cell r="G149" t="str">
            <v>现代领动1.4T</v>
          </cell>
          <cell r="H149">
            <v>48</v>
          </cell>
          <cell r="I149">
            <v>47</v>
          </cell>
          <cell r="J149">
            <v>45</v>
          </cell>
          <cell r="K149">
            <v>43</v>
          </cell>
          <cell r="L149">
            <v>41</v>
          </cell>
          <cell r="M149">
            <v>40</v>
          </cell>
        </row>
        <row r="150">
          <cell r="A150" t="str">
            <v>DQ9219B3</v>
          </cell>
          <cell r="B150">
            <v>1944</v>
          </cell>
          <cell r="C150">
            <v>23.9400729733333</v>
          </cell>
          <cell r="D150">
            <v>0</v>
          </cell>
          <cell r="E150">
            <v>23.9400729733333</v>
          </cell>
          <cell r="F150" t="str">
            <v>自制</v>
          </cell>
          <cell r="G150" t="str">
            <v>吉利帝豪</v>
          </cell>
          <cell r="H150">
            <v>33</v>
          </cell>
          <cell r="I150">
            <v>32</v>
          </cell>
          <cell r="J150">
            <v>30</v>
          </cell>
          <cell r="K150">
            <v>29</v>
          </cell>
          <cell r="L150">
            <v>28</v>
          </cell>
          <cell r="M150">
            <v>27</v>
          </cell>
        </row>
        <row r="151">
          <cell r="A151" t="str">
            <v>DQ9206</v>
          </cell>
          <cell r="B151">
            <v>1937</v>
          </cell>
          <cell r="C151">
            <v>32.36783</v>
          </cell>
          <cell r="D151">
            <v>0</v>
          </cell>
          <cell r="E151">
            <v>32.36783</v>
          </cell>
          <cell r="F151" t="str">
            <v>自制</v>
          </cell>
          <cell r="G151" t="str">
            <v>东方之子</v>
          </cell>
          <cell r="H151">
            <v>44</v>
          </cell>
          <cell r="I151">
            <v>43</v>
          </cell>
          <cell r="J151">
            <v>41</v>
          </cell>
          <cell r="K151">
            <v>39</v>
          </cell>
          <cell r="L151">
            <v>38</v>
          </cell>
          <cell r="M151">
            <v>36</v>
          </cell>
        </row>
        <row r="152">
          <cell r="A152" t="str">
            <v>DQ9033C1</v>
          </cell>
          <cell r="B152">
            <v>1928</v>
          </cell>
          <cell r="C152">
            <v>30.2232317166667</v>
          </cell>
          <cell r="D152">
            <v>0</v>
          </cell>
          <cell r="E152">
            <v>30.2232317166667</v>
          </cell>
          <cell r="F152" t="str">
            <v>自制</v>
          </cell>
          <cell r="G152" t="str">
            <v>宝腾 至尊S</v>
          </cell>
          <cell r="H152">
            <v>41</v>
          </cell>
          <cell r="I152">
            <v>40</v>
          </cell>
          <cell r="J152">
            <v>38</v>
          </cell>
          <cell r="K152">
            <v>37</v>
          </cell>
          <cell r="L152">
            <v>35</v>
          </cell>
          <cell r="M152">
            <v>34</v>
          </cell>
        </row>
        <row r="153">
          <cell r="A153" t="str">
            <v>DQ9122A1</v>
          </cell>
          <cell r="B153">
            <v>1925</v>
          </cell>
          <cell r="C153">
            <v>47.4717933333333</v>
          </cell>
          <cell r="D153">
            <v>0</v>
          </cell>
          <cell r="E153">
            <v>47.4717933333333</v>
          </cell>
          <cell r="F153" t="str">
            <v>自制</v>
          </cell>
          <cell r="G153" t="str">
            <v>悍马</v>
          </cell>
          <cell r="H153">
            <v>65</v>
          </cell>
          <cell r="I153">
            <v>62</v>
          </cell>
          <cell r="J153">
            <v>60</v>
          </cell>
          <cell r="K153">
            <v>57</v>
          </cell>
          <cell r="L153">
            <v>55</v>
          </cell>
          <cell r="M153">
            <v>53</v>
          </cell>
        </row>
        <row r="154">
          <cell r="A154" t="str">
            <v>DQ9406</v>
          </cell>
          <cell r="B154">
            <v>1922</v>
          </cell>
          <cell r="C154">
            <v>81.9525</v>
          </cell>
          <cell r="D154">
            <v>0</v>
          </cell>
          <cell r="E154">
            <v>81.9525</v>
          </cell>
          <cell r="F154" t="str">
            <v>调货</v>
          </cell>
          <cell r="G154" t="str">
            <v>科鲁兹160</v>
          </cell>
          <cell r="H154">
            <v>98</v>
          </cell>
          <cell r="I154">
            <v>96</v>
          </cell>
          <cell r="J154">
            <v>95</v>
          </cell>
          <cell r="K154">
            <v>93</v>
          </cell>
          <cell r="L154">
            <v>92</v>
          </cell>
          <cell r="M154">
            <v>91</v>
          </cell>
        </row>
        <row r="155">
          <cell r="A155" t="str">
            <v>DQ9031B1</v>
          </cell>
          <cell r="B155">
            <v>1896</v>
          </cell>
          <cell r="C155">
            <v>24.8033926666667</v>
          </cell>
          <cell r="D155">
            <v>0</v>
          </cell>
          <cell r="E155">
            <v>24.8033926666667</v>
          </cell>
          <cell r="F155" t="str">
            <v>自制</v>
          </cell>
          <cell r="G155" t="str">
            <v>名爵 ZS 1.5L</v>
          </cell>
          <cell r="H155">
            <v>34</v>
          </cell>
          <cell r="I155">
            <v>33</v>
          </cell>
          <cell r="J155">
            <v>32</v>
          </cell>
          <cell r="K155">
            <v>30</v>
          </cell>
          <cell r="L155">
            <v>29</v>
          </cell>
          <cell r="M155">
            <v>28</v>
          </cell>
        </row>
        <row r="156">
          <cell r="A156" t="str">
            <v>DQ9017C1</v>
          </cell>
          <cell r="B156">
            <v>1880</v>
          </cell>
          <cell r="C156">
            <v>34.7434593975575</v>
          </cell>
          <cell r="D156">
            <v>0.501067744224233</v>
          </cell>
          <cell r="E156">
            <v>34.2423916533333</v>
          </cell>
          <cell r="F156" t="str">
            <v>自制</v>
          </cell>
          <cell r="G156" t="str">
            <v>沃尔沃</v>
          </cell>
          <cell r="H156">
            <v>47</v>
          </cell>
          <cell r="I156">
            <v>46</v>
          </cell>
          <cell r="J156">
            <v>44</v>
          </cell>
          <cell r="K156">
            <v>42</v>
          </cell>
          <cell r="L156">
            <v>40</v>
          </cell>
          <cell r="M156">
            <v>39</v>
          </cell>
        </row>
        <row r="157">
          <cell r="A157" t="str">
            <v>DQ9219A7</v>
          </cell>
          <cell r="B157">
            <v>1850</v>
          </cell>
          <cell r="C157">
            <v>21.0042085</v>
          </cell>
          <cell r="D157">
            <v>0</v>
          </cell>
          <cell r="E157">
            <v>21.0042085</v>
          </cell>
          <cell r="F157" t="str">
            <v>自制</v>
          </cell>
          <cell r="G157" t="str">
            <v>博瑞1.8T</v>
          </cell>
          <cell r="H157">
            <v>29</v>
          </cell>
          <cell r="I157">
            <v>28</v>
          </cell>
          <cell r="J157">
            <v>27</v>
          </cell>
          <cell r="K157">
            <v>26</v>
          </cell>
          <cell r="L157">
            <v>25</v>
          </cell>
          <cell r="M157">
            <v>24</v>
          </cell>
        </row>
        <row r="158">
          <cell r="A158" t="str">
            <v>DQ9004</v>
          </cell>
          <cell r="B158">
            <v>1784</v>
          </cell>
          <cell r="C158">
            <v>28.83375</v>
          </cell>
          <cell r="D158">
            <v>0</v>
          </cell>
          <cell r="E158">
            <v>28.83375</v>
          </cell>
          <cell r="F158" t="str">
            <v>自制</v>
          </cell>
          <cell r="G158" t="str">
            <v>风度 A32长杆</v>
          </cell>
          <cell r="H158">
            <v>39</v>
          </cell>
          <cell r="I158">
            <v>38</v>
          </cell>
          <cell r="J158">
            <v>37</v>
          </cell>
          <cell r="K158">
            <v>35</v>
          </cell>
          <cell r="L158">
            <v>34</v>
          </cell>
          <cell r="M158">
            <v>32</v>
          </cell>
        </row>
        <row r="159">
          <cell r="A159" t="str">
            <v>DQ9004C</v>
          </cell>
          <cell r="B159">
            <v>1758</v>
          </cell>
          <cell r="C159">
            <v>28.358715</v>
          </cell>
          <cell r="D159">
            <v>0</v>
          </cell>
          <cell r="E159">
            <v>28.358715</v>
          </cell>
          <cell r="F159" t="str">
            <v>自制</v>
          </cell>
          <cell r="G159" t="str">
            <v>风雅A32短杆</v>
          </cell>
          <cell r="H159">
            <v>39</v>
          </cell>
          <cell r="I159">
            <v>37</v>
          </cell>
          <cell r="J159">
            <v>36</v>
          </cell>
          <cell r="K159">
            <v>35</v>
          </cell>
          <cell r="L159">
            <v>33</v>
          </cell>
          <cell r="M159">
            <v>32</v>
          </cell>
        </row>
        <row r="160">
          <cell r="A160" t="str">
            <v>DQ9219A3</v>
          </cell>
          <cell r="B160">
            <v>1753</v>
          </cell>
          <cell r="C160">
            <v>21.4772085</v>
          </cell>
          <cell r="D160">
            <v>0</v>
          </cell>
          <cell r="E160">
            <v>21.4772085</v>
          </cell>
          <cell r="F160" t="str">
            <v>自制</v>
          </cell>
          <cell r="G160" t="str">
            <v>吉利帝豪1.3T</v>
          </cell>
          <cell r="H160">
            <v>29</v>
          </cell>
          <cell r="I160">
            <v>28</v>
          </cell>
          <cell r="J160">
            <v>27</v>
          </cell>
          <cell r="K160">
            <v>26</v>
          </cell>
          <cell r="L160">
            <v>25</v>
          </cell>
          <cell r="M160">
            <v>24</v>
          </cell>
        </row>
        <row r="161">
          <cell r="A161" t="str">
            <v>DQ901877</v>
          </cell>
          <cell r="B161">
            <v>1750</v>
          </cell>
          <cell r="C161">
            <v>36.424089286929</v>
          </cell>
          <cell r="D161">
            <v>1.69564608692902</v>
          </cell>
          <cell r="E161">
            <v>34.7284432</v>
          </cell>
          <cell r="F161" t="str">
            <v>自制</v>
          </cell>
          <cell r="G161" t="str">
            <v>雷凌1.5L</v>
          </cell>
          <cell r="H161">
            <v>50</v>
          </cell>
          <cell r="I161">
            <v>48</v>
          </cell>
          <cell r="J161">
            <v>46</v>
          </cell>
          <cell r="K161">
            <v>44</v>
          </cell>
          <cell r="L161">
            <v>42</v>
          </cell>
          <cell r="M161">
            <v>41</v>
          </cell>
        </row>
        <row r="162">
          <cell r="A162" t="str">
            <v>DQ1212W</v>
          </cell>
          <cell r="B162">
            <v>1743</v>
          </cell>
          <cell r="C162">
            <v>31.9737319</v>
          </cell>
          <cell r="D162">
            <v>0</v>
          </cell>
          <cell r="E162">
            <v>31.9737319</v>
          </cell>
          <cell r="F162" t="str">
            <v>自制</v>
          </cell>
          <cell r="G162" t="str">
            <v>五菱之光B12</v>
          </cell>
          <cell r="H162">
            <v>44</v>
          </cell>
          <cell r="I162">
            <v>42</v>
          </cell>
          <cell r="J162">
            <v>40</v>
          </cell>
          <cell r="K162">
            <v>39</v>
          </cell>
          <cell r="L162">
            <v>37</v>
          </cell>
          <cell r="M162">
            <v>36</v>
          </cell>
        </row>
        <row r="163">
          <cell r="A163" t="str">
            <v>DQ9210A3</v>
          </cell>
          <cell r="B163">
            <v>1711</v>
          </cell>
          <cell r="C163">
            <v>23.6948316</v>
          </cell>
          <cell r="D163">
            <v>0</v>
          </cell>
          <cell r="E163">
            <v>23.6948316</v>
          </cell>
          <cell r="F163" t="str">
            <v>自制</v>
          </cell>
          <cell r="G163" t="str">
            <v>长安睿行1.5L</v>
          </cell>
          <cell r="H163">
            <v>32</v>
          </cell>
          <cell r="I163">
            <v>31</v>
          </cell>
          <cell r="J163">
            <v>30</v>
          </cell>
          <cell r="K163">
            <v>29</v>
          </cell>
          <cell r="L163">
            <v>28</v>
          </cell>
          <cell r="M163">
            <v>27</v>
          </cell>
        </row>
        <row r="164">
          <cell r="A164" t="str">
            <v>DQ9002F1</v>
          </cell>
          <cell r="B164">
            <v>1698</v>
          </cell>
          <cell r="C164">
            <v>32.108868</v>
          </cell>
          <cell r="D164">
            <v>0</v>
          </cell>
          <cell r="E164">
            <v>32.108868</v>
          </cell>
          <cell r="F164" t="str">
            <v>自制</v>
          </cell>
          <cell r="G164" t="str">
            <v>马自达CX-5 三针</v>
          </cell>
          <cell r="H164">
            <v>44</v>
          </cell>
          <cell r="I164">
            <v>42</v>
          </cell>
          <cell r="J164">
            <v>41</v>
          </cell>
          <cell r="K164">
            <v>39</v>
          </cell>
          <cell r="L164">
            <v>37</v>
          </cell>
          <cell r="M164">
            <v>36</v>
          </cell>
        </row>
        <row r="165">
          <cell r="A165" t="str">
            <v>DQ9035A3</v>
          </cell>
          <cell r="B165">
            <v>1687</v>
          </cell>
          <cell r="C165">
            <v>33.0557989333333</v>
          </cell>
          <cell r="D165">
            <v>0</v>
          </cell>
          <cell r="E165">
            <v>33.0557989333333</v>
          </cell>
          <cell r="F165" t="str">
            <v>自制</v>
          </cell>
          <cell r="G165" t="str">
            <v>长城魏 VV7 VV8</v>
          </cell>
          <cell r="H165">
            <v>45</v>
          </cell>
          <cell r="I165">
            <v>43</v>
          </cell>
          <cell r="J165">
            <v>42</v>
          </cell>
          <cell r="K165">
            <v>40</v>
          </cell>
          <cell r="L165">
            <v>39</v>
          </cell>
          <cell r="M165">
            <v>37</v>
          </cell>
        </row>
        <row r="166">
          <cell r="A166" t="str">
            <v>DQ9117C1</v>
          </cell>
          <cell r="B166">
            <v>1674</v>
          </cell>
          <cell r="C166">
            <v>40.7043</v>
          </cell>
          <cell r="D166">
            <v>0</v>
          </cell>
          <cell r="E166">
            <v>40.7043</v>
          </cell>
          <cell r="F166" t="str">
            <v>调货</v>
          </cell>
          <cell r="G166" t="str">
            <v>铃木启悦1.6L</v>
          </cell>
          <cell r="H166">
            <v>49</v>
          </cell>
          <cell r="I166">
            <v>48</v>
          </cell>
          <cell r="J166">
            <v>47</v>
          </cell>
          <cell r="K166">
            <v>46</v>
          </cell>
          <cell r="L166">
            <v>46</v>
          </cell>
          <cell r="M166">
            <v>45</v>
          </cell>
        </row>
        <row r="167">
          <cell r="A167" t="str">
            <v>DQ9019Q1</v>
          </cell>
          <cell r="B167">
            <v>1672</v>
          </cell>
          <cell r="C167">
            <v>27.4003433</v>
          </cell>
          <cell r="D167">
            <v>0</v>
          </cell>
          <cell r="E167">
            <v>27.4003433</v>
          </cell>
          <cell r="F167" t="str">
            <v>自制</v>
          </cell>
          <cell r="G167" t="str">
            <v>长城哈弗H9</v>
          </cell>
          <cell r="H167">
            <v>37</v>
          </cell>
          <cell r="I167">
            <v>36</v>
          </cell>
          <cell r="J167">
            <v>35</v>
          </cell>
          <cell r="K167">
            <v>33</v>
          </cell>
          <cell r="L167">
            <v>32</v>
          </cell>
          <cell r="M167">
            <v>31</v>
          </cell>
        </row>
        <row r="168">
          <cell r="A168" t="str">
            <v>DQ921812</v>
          </cell>
          <cell r="B168">
            <v>1648</v>
          </cell>
          <cell r="C168">
            <v>27.1068655</v>
          </cell>
          <cell r="D168">
            <v>0</v>
          </cell>
          <cell r="E168">
            <v>27.1068655</v>
          </cell>
          <cell r="F168" t="str">
            <v>自制</v>
          </cell>
          <cell r="G168" t="str">
            <v>吉普3400</v>
          </cell>
          <cell r="H168">
            <v>37</v>
          </cell>
          <cell r="I168">
            <v>36</v>
          </cell>
          <cell r="J168">
            <v>34</v>
          </cell>
          <cell r="K168">
            <v>33</v>
          </cell>
          <cell r="L168">
            <v>32</v>
          </cell>
          <cell r="M168">
            <v>30</v>
          </cell>
        </row>
        <row r="169">
          <cell r="A169" t="str">
            <v>DQ9050A1</v>
          </cell>
          <cell r="B169">
            <v>1644</v>
          </cell>
          <cell r="C169">
            <v>36.4449722966719</v>
          </cell>
          <cell r="D169">
            <v>1.85925849667186</v>
          </cell>
          <cell r="E169">
            <v>34.5857138</v>
          </cell>
          <cell r="F169" t="str">
            <v>自制</v>
          </cell>
          <cell r="G169" t="str">
            <v>帕杰罗劲畅</v>
          </cell>
          <cell r="H169">
            <v>50</v>
          </cell>
          <cell r="I169">
            <v>48</v>
          </cell>
          <cell r="J169">
            <v>46</v>
          </cell>
          <cell r="K169">
            <v>44</v>
          </cell>
          <cell r="L169">
            <v>42</v>
          </cell>
          <cell r="M169">
            <v>41</v>
          </cell>
        </row>
        <row r="170">
          <cell r="A170" t="str">
            <v>DQ910807</v>
          </cell>
          <cell r="B170">
            <v>1641</v>
          </cell>
          <cell r="C170">
            <v>31.6290666502013</v>
          </cell>
          <cell r="D170">
            <v>1.7593754835346</v>
          </cell>
          <cell r="E170">
            <v>29.8696911666667</v>
          </cell>
          <cell r="F170" t="str">
            <v>自制</v>
          </cell>
          <cell r="G170" t="str">
            <v>威驰</v>
          </cell>
          <cell r="H170">
            <v>43</v>
          </cell>
          <cell r="I170">
            <v>42</v>
          </cell>
          <cell r="J170">
            <v>40</v>
          </cell>
          <cell r="K170">
            <v>38</v>
          </cell>
          <cell r="L170">
            <v>37</v>
          </cell>
          <cell r="M170">
            <v>35</v>
          </cell>
        </row>
        <row r="171">
          <cell r="A171" t="str">
            <v>DQ9004B</v>
          </cell>
          <cell r="B171">
            <v>1610</v>
          </cell>
          <cell r="C171">
            <v>32.9135048</v>
          </cell>
          <cell r="D171">
            <v>0</v>
          </cell>
          <cell r="E171">
            <v>32.9135048</v>
          </cell>
          <cell r="F171" t="str">
            <v>自制</v>
          </cell>
          <cell r="G171" t="str">
            <v>A33短杆</v>
          </cell>
          <cell r="H171">
            <v>45</v>
          </cell>
          <cell r="I171">
            <v>43</v>
          </cell>
          <cell r="J171">
            <v>42</v>
          </cell>
          <cell r="K171">
            <v>40</v>
          </cell>
          <cell r="L171">
            <v>38</v>
          </cell>
          <cell r="M171">
            <v>37</v>
          </cell>
        </row>
        <row r="172">
          <cell r="A172" t="str">
            <v>DQ9031C1</v>
          </cell>
          <cell r="B172">
            <v>1607</v>
          </cell>
          <cell r="C172">
            <v>32.640806</v>
          </cell>
          <cell r="D172">
            <v>0</v>
          </cell>
          <cell r="E172">
            <v>32.640806</v>
          </cell>
          <cell r="F172" t="str">
            <v>自制</v>
          </cell>
          <cell r="G172" t="str">
            <v>荣威I6 PLUS 1.6L,RX3 1.6l</v>
          </cell>
          <cell r="H172">
            <v>45</v>
          </cell>
          <cell r="I172">
            <v>43</v>
          </cell>
          <cell r="J172">
            <v>41</v>
          </cell>
          <cell r="K172">
            <v>40</v>
          </cell>
          <cell r="L172">
            <v>38</v>
          </cell>
          <cell r="M172">
            <v>36</v>
          </cell>
        </row>
        <row r="173">
          <cell r="A173" t="str">
            <v>DQ9039D1</v>
          </cell>
          <cell r="B173">
            <v>1596</v>
          </cell>
          <cell r="C173">
            <v>31.1987676</v>
          </cell>
          <cell r="D173">
            <v>0</v>
          </cell>
          <cell r="E173">
            <v>31.1987676</v>
          </cell>
          <cell r="F173" t="str">
            <v>自制</v>
          </cell>
          <cell r="G173" t="str">
            <v>宝骏730 第二代1.5T</v>
          </cell>
          <cell r="H173">
            <v>43</v>
          </cell>
          <cell r="I173">
            <v>41</v>
          </cell>
          <cell r="J173">
            <v>39</v>
          </cell>
          <cell r="K173">
            <v>38</v>
          </cell>
          <cell r="L173">
            <v>36</v>
          </cell>
          <cell r="M173">
            <v>35</v>
          </cell>
        </row>
        <row r="174">
          <cell r="A174" t="str">
            <v>DQ9110</v>
          </cell>
          <cell r="B174">
            <v>1550</v>
          </cell>
          <cell r="C174">
            <v>28.2068793333333</v>
          </cell>
          <cell r="D174">
            <v>0</v>
          </cell>
          <cell r="E174">
            <v>28.2068793333333</v>
          </cell>
          <cell r="F174" t="str">
            <v>自制</v>
          </cell>
          <cell r="G174" t="str">
            <v>宝马分体</v>
          </cell>
          <cell r="H174">
            <v>39</v>
          </cell>
          <cell r="I174">
            <v>37</v>
          </cell>
          <cell r="J174">
            <v>36</v>
          </cell>
          <cell r="K174">
            <v>34</v>
          </cell>
          <cell r="L174">
            <v>33</v>
          </cell>
          <cell r="M174">
            <v>32</v>
          </cell>
        </row>
        <row r="175">
          <cell r="A175" t="str">
            <v>DQ9210</v>
          </cell>
          <cell r="B175">
            <v>1519</v>
          </cell>
          <cell r="C175">
            <v>22.7543316</v>
          </cell>
          <cell r="D175">
            <v>0</v>
          </cell>
          <cell r="E175">
            <v>22.7543316</v>
          </cell>
          <cell r="F175" t="str">
            <v>自制</v>
          </cell>
          <cell r="G175" t="str">
            <v>瑞虎</v>
          </cell>
          <cell r="H175">
            <v>31</v>
          </cell>
          <cell r="I175">
            <v>30</v>
          </cell>
          <cell r="J175">
            <v>29</v>
          </cell>
          <cell r="K175">
            <v>28</v>
          </cell>
          <cell r="L175">
            <v>27</v>
          </cell>
          <cell r="M175">
            <v>26</v>
          </cell>
        </row>
        <row r="176">
          <cell r="A176" t="str">
            <v>DQ9037C4</v>
          </cell>
          <cell r="B176">
            <v>1507</v>
          </cell>
          <cell r="C176">
            <v>29.8827543333333</v>
          </cell>
          <cell r="D176">
            <v>0</v>
          </cell>
          <cell r="E176">
            <v>29.8827543333333</v>
          </cell>
          <cell r="F176" t="str">
            <v>自制</v>
          </cell>
          <cell r="G176" t="str">
            <v>广汽传祺GM61.5T</v>
          </cell>
          <cell r="H176">
            <v>41</v>
          </cell>
          <cell r="I176">
            <v>39</v>
          </cell>
          <cell r="J176">
            <v>38</v>
          </cell>
          <cell r="K176">
            <v>36</v>
          </cell>
          <cell r="L176">
            <v>35</v>
          </cell>
          <cell r="M176">
            <v>33</v>
          </cell>
        </row>
        <row r="177">
          <cell r="A177" t="str">
            <v>DQ9012A2</v>
          </cell>
          <cell r="B177">
            <v>1499</v>
          </cell>
          <cell r="C177">
            <v>40.53</v>
          </cell>
          <cell r="D177">
            <v>0</v>
          </cell>
          <cell r="E177">
            <v>40.53</v>
          </cell>
          <cell r="F177" t="str">
            <v>调货</v>
          </cell>
          <cell r="G177" t="str">
            <v>奔腾 B50 1.6L</v>
          </cell>
          <cell r="H177">
            <v>49</v>
          </cell>
          <cell r="I177">
            <v>48</v>
          </cell>
          <cell r="J177">
            <v>47</v>
          </cell>
          <cell r="K177">
            <v>46</v>
          </cell>
          <cell r="L177">
            <v>46</v>
          </cell>
          <cell r="M177">
            <v>45</v>
          </cell>
        </row>
        <row r="178">
          <cell r="A178" t="str">
            <v>DQ9213</v>
          </cell>
          <cell r="B178">
            <v>1487</v>
          </cell>
          <cell r="C178">
            <v>25.34079</v>
          </cell>
          <cell r="D178">
            <v>0</v>
          </cell>
          <cell r="E178">
            <v>25.34079</v>
          </cell>
          <cell r="F178" t="str">
            <v>自制</v>
          </cell>
          <cell r="G178" t="str">
            <v>长安之星二代CB10</v>
          </cell>
          <cell r="H178">
            <v>35</v>
          </cell>
          <cell r="I178">
            <v>33</v>
          </cell>
          <cell r="J178">
            <v>32</v>
          </cell>
          <cell r="K178">
            <v>31</v>
          </cell>
          <cell r="L178">
            <v>30</v>
          </cell>
          <cell r="M178">
            <v>28</v>
          </cell>
        </row>
        <row r="179">
          <cell r="A179" t="str">
            <v>DQ9005G1</v>
          </cell>
          <cell r="B179">
            <v>1469</v>
          </cell>
          <cell r="C179">
            <v>31.4934906</v>
          </cell>
          <cell r="D179">
            <v>0</v>
          </cell>
          <cell r="E179">
            <v>31.4934906</v>
          </cell>
          <cell r="F179" t="str">
            <v>自制</v>
          </cell>
          <cell r="G179" t="str">
            <v>福特 翼博 1.6T</v>
          </cell>
          <cell r="H179">
            <v>43</v>
          </cell>
          <cell r="I179">
            <v>41</v>
          </cell>
          <cell r="J179">
            <v>40</v>
          </cell>
          <cell r="K179">
            <v>38</v>
          </cell>
          <cell r="L179">
            <v>37</v>
          </cell>
          <cell r="M179">
            <v>35</v>
          </cell>
        </row>
        <row r="180">
          <cell r="A180" t="str">
            <v>DQ9109F1</v>
          </cell>
          <cell r="B180">
            <v>1464</v>
          </cell>
          <cell r="C180">
            <v>28.10832</v>
          </cell>
          <cell r="D180">
            <v>0</v>
          </cell>
          <cell r="E180">
            <v>28.10832</v>
          </cell>
          <cell r="F180" t="str">
            <v>自制</v>
          </cell>
          <cell r="G180" t="str">
            <v>本田 雅阁</v>
          </cell>
          <cell r="H180">
            <v>38</v>
          </cell>
          <cell r="I180">
            <v>37</v>
          </cell>
          <cell r="J180">
            <v>36</v>
          </cell>
          <cell r="K180">
            <v>34</v>
          </cell>
          <cell r="L180">
            <v>33</v>
          </cell>
          <cell r="M180">
            <v>31</v>
          </cell>
        </row>
        <row r="181">
          <cell r="A181" t="str">
            <v>DQ9003G5</v>
          </cell>
          <cell r="B181">
            <v>1462</v>
          </cell>
          <cell r="C181">
            <v>28.7031052</v>
          </cell>
          <cell r="D181">
            <v>0</v>
          </cell>
          <cell r="E181">
            <v>28.7031052</v>
          </cell>
          <cell r="F181" t="str">
            <v>自制</v>
          </cell>
          <cell r="G181" t="str">
            <v>日产尼桑</v>
          </cell>
          <cell r="H181">
            <v>39</v>
          </cell>
          <cell r="I181">
            <v>38</v>
          </cell>
          <cell r="J181">
            <v>36</v>
          </cell>
          <cell r="K181">
            <v>35</v>
          </cell>
          <cell r="L181">
            <v>34</v>
          </cell>
          <cell r="M181">
            <v>32</v>
          </cell>
        </row>
        <row r="182">
          <cell r="A182" t="str">
            <v>DQ9005D2</v>
          </cell>
          <cell r="B182">
            <v>1454</v>
          </cell>
          <cell r="C182">
            <v>17.07981902</v>
          </cell>
          <cell r="D182">
            <v>0</v>
          </cell>
          <cell r="E182">
            <v>17.07981902</v>
          </cell>
          <cell r="F182" t="str">
            <v>自制</v>
          </cell>
          <cell r="G182" t="str">
            <v>福特蒙迪欧</v>
          </cell>
          <cell r="H182">
            <v>24</v>
          </cell>
          <cell r="I182">
            <v>23</v>
          </cell>
          <cell r="J182">
            <v>22</v>
          </cell>
          <cell r="K182">
            <v>21</v>
          </cell>
          <cell r="L182">
            <v>20</v>
          </cell>
          <cell r="M182">
            <v>19</v>
          </cell>
        </row>
        <row r="183">
          <cell r="A183" t="str">
            <v>DQ9069A1</v>
          </cell>
          <cell r="B183">
            <v>1443</v>
          </cell>
          <cell r="C183">
            <v>44.7615</v>
          </cell>
          <cell r="D183">
            <v>0</v>
          </cell>
          <cell r="E183">
            <v>44.7615</v>
          </cell>
          <cell r="F183" t="str">
            <v>调货</v>
          </cell>
          <cell r="G183" t="str">
            <v>长安CS55 PLUS 1.5T</v>
          </cell>
          <cell r="H183">
            <v>54</v>
          </cell>
          <cell r="I183">
            <v>53</v>
          </cell>
          <cell r="J183">
            <v>52</v>
          </cell>
          <cell r="K183">
            <v>51</v>
          </cell>
          <cell r="L183">
            <v>51</v>
          </cell>
          <cell r="M183">
            <v>50</v>
          </cell>
        </row>
        <row r="184">
          <cell r="A184" t="str">
            <v>DQ9025G1</v>
          </cell>
          <cell r="B184">
            <v>1407</v>
          </cell>
          <cell r="C184">
            <v>68.2098053207412</v>
          </cell>
          <cell r="D184">
            <v>0.948490320741209</v>
          </cell>
          <cell r="E184">
            <v>67.261315</v>
          </cell>
          <cell r="F184" t="str">
            <v>自制</v>
          </cell>
          <cell r="G184" t="str">
            <v>奔驰GLA2001.6T</v>
          </cell>
          <cell r="H184">
            <v>93</v>
          </cell>
          <cell r="I184">
            <v>89</v>
          </cell>
          <cell r="J184">
            <v>86</v>
          </cell>
          <cell r="K184">
            <v>82</v>
          </cell>
          <cell r="L184">
            <v>79</v>
          </cell>
          <cell r="M184">
            <v>76</v>
          </cell>
        </row>
        <row r="185">
          <cell r="A185" t="str">
            <v>DQ9058A1</v>
          </cell>
          <cell r="B185">
            <v>1403</v>
          </cell>
          <cell r="C185">
            <v>40.3515</v>
          </cell>
          <cell r="D185">
            <v>0</v>
          </cell>
          <cell r="E185">
            <v>40.3515</v>
          </cell>
          <cell r="F185" t="str">
            <v>调货</v>
          </cell>
          <cell r="G185" t="str">
            <v>捷途 1.5T,瑞虎3、瑞虎7</v>
          </cell>
          <cell r="H185">
            <v>49</v>
          </cell>
          <cell r="I185">
            <v>48</v>
          </cell>
          <cell r="J185">
            <v>47</v>
          </cell>
          <cell r="K185">
            <v>46</v>
          </cell>
          <cell r="L185">
            <v>46</v>
          </cell>
          <cell r="M185">
            <v>45</v>
          </cell>
        </row>
        <row r="186">
          <cell r="A186" t="str">
            <v>DQ901869</v>
          </cell>
          <cell r="B186">
            <v>1388</v>
          </cell>
          <cell r="C186">
            <v>49.92542478</v>
          </cell>
          <cell r="D186">
            <v>1.85642478</v>
          </cell>
          <cell r="E186">
            <v>48.069</v>
          </cell>
          <cell r="F186" t="str">
            <v>调货</v>
          </cell>
          <cell r="G186" t="str">
            <v>丰田汉兰达2.0T</v>
          </cell>
          <cell r="H186">
            <v>60</v>
          </cell>
          <cell r="I186">
            <v>59</v>
          </cell>
          <cell r="J186">
            <v>58</v>
          </cell>
          <cell r="K186">
            <v>57</v>
          </cell>
          <cell r="L186">
            <v>56</v>
          </cell>
          <cell r="M186">
            <v>55</v>
          </cell>
        </row>
        <row r="187">
          <cell r="A187" t="str">
            <v>DQ9113B4</v>
          </cell>
          <cell r="B187">
            <v>1388</v>
          </cell>
          <cell r="C187">
            <v>31.6759452</v>
          </cell>
          <cell r="D187">
            <v>0</v>
          </cell>
          <cell r="E187">
            <v>31.6759452</v>
          </cell>
          <cell r="F187" t="str">
            <v>自制</v>
          </cell>
          <cell r="G187" t="str">
            <v>三菱 Pajero (帕杰罗) 3.0L  2011款</v>
          </cell>
          <cell r="H187">
            <v>43</v>
          </cell>
          <cell r="I187">
            <v>42</v>
          </cell>
          <cell r="J187">
            <v>40</v>
          </cell>
          <cell r="K187">
            <v>39</v>
          </cell>
          <cell r="L187">
            <v>37</v>
          </cell>
          <cell r="M187">
            <v>35</v>
          </cell>
        </row>
        <row r="188">
          <cell r="A188" t="str">
            <v>DQ9104C1</v>
          </cell>
          <cell r="B188">
            <v>1374</v>
          </cell>
          <cell r="C188">
            <v>22.2766756333333</v>
          </cell>
          <cell r="D188">
            <v>0</v>
          </cell>
          <cell r="E188">
            <v>22.2766756333333</v>
          </cell>
          <cell r="F188" t="str">
            <v>自制</v>
          </cell>
          <cell r="G188" t="str">
            <v>雷诺CLIO1.2</v>
          </cell>
          <cell r="H188">
            <v>31</v>
          </cell>
          <cell r="I188">
            <v>29</v>
          </cell>
          <cell r="J188">
            <v>28</v>
          </cell>
          <cell r="K188">
            <v>27</v>
          </cell>
          <cell r="L188">
            <v>26</v>
          </cell>
          <cell r="M188">
            <v>25</v>
          </cell>
        </row>
        <row r="189">
          <cell r="A189" t="str">
            <v>DQ9004A</v>
          </cell>
          <cell r="B189">
            <v>1364</v>
          </cell>
          <cell r="C189">
            <v>33.7641788</v>
          </cell>
          <cell r="D189">
            <v>0</v>
          </cell>
          <cell r="E189">
            <v>33.7641788</v>
          </cell>
          <cell r="F189" t="str">
            <v>自制</v>
          </cell>
          <cell r="G189" t="str">
            <v>风度A33</v>
          </cell>
          <cell r="H189">
            <v>46</v>
          </cell>
          <cell r="I189">
            <v>44</v>
          </cell>
          <cell r="J189">
            <v>43</v>
          </cell>
          <cell r="K189">
            <v>41</v>
          </cell>
          <cell r="L189">
            <v>39</v>
          </cell>
          <cell r="M189">
            <v>38</v>
          </cell>
        </row>
        <row r="190">
          <cell r="A190" t="str">
            <v>DQ910835</v>
          </cell>
          <cell r="B190">
            <v>1362</v>
          </cell>
          <cell r="C190">
            <v>29.767345252</v>
          </cell>
          <cell r="D190">
            <v>0</v>
          </cell>
          <cell r="E190">
            <v>29.767345252</v>
          </cell>
          <cell r="F190" t="str">
            <v>自制</v>
          </cell>
          <cell r="G190" t="str">
            <v>丰田02235</v>
          </cell>
          <cell r="H190">
            <v>41</v>
          </cell>
          <cell r="I190">
            <v>39</v>
          </cell>
          <cell r="J190">
            <v>38</v>
          </cell>
          <cell r="K190">
            <v>36</v>
          </cell>
          <cell r="L190">
            <v>35</v>
          </cell>
          <cell r="M190">
            <v>33</v>
          </cell>
        </row>
        <row r="191">
          <cell r="A191" t="str">
            <v>DQ6204</v>
          </cell>
          <cell r="B191">
            <v>1333</v>
          </cell>
          <cell r="C191">
            <v>28.3556628333333</v>
          </cell>
          <cell r="D191">
            <v>0</v>
          </cell>
          <cell r="E191">
            <v>28.3556628333333</v>
          </cell>
          <cell r="F191" t="str">
            <v>自制</v>
          </cell>
          <cell r="G191" t="str">
            <v>别克君威 GL8商务车</v>
          </cell>
          <cell r="H191">
            <v>39</v>
          </cell>
          <cell r="I191">
            <v>37</v>
          </cell>
          <cell r="J191">
            <v>36</v>
          </cell>
          <cell r="K191">
            <v>35</v>
          </cell>
          <cell r="L191">
            <v>33</v>
          </cell>
          <cell r="M191">
            <v>32</v>
          </cell>
        </row>
        <row r="192">
          <cell r="A192" t="str">
            <v>DQ9003B4</v>
          </cell>
          <cell r="B192">
            <v>1324</v>
          </cell>
          <cell r="C192">
            <v>29.046065884</v>
          </cell>
          <cell r="D192">
            <v>0</v>
          </cell>
          <cell r="E192">
            <v>29.046065884</v>
          </cell>
          <cell r="F192" t="str">
            <v>自制</v>
          </cell>
          <cell r="G192" t="str">
            <v>SM7</v>
          </cell>
          <cell r="H192">
            <v>40</v>
          </cell>
          <cell r="I192">
            <v>38</v>
          </cell>
          <cell r="J192">
            <v>37</v>
          </cell>
          <cell r="K192">
            <v>35</v>
          </cell>
          <cell r="L192">
            <v>34</v>
          </cell>
          <cell r="M192">
            <v>32</v>
          </cell>
        </row>
        <row r="193">
          <cell r="A193" t="str">
            <v>DQ9007F1</v>
          </cell>
          <cell r="B193">
            <v>1301</v>
          </cell>
          <cell r="C193">
            <v>34.231945</v>
          </cell>
          <cell r="D193">
            <v>0</v>
          </cell>
          <cell r="E193">
            <v>34.231945</v>
          </cell>
          <cell r="F193" t="str">
            <v>自制</v>
          </cell>
          <cell r="G193" t="str">
            <v>起亚K3 1.5L</v>
          </cell>
          <cell r="H193">
            <v>47</v>
          </cell>
          <cell r="I193">
            <v>45</v>
          </cell>
          <cell r="J193">
            <v>43</v>
          </cell>
          <cell r="K193">
            <v>42</v>
          </cell>
          <cell r="L193">
            <v>40</v>
          </cell>
          <cell r="M193">
            <v>38</v>
          </cell>
        </row>
        <row r="194">
          <cell r="A194" t="str">
            <v>DQ9039A1</v>
          </cell>
          <cell r="B194">
            <v>1275</v>
          </cell>
          <cell r="C194">
            <v>24.9597466666667</v>
          </cell>
          <cell r="D194">
            <v>0</v>
          </cell>
          <cell r="E194">
            <v>24.9597466666667</v>
          </cell>
          <cell r="F194" t="str">
            <v>自制</v>
          </cell>
          <cell r="G194" t="str">
            <v>五菱宏光 1.2L</v>
          </cell>
          <cell r="H194">
            <v>34</v>
          </cell>
          <cell r="I194">
            <v>33</v>
          </cell>
          <cell r="J194">
            <v>32</v>
          </cell>
          <cell r="K194">
            <v>30</v>
          </cell>
          <cell r="L194">
            <v>29</v>
          </cell>
          <cell r="M194">
            <v>28</v>
          </cell>
        </row>
        <row r="195">
          <cell r="A195" t="str">
            <v>DQ9130E2</v>
          </cell>
          <cell r="B195">
            <v>1256</v>
          </cell>
          <cell r="C195">
            <v>23.7397204</v>
          </cell>
          <cell r="D195">
            <v>0</v>
          </cell>
          <cell r="E195">
            <v>23.7397204</v>
          </cell>
          <cell r="F195" t="str">
            <v>自制</v>
          </cell>
          <cell r="G195" t="str">
            <v>福特F150</v>
          </cell>
          <cell r="H195">
            <v>33</v>
          </cell>
          <cell r="I195">
            <v>31</v>
          </cell>
          <cell r="J195">
            <v>30</v>
          </cell>
          <cell r="K195">
            <v>29</v>
          </cell>
          <cell r="L195">
            <v>28</v>
          </cell>
          <cell r="M195">
            <v>27</v>
          </cell>
        </row>
        <row r="196">
          <cell r="A196" t="str">
            <v>DQ9005E</v>
          </cell>
          <cell r="B196">
            <v>1244</v>
          </cell>
          <cell r="C196">
            <v>16.83383702</v>
          </cell>
          <cell r="D196">
            <v>0</v>
          </cell>
          <cell r="E196">
            <v>16.83383702</v>
          </cell>
          <cell r="F196" t="str">
            <v>自制</v>
          </cell>
          <cell r="G196" t="str">
            <v>福特翼虎</v>
          </cell>
          <cell r="H196">
            <v>23</v>
          </cell>
          <cell r="I196">
            <v>22</v>
          </cell>
          <cell r="J196">
            <v>22</v>
          </cell>
          <cell r="K196">
            <v>21</v>
          </cell>
          <cell r="L196">
            <v>20</v>
          </cell>
          <cell r="M196">
            <v>19</v>
          </cell>
        </row>
        <row r="197">
          <cell r="A197" t="str">
            <v>DQ9059A1</v>
          </cell>
          <cell r="B197">
            <v>1235</v>
          </cell>
          <cell r="C197">
            <v>24.8272926</v>
          </cell>
          <cell r="D197">
            <v>0</v>
          </cell>
          <cell r="E197">
            <v>24.8272926</v>
          </cell>
          <cell r="F197" t="str">
            <v>自制</v>
          </cell>
          <cell r="G197" t="str">
            <v>北京汽车</v>
          </cell>
          <cell r="H197">
            <v>34</v>
          </cell>
          <cell r="I197">
            <v>33</v>
          </cell>
          <cell r="J197">
            <v>32</v>
          </cell>
          <cell r="K197">
            <v>30</v>
          </cell>
          <cell r="L197">
            <v>29</v>
          </cell>
          <cell r="M197">
            <v>28</v>
          </cell>
        </row>
        <row r="198">
          <cell r="A198" t="str">
            <v>DQ910820</v>
          </cell>
          <cell r="B198">
            <v>1208</v>
          </cell>
          <cell r="C198">
            <v>37.7778476</v>
          </cell>
          <cell r="D198">
            <v>0</v>
          </cell>
          <cell r="E198">
            <v>37.7778476</v>
          </cell>
          <cell r="F198" t="str">
            <v>自制</v>
          </cell>
          <cell r="G198" t="str">
            <v>一汽森雅</v>
          </cell>
          <cell r="H198">
            <v>52</v>
          </cell>
          <cell r="I198">
            <v>50</v>
          </cell>
          <cell r="J198">
            <v>48</v>
          </cell>
          <cell r="K198">
            <v>46</v>
          </cell>
          <cell r="L198">
            <v>44</v>
          </cell>
          <cell r="M198">
            <v>42</v>
          </cell>
        </row>
        <row r="199">
          <cell r="A199" t="str">
            <v>DQ9037C1</v>
          </cell>
          <cell r="B199">
            <v>1202</v>
          </cell>
          <cell r="C199">
            <v>31.2503843333333</v>
          </cell>
          <cell r="D199">
            <v>0</v>
          </cell>
          <cell r="E199">
            <v>31.2503843333333</v>
          </cell>
          <cell r="F199" t="str">
            <v>自制</v>
          </cell>
          <cell r="G199" t="str">
            <v>哈弗H6蓝标1.5T</v>
          </cell>
          <cell r="H199">
            <v>43</v>
          </cell>
          <cell r="I199">
            <v>41</v>
          </cell>
          <cell r="J199">
            <v>40</v>
          </cell>
          <cell r="K199">
            <v>38</v>
          </cell>
          <cell r="L199">
            <v>36</v>
          </cell>
          <cell r="M199">
            <v>35</v>
          </cell>
        </row>
        <row r="200">
          <cell r="A200" t="str">
            <v>DQ9045E1</v>
          </cell>
          <cell r="B200">
            <v>1199</v>
          </cell>
          <cell r="C200">
            <v>34.6271112</v>
          </cell>
          <cell r="D200">
            <v>0</v>
          </cell>
          <cell r="E200">
            <v>34.6271112</v>
          </cell>
          <cell r="F200" t="str">
            <v>自制</v>
          </cell>
          <cell r="G200" t="str">
            <v>斯巴鲁XV 2.0L</v>
          </cell>
          <cell r="H200">
            <v>47</v>
          </cell>
          <cell r="I200">
            <v>46</v>
          </cell>
          <cell r="J200">
            <v>44</v>
          </cell>
          <cell r="K200">
            <v>42</v>
          </cell>
          <cell r="L200">
            <v>40</v>
          </cell>
          <cell r="M200">
            <v>39</v>
          </cell>
        </row>
        <row r="201">
          <cell r="A201" t="str">
            <v>DQ9101S1</v>
          </cell>
          <cell r="B201">
            <v>1180</v>
          </cell>
          <cell r="C201">
            <v>18.7813294</v>
          </cell>
          <cell r="D201">
            <v>0</v>
          </cell>
          <cell r="E201">
            <v>18.7813294</v>
          </cell>
          <cell r="F201" t="str">
            <v>自制</v>
          </cell>
          <cell r="G201" t="str">
            <v>现代雅尊</v>
          </cell>
          <cell r="H201">
            <v>26</v>
          </cell>
          <cell r="I201">
            <v>25</v>
          </cell>
          <cell r="J201">
            <v>24</v>
          </cell>
          <cell r="K201">
            <v>23</v>
          </cell>
          <cell r="L201">
            <v>22</v>
          </cell>
          <cell r="M201">
            <v>21</v>
          </cell>
        </row>
        <row r="202">
          <cell r="A202" t="str">
            <v>DQ9003</v>
          </cell>
          <cell r="B202">
            <v>1151</v>
          </cell>
          <cell r="C202">
            <v>28.10592444</v>
          </cell>
          <cell r="D202">
            <v>0</v>
          </cell>
          <cell r="E202">
            <v>28.10592444</v>
          </cell>
          <cell r="F202" t="str">
            <v>自制</v>
          </cell>
          <cell r="G202" t="str">
            <v>红旗A4E</v>
          </cell>
          <cell r="H202">
            <v>38</v>
          </cell>
          <cell r="I202">
            <v>37</v>
          </cell>
          <cell r="J202">
            <v>36</v>
          </cell>
          <cell r="K202">
            <v>34</v>
          </cell>
          <cell r="L202">
            <v>33</v>
          </cell>
          <cell r="M202">
            <v>31</v>
          </cell>
        </row>
        <row r="203">
          <cell r="A203" t="str">
            <v>DQ9047A1</v>
          </cell>
          <cell r="B203">
            <v>1149</v>
          </cell>
          <cell r="C203">
            <v>24.9523431333333</v>
          </cell>
          <cell r="D203">
            <v>0</v>
          </cell>
          <cell r="E203">
            <v>24.9523431333333</v>
          </cell>
          <cell r="F203" t="str">
            <v>自制</v>
          </cell>
          <cell r="G203" t="str">
            <v>荣威大通 2.0T</v>
          </cell>
          <cell r="H203">
            <v>34</v>
          </cell>
          <cell r="I203">
            <v>33</v>
          </cell>
          <cell r="J203">
            <v>32</v>
          </cell>
          <cell r="K203">
            <v>30</v>
          </cell>
          <cell r="L203">
            <v>29</v>
          </cell>
          <cell r="M203">
            <v>28</v>
          </cell>
        </row>
        <row r="204">
          <cell r="A204" t="str">
            <v>DQ9039C1</v>
          </cell>
          <cell r="B204">
            <v>1144</v>
          </cell>
          <cell r="C204">
            <v>25.3769772</v>
          </cell>
          <cell r="D204">
            <v>0</v>
          </cell>
          <cell r="E204">
            <v>25.3769772</v>
          </cell>
          <cell r="F204" t="str">
            <v>自制</v>
          </cell>
          <cell r="G204" t="str">
            <v>宝骏1.5T</v>
          </cell>
          <cell r="H204">
            <v>35</v>
          </cell>
          <cell r="I204">
            <v>33</v>
          </cell>
          <cell r="J204">
            <v>32</v>
          </cell>
          <cell r="K204">
            <v>31</v>
          </cell>
          <cell r="L204">
            <v>30</v>
          </cell>
          <cell r="M204">
            <v>28</v>
          </cell>
        </row>
        <row r="205">
          <cell r="A205" t="str">
            <v>DQ9127A1</v>
          </cell>
          <cell r="B205">
            <v>1140</v>
          </cell>
          <cell r="C205">
            <v>32.6915084288463</v>
          </cell>
          <cell r="D205">
            <v>1.26174522884628</v>
          </cell>
          <cell r="E205">
            <v>31.4297632</v>
          </cell>
          <cell r="F205" t="str">
            <v>自制</v>
          </cell>
          <cell r="G205" t="str">
            <v>尼桑阳光N16</v>
          </cell>
          <cell r="H205">
            <v>45</v>
          </cell>
          <cell r="I205">
            <v>43</v>
          </cell>
          <cell r="J205">
            <v>41</v>
          </cell>
          <cell r="K205">
            <v>40</v>
          </cell>
          <cell r="L205">
            <v>38</v>
          </cell>
          <cell r="M205">
            <v>36</v>
          </cell>
        </row>
        <row r="206">
          <cell r="A206" t="str">
            <v>DQ6108</v>
          </cell>
          <cell r="B206">
            <v>1112</v>
          </cell>
          <cell r="C206">
            <v>29.7910788819297</v>
          </cell>
          <cell r="D206">
            <v>-0.854730618070291</v>
          </cell>
          <cell r="E206">
            <v>30.6458095</v>
          </cell>
          <cell r="F206" t="str">
            <v>自制</v>
          </cell>
          <cell r="G206" t="str">
            <v>丰田8A</v>
          </cell>
          <cell r="H206">
            <v>41</v>
          </cell>
          <cell r="I206">
            <v>39</v>
          </cell>
          <cell r="J206">
            <v>38</v>
          </cell>
          <cell r="K206">
            <v>36</v>
          </cell>
          <cell r="L206">
            <v>35</v>
          </cell>
          <cell r="M206">
            <v>33</v>
          </cell>
        </row>
        <row r="207">
          <cell r="A207" t="str">
            <v>DQ9219A8</v>
          </cell>
          <cell r="B207">
            <v>1098</v>
          </cell>
          <cell r="C207">
            <v>21.8787085</v>
          </cell>
          <cell r="D207">
            <v>0</v>
          </cell>
          <cell r="E207">
            <v>21.8787085</v>
          </cell>
          <cell r="F207" t="str">
            <v>自制</v>
          </cell>
          <cell r="G207" t="str">
            <v>GS8 2.0T</v>
          </cell>
          <cell r="H207">
            <v>30</v>
          </cell>
          <cell r="I207">
            <v>29</v>
          </cell>
          <cell r="J207">
            <v>28</v>
          </cell>
          <cell r="K207">
            <v>27</v>
          </cell>
          <cell r="L207">
            <v>26</v>
          </cell>
          <cell r="M207">
            <v>25</v>
          </cell>
        </row>
        <row r="208">
          <cell r="A208" t="str">
            <v>DQ9040C3</v>
          </cell>
          <cell r="B208">
            <v>1092</v>
          </cell>
          <cell r="C208">
            <v>25.4739592666667</v>
          </cell>
          <cell r="D208">
            <v>0</v>
          </cell>
          <cell r="E208">
            <v>25.4739592666667</v>
          </cell>
          <cell r="F208" t="str">
            <v>自制</v>
          </cell>
          <cell r="G208" t="str">
            <v>海狮X30L</v>
          </cell>
          <cell r="H208">
            <v>35</v>
          </cell>
          <cell r="I208">
            <v>34</v>
          </cell>
          <cell r="J208">
            <v>32</v>
          </cell>
          <cell r="K208">
            <v>31</v>
          </cell>
          <cell r="L208">
            <v>30</v>
          </cell>
          <cell r="M208">
            <v>29</v>
          </cell>
        </row>
        <row r="209">
          <cell r="A209" t="str">
            <v>DQ9010G1</v>
          </cell>
          <cell r="B209">
            <v>1086</v>
          </cell>
          <cell r="C209">
            <v>33.8581848</v>
          </cell>
          <cell r="D209">
            <v>0</v>
          </cell>
          <cell r="E209">
            <v>33.8581848</v>
          </cell>
          <cell r="F209" t="str">
            <v>自制</v>
          </cell>
          <cell r="G209" t="str">
            <v>本田锋范</v>
          </cell>
          <cell r="H209">
            <v>46</v>
          </cell>
          <cell r="I209">
            <v>45</v>
          </cell>
          <cell r="J209">
            <v>43</v>
          </cell>
          <cell r="K209">
            <v>41</v>
          </cell>
          <cell r="L209">
            <v>39</v>
          </cell>
          <cell r="M209">
            <v>38</v>
          </cell>
        </row>
        <row r="210">
          <cell r="A210" t="str">
            <v>DQ9216</v>
          </cell>
          <cell r="B210">
            <v>1085</v>
          </cell>
          <cell r="C210">
            <v>23.1363638</v>
          </cell>
          <cell r="D210">
            <v>0</v>
          </cell>
          <cell r="E210">
            <v>23.1363638</v>
          </cell>
          <cell r="F210" t="str">
            <v>自制</v>
          </cell>
          <cell r="G210" t="str">
            <v>荣威550 1.8T黑杆</v>
          </cell>
          <cell r="H210">
            <v>32</v>
          </cell>
          <cell r="I210">
            <v>31</v>
          </cell>
          <cell r="J210">
            <v>29</v>
          </cell>
          <cell r="K210">
            <v>28</v>
          </cell>
          <cell r="L210">
            <v>27</v>
          </cell>
          <cell r="M210">
            <v>26</v>
          </cell>
        </row>
        <row r="211">
          <cell r="A211" t="str">
            <v>DQ9132F1</v>
          </cell>
          <cell r="B211">
            <v>1076</v>
          </cell>
          <cell r="C211">
            <v>32.7759054666667</v>
          </cell>
          <cell r="D211">
            <v>0</v>
          </cell>
          <cell r="E211">
            <v>32.7759054666667</v>
          </cell>
          <cell r="F211" t="str">
            <v>自制</v>
          </cell>
          <cell r="G211" t="str">
            <v>大发</v>
          </cell>
          <cell r="H211">
            <v>45</v>
          </cell>
          <cell r="I211">
            <v>43</v>
          </cell>
          <cell r="J211">
            <v>41</v>
          </cell>
          <cell r="K211">
            <v>40</v>
          </cell>
          <cell r="L211">
            <v>38</v>
          </cell>
          <cell r="M211">
            <v>37</v>
          </cell>
        </row>
        <row r="212">
          <cell r="A212" t="str">
            <v>DQ9219A6</v>
          </cell>
          <cell r="B212">
            <v>1074</v>
          </cell>
          <cell r="C212">
            <v>20.7237085</v>
          </cell>
          <cell r="D212">
            <v>0</v>
          </cell>
          <cell r="E212">
            <v>20.7237085</v>
          </cell>
          <cell r="F212" t="str">
            <v>自制</v>
          </cell>
          <cell r="G212" t="str">
            <v>长城哈弗 H6 1.5T 14款</v>
          </cell>
          <cell r="H212">
            <v>28</v>
          </cell>
          <cell r="I212">
            <v>27</v>
          </cell>
          <cell r="J212">
            <v>26</v>
          </cell>
          <cell r="K212">
            <v>25</v>
          </cell>
          <cell r="L212">
            <v>24</v>
          </cell>
          <cell r="M212">
            <v>23</v>
          </cell>
        </row>
        <row r="213">
          <cell r="A213" t="str">
            <v>DQ9036A1</v>
          </cell>
          <cell r="B213">
            <v>1057</v>
          </cell>
          <cell r="C213">
            <v>28.8201734666667</v>
          </cell>
          <cell r="D213">
            <v>0</v>
          </cell>
          <cell r="E213">
            <v>28.8201734666667</v>
          </cell>
          <cell r="F213" t="str">
            <v>自制</v>
          </cell>
          <cell r="G213" t="str">
            <v>菲亚特 飞翔 致悦 1.4T</v>
          </cell>
          <cell r="H213">
            <v>39</v>
          </cell>
          <cell r="I213">
            <v>38</v>
          </cell>
          <cell r="J213">
            <v>37</v>
          </cell>
          <cell r="K213">
            <v>35</v>
          </cell>
          <cell r="L213">
            <v>34</v>
          </cell>
          <cell r="M213">
            <v>32</v>
          </cell>
        </row>
        <row r="214">
          <cell r="A214" t="str">
            <v>DQ9010J1</v>
          </cell>
          <cell r="B214">
            <v>1053</v>
          </cell>
          <cell r="C214">
            <v>32.1195421333333</v>
          </cell>
          <cell r="D214">
            <v>0</v>
          </cell>
          <cell r="E214">
            <v>32.1195421333333</v>
          </cell>
          <cell r="F214" t="str">
            <v>自制</v>
          </cell>
          <cell r="G214" t="str">
            <v>14款飞度</v>
          </cell>
          <cell r="H214">
            <v>44</v>
          </cell>
          <cell r="I214">
            <v>42</v>
          </cell>
          <cell r="J214">
            <v>41</v>
          </cell>
          <cell r="K214">
            <v>39</v>
          </cell>
          <cell r="L214">
            <v>37</v>
          </cell>
          <cell r="M214">
            <v>36</v>
          </cell>
        </row>
        <row r="215">
          <cell r="A215" t="str">
            <v>DQ9076A1</v>
          </cell>
          <cell r="B215">
            <v>1036</v>
          </cell>
          <cell r="C215">
            <v>36.3508496273985</v>
          </cell>
          <cell r="D215">
            <v>3.34033362739853</v>
          </cell>
          <cell r="E215">
            <v>33.010516</v>
          </cell>
          <cell r="F215" t="str">
            <v>自制</v>
          </cell>
          <cell r="G215" t="str">
            <v>本田 LIFE 2009</v>
          </cell>
          <cell r="H215">
            <v>50</v>
          </cell>
          <cell r="I215">
            <v>48</v>
          </cell>
          <cell r="J215">
            <v>46</v>
          </cell>
          <cell r="K215">
            <v>44</v>
          </cell>
          <cell r="L215">
            <v>42</v>
          </cell>
          <cell r="M215">
            <v>40</v>
          </cell>
        </row>
        <row r="216">
          <cell r="A216" t="str">
            <v>DQ9025J1</v>
          </cell>
          <cell r="B216">
            <v>1020</v>
          </cell>
          <cell r="C216">
            <v>54.46586233355</v>
          </cell>
          <cell r="D216">
            <v>16.26462453355</v>
          </cell>
          <cell r="E216">
            <v>38.2012378</v>
          </cell>
          <cell r="F216" t="str">
            <v>自制</v>
          </cell>
          <cell r="G216" t="str">
            <v>奔驰E260</v>
          </cell>
          <cell r="H216">
            <v>74</v>
          </cell>
          <cell r="I216">
            <v>71</v>
          </cell>
          <cell r="J216">
            <v>69</v>
          </cell>
          <cell r="K216">
            <v>66</v>
          </cell>
          <cell r="L216">
            <v>63</v>
          </cell>
          <cell r="M216">
            <v>60</v>
          </cell>
        </row>
        <row r="217">
          <cell r="A217" t="str">
            <v>DQ9005L1</v>
          </cell>
          <cell r="B217">
            <v>1019</v>
          </cell>
          <cell r="C217">
            <v>31.2099106</v>
          </cell>
          <cell r="D217">
            <v>0</v>
          </cell>
          <cell r="E217">
            <v>31.2099106</v>
          </cell>
          <cell r="F217" t="str">
            <v>自制</v>
          </cell>
          <cell r="G217" t="str">
            <v>福特翼博1.0T</v>
          </cell>
          <cell r="H217">
            <v>43</v>
          </cell>
          <cell r="I217">
            <v>41</v>
          </cell>
          <cell r="J217">
            <v>40</v>
          </cell>
          <cell r="K217">
            <v>38</v>
          </cell>
          <cell r="L217">
            <v>36</v>
          </cell>
          <cell r="M217">
            <v>35</v>
          </cell>
        </row>
        <row r="218">
          <cell r="A218" t="str">
            <v>DQ9153A3</v>
          </cell>
          <cell r="B218">
            <v>1002</v>
          </cell>
          <cell r="C218">
            <v>22.5685107333333</v>
          </cell>
          <cell r="D218">
            <v>0</v>
          </cell>
          <cell r="E218">
            <v>22.5685107333333</v>
          </cell>
          <cell r="F218" t="str">
            <v>自制</v>
          </cell>
          <cell r="G218" t="str">
            <v>长丰猎豹</v>
          </cell>
          <cell r="H218">
            <v>31</v>
          </cell>
          <cell r="I218">
            <v>30</v>
          </cell>
          <cell r="J218">
            <v>29</v>
          </cell>
          <cell r="K218">
            <v>28</v>
          </cell>
          <cell r="L218">
            <v>26</v>
          </cell>
          <cell r="M218">
            <v>25</v>
          </cell>
        </row>
        <row r="219">
          <cell r="A219" t="str">
            <v>DQ9003B2</v>
          </cell>
          <cell r="B219">
            <v>997</v>
          </cell>
          <cell r="C219">
            <v>29.08602444</v>
          </cell>
          <cell r="D219">
            <v>0</v>
          </cell>
          <cell r="E219">
            <v>29.08602444</v>
          </cell>
          <cell r="F219" t="str">
            <v>自制</v>
          </cell>
          <cell r="G219" t="str">
            <v>天籁侧插</v>
          </cell>
          <cell r="H219">
            <v>40</v>
          </cell>
          <cell r="I219">
            <v>38</v>
          </cell>
          <cell r="J219">
            <v>37</v>
          </cell>
          <cell r="K219">
            <v>35</v>
          </cell>
          <cell r="L219">
            <v>34</v>
          </cell>
          <cell r="M219">
            <v>32</v>
          </cell>
        </row>
        <row r="220">
          <cell r="A220" t="str">
            <v>DQ9113D1</v>
          </cell>
          <cell r="B220">
            <v>979</v>
          </cell>
          <cell r="C220">
            <v>26.3867831866667</v>
          </cell>
          <cell r="D220">
            <v>0</v>
          </cell>
          <cell r="E220">
            <v>26.3867831866667</v>
          </cell>
          <cell r="F220" t="str">
            <v>自制</v>
          </cell>
          <cell r="G220" t="str">
            <v>4G69</v>
          </cell>
          <cell r="H220">
            <v>36</v>
          </cell>
          <cell r="I220">
            <v>35</v>
          </cell>
          <cell r="J220">
            <v>33</v>
          </cell>
          <cell r="K220">
            <v>32</v>
          </cell>
          <cell r="L220">
            <v>31</v>
          </cell>
          <cell r="M220">
            <v>30</v>
          </cell>
        </row>
        <row r="221">
          <cell r="A221" t="str">
            <v>DQ9003A4</v>
          </cell>
          <cell r="B221">
            <v>975</v>
          </cell>
          <cell r="C221">
            <v>27.43522672</v>
          </cell>
          <cell r="D221">
            <v>0</v>
          </cell>
          <cell r="E221">
            <v>27.43522672</v>
          </cell>
          <cell r="F221" t="str">
            <v>自制</v>
          </cell>
          <cell r="G221" t="str">
            <v>日立/马自达3</v>
          </cell>
          <cell r="H221">
            <v>38</v>
          </cell>
          <cell r="I221">
            <v>36</v>
          </cell>
          <cell r="J221">
            <v>35</v>
          </cell>
          <cell r="K221">
            <v>33</v>
          </cell>
          <cell r="L221">
            <v>32</v>
          </cell>
          <cell r="M221">
            <v>31</v>
          </cell>
        </row>
        <row r="222">
          <cell r="A222" t="str">
            <v>DQ9050A4</v>
          </cell>
          <cell r="B222">
            <v>972</v>
          </cell>
          <cell r="C222">
            <v>36.6263255256349</v>
          </cell>
          <cell r="D222">
            <v>1.9306117256349</v>
          </cell>
          <cell r="E222">
            <v>34.6957138</v>
          </cell>
          <cell r="F222" t="str">
            <v>自制</v>
          </cell>
          <cell r="G222" t="str">
            <v>铃木雨燕SX4 1.4T</v>
          </cell>
          <cell r="H222">
            <v>50</v>
          </cell>
          <cell r="I222">
            <v>48</v>
          </cell>
          <cell r="J222">
            <v>46</v>
          </cell>
          <cell r="K222">
            <v>44</v>
          </cell>
          <cell r="L222">
            <v>43</v>
          </cell>
          <cell r="M222">
            <v>41</v>
          </cell>
        </row>
        <row r="223">
          <cell r="A223" t="str">
            <v>DQ9036F1</v>
          </cell>
          <cell r="B223">
            <v>968</v>
          </cell>
          <cell r="C223">
            <v>28.1811068</v>
          </cell>
          <cell r="D223">
            <v>0</v>
          </cell>
          <cell r="E223">
            <v>28.1811068</v>
          </cell>
          <cell r="F223" t="str">
            <v>自制</v>
          </cell>
          <cell r="G223" t="str">
            <v>指南者1.4T</v>
          </cell>
          <cell r="H223">
            <v>39</v>
          </cell>
          <cell r="I223">
            <v>37</v>
          </cell>
          <cell r="J223">
            <v>36</v>
          </cell>
          <cell r="K223">
            <v>34</v>
          </cell>
          <cell r="L223">
            <v>33</v>
          </cell>
          <cell r="M223">
            <v>31</v>
          </cell>
        </row>
        <row r="224">
          <cell r="A224" t="str">
            <v>DQ9037C5</v>
          </cell>
          <cell r="B224">
            <v>953</v>
          </cell>
          <cell r="C224">
            <v>30.8928843333333</v>
          </cell>
          <cell r="D224">
            <v>0</v>
          </cell>
          <cell r="E224">
            <v>30.8928843333333</v>
          </cell>
          <cell r="F224" t="str">
            <v>自制</v>
          </cell>
          <cell r="G224" t="str">
            <v>吉利博越</v>
          </cell>
          <cell r="H224">
            <v>42</v>
          </cell>
          <cell r="I224">
            <v>41</v>
          </cell>
          <cell r="J224">
            <v>39</v>
          </cell>
          <cell r="K224">
            <v>38</v>
          </cell>
          <cell r="L224">
            <v>36</v>
          </cell>
          <cell r="M224">
            <v>34</v>
          </cell>
        </row>
        <row r="225">
          <cell r="A225" t="str">
            <v>DQ9116B</v>
          </cell>
          <cell r="B225">
            <v>936</v>
          </cell>
          <cell r="C225">
            <v>29.0709576</v>
          </cell>
          <cell r="D225">
            <v>0</v>
          </cell>
          <cell r="E225">
            <v>29.0709576</v>
          </cell>
          <cell r="F225" t="str">
            <v>自制</v>
          </cell>
          <cell r="G225" t="str">
            <v>473QB发动机</v>
          </cell>
          <cell r="H225">
            <v>40</v>
          </cell>
          <cell r="I225">
            <v>38</v>
          </cell>
          <cell r="J225">
            <v>37</v>
          </cell>
          <cell r="K225">
            <v>35</v>
          </cell>
          <cell r="L225">
            <v>34</v>
          </cell>
          <cell r="M225">
            <v>32</v>
          </cell>
        </row>
        <row r="226">
          <cell r="A226" t="str">
            <v>DQ9007D1</v>
          </cell>
          <cell r="B226">
            <v>925</v>
          </cell>
          <cell r="C226">
            <v>33.6653526</v>
          </cell>
          <cell r="D226">
            <v>0</v>
          </cell>
          <cell r="E226">
            <v>33.6653526</v>
          </cell>
          <cell r="F226" t="str">
            <v>自制</v>
          </cell>
          <cell r="G226" t="str">
            <v>现代名图1.6T</v>
          </cell>
          <cell r="H226">
            <v>46</v>
          </cell>
          <cell r="I226">
            <v>44</v>
          </cell>
          <cell r="J226">
            <v>43</v>
          </cell>
          <cell r="K226">
            <v>41</v>
          </cell>
          <cell r="L226">
            <v>39</v>
          </cell>
          <cell r="M226">
            <v>38</v>
          </cell>
        </row>
        <row r="227">
          <cell r="A227" t="str">
            <v>DQ9402A3</v>
          </cell>
          <cell r="B227">
            <v>918</v>
          </cell>
          <cell r="C227">
            <v>125.999874</v>
          </cell>
          <cell r="D227">
            <v>-0.126126000000005</v>
          </cell>
          <cell r="E227">
            <v>126.126</v>
          </cell>
          <cell r="F227" t="str">
            <v>调货</v>
          </cell>
          <cell r="G227" t="str">
            <v>标致2.0L 新款</v>
          </cell>
          <cell r="H227">
            <v>150</v>
          </cell>
          <cell r="I227">
            <v>148</v>
          </cell>
          <cell r="J227">
            <v>145</v>
          </cell>
          <cell r="K227">
            <v>143</v>
          </cell>
          <cell r="L227">
            <v>142</v>
          </cell>
          <cell r="M227">
            <v>139</v>
          </cell>
        </row>
        <row r="228">
          <cell r="A228" t="str">
            <v>DQ9007G1</v>
          </cell>
          <cell r="B228">
            <v>911</v>
          </cell>
          <cell r="C228">
            <v>33.4121326</v>
          </cell>
          <cell r="D228">
            <v>0</v>
          </cell>
          <cell r="E228">
            <v>33.4121326</v>
          </cell>
          <cell r="F228" t="str">
            <v>自制</v>
          </cell>
          <cell r="G228" t="str">
            <v>现代04110</v>
          </cell>
          <cell r="H228">
            <v>46</v>
          </cell>
          <cell r="I228">
            <v>44</v>
          </cell>
          <cell r="J228">
            <v>42</v>
          </cell>
          <cell r="K228">
            <v>41</v>
          </cell>
          <cell r="L228">
            <v>39</v>
          </cell>
          <cell r="M228">
            <v>37</v>
          </cell>
        </row>
        <row r="229">
          <cell r="A229" t="str">
            <v>DQ9045A1</v>
          </cell>
          <cell r="B229">
            <v>899</v>
          </cell>
          <cell r="C229">
            <v>32.6286683333333</v>
          </cell>
          <cell r="D229">
            <v>0</v>
          </cell>
          <cell r="E229">
            <v>32.6286683333333</v>
          </cell>
          <cell r="F229" t="str">
            <v>自制</v>
          </cell>
          <cell r="G229" t="str">
            <v>斯巴鲁森林人</v>
          </cell>
          <cell r="H229">
            <v>45</v>
          </cell>
          <cell r="I229">
            <v>43</v>
          </cell>
          <cell r="J229">
            <v>41</v>
          </cell>
          <cell r="K229">
            <v>40</v>
          </cell>
          <cell r="L229">
            <v>38</v>
          </cell>
          <cell r="M229">
            <v>36</v>
          </cell>
        </row>
        <row r="230">
          <cell r="A230" t="str">
            <v>DQ9107E1</v>
          </cell>
          <cell r="B230">
            <v>898</v>
          </cell>
          <cell r="C230">
            <v>19.1029607333333</v>
          </cell>
          <cell r="D230">
            <v>0</v>
          </cell>
          <cell r="E230">
            <v>19.1029607333333</v>
          </cell>
          <cell r="F230" t="str">
            <v>自制</v>
          </cell>
          <cell r="G230" t="str">
            <v>东南汽车1.5T 东风景逸1.5T</v>
          </cell>
          <cell r="H230">
            <v>26</v>
          </cell>
          <cell r="I230">
            <v>25</v>
          </cell>
          <cell r="J230">
            <v>24</v>
          </cell>
          <cell r="K230">
            <v>23</v>
          </cell>
          <cell r="L230">
            <v>22</v>
          </cell>
          <cell r="M230">
            <v>22</v>
          </cell>
        </row>
        <row r="231">
          <cell r="A231" t="str">
            <v>DQ6202</v>
          </cell>
          <cell r="B231">
            <v>894</v>
          </cell>
          <cell r="C231">
            <v>66.318</v>
          </cell>
          <cell r="D231">
            <v>0</v>
          </cell>
          <cell r="E231">
            <v>66.318</v>
          </cell>
          <cell r="F231" t="str">
            <v>调货</v>
          </cell>
          <cell r="G231" t="str">
            <v>索纳塔1.8</v>
          </cell>
          <cell r="H231">
            <v>79</v>
          </cell>
          <cell r="I231">
            <v>78</v>
          </cell>
          <cell r="J231">
            <v>77</v>
          </cell>
          <cell r="K231">
            <v>75</v>
          </cell>
          <cell r="L231">
            <v>75</v>
          </cell>
          <cell r="M231">
            <v>73</v>
          </cell>
        </row>
        <row r="232">
          <cell r="A232" t="str">
            <v>DQ9126A2</v>
          </cell>
          <cell r="B232">
            <v>891</v>
          </cell>
          <cell r="C232">
            <v>33.4320245</v>
          </cell>
          <cell r="D232">
            <v>0</v>
          </cell>
          <cell r="E232">
            <v>33.4320245</v>
          </cell>
          <cell r="F232" t="str">
            <v>自制</v>
          </cell>
          <cell r="G232" t="str">
            <v>路虎风神者</v>
          </cell>
          <cell r="H232">
            <v>46</v>
          </cell>
          <cell r="I232">
            <v>44</v>
          </cell>
          <cell r="J232">
            <v>42</v>
          </cell>
          <cell r="K232">
            <v>41</v>
          </cell>
          <cell r="L232">
            <v>39</v>
          </cell>
          <cell r="M232">
            <v>37</v>
          </cell>
        </row>
        <row r="233">
          <cell r="A233" t="str">
            <v>DQ9133A1</v>
          </cell>
          <cell r="B233">
            <v>887</v>
          </cell>
          <cell r="C233">
            <v>53.214</v>
          </cell>
          <cell r="D233">
            <v>0</v>
          </cell>
          <cell r="E233">
            <v>53.214</v>
          </cell>
          <cell r="F233" t="str">
            <v>调货</v>
          </cell>
          <cell r="G233" t="str">
            <v>保时捷卡宴</v>
          </cell>
          <cell r="H233">
            <v>64</v>
          </cell>
          <cell r="I233">
            <v>63</v>
          </cell>
          <cell r="J233">
            <v>62</v>
          </cell>
          <cell r="K233">
            <v>61</v>
          </cell>
          <cell r="L233">
            <v>60</v>
          </cell>
          <cell r="M233">
            <v>59</v>
          </cell>
        </row>
        <row r="234">
          <cell r="A234" t="str">
            <v>DQ9003H7</v>
          </cell>
          <cell r="B234">
            <v>885</v>
          </cell>
          <cell r="C234">
            <v>29.97908672</v>
          </cell>
          <cell r="D234">
            <v>0</v>
          </cell>
          <cell r="E234">
            <v>29.97908672</v>
          </cell>
          <cell r="F234" t="str">
            <v>自制</v>
          </cell>
          <cell r="G234" t="str">
            <v>日产途乐</v>
          </cell>
          <cell r="H234">
            <v>41</v>
          </cell>
          <cell r="I234">
            <v>39</v>
          </cell>
          <cell r="J234">
            <v>38</v>
          </cell>
          <cell r="K234">
            <v>36</v>
          </cell>
          <cell r="L234">
            <v>35</v>
          </cell>
          <cell r="M234">
            <v>33</v>
          </cell>
        </row>
        <row r="235">
          <cell r="A235" t="str">
            <v>DQ9021C</v>
          </cell>
          <cell r="B235">
            <v>875</v>
          </cell>
          <cell r="C235">
            <v>22.0363792</v>
          </cell>
          <cell r="D235">
            <v>0</v>
          </cell>
          <cell r="E235">
            <v>22.0363792</v>
          </cell>
          <cell r="F235" t="str">
            <v>自制</v>
          </cell>
          <cell r="G235" t="str">
            <v>广汽传祺</v>
          </cell>
          <cell r="H235">
            <v>30</v>
          </cell>
          <cell r="I235">
            <v>29</v>
          </cell>
          <cell r="J235">
            <v>28</v>
          </cell>
          <cell r="K235">
            <v>27</v>
          </cell>
          <cell r="L235">
            <v>26</v>
          </cell>
          <cell r="M235">
            <v>25</v>
          </cell>
        </row>
        <row r="236">
          <cell r="A236" t="str">
            <v>DQ9113G1</v>
          </cell>
          <cell r="B236">
            <v>872</v>
          </cell>
          <cell r="C236">
            <v>32.3403155466667</v>
          </cell>
          <cell r="D236">
            <v>0</v>
          </cell>
          <cell r="E236">
            <v>32.3403155466667</v>
          </cell>
          <cell r="F236" t="str">
            <v>自制</v>
          </cell>
          <cell r="G236" t="str">
            <v>三菱蓝瑟</v>
          </cell>
          <cell r="H236">
            <v>44</v>
          </cell>
          <cell r="I236">
            <v>43</v>
          </cell>
          <cell r="J236">
            <v>41</v>
          </cell>
          <cell r="K236">
            <v>39</v>
          </cell>
          <cell r="L236">
            <v>38</v>
          </cell>
          <cell r="M236">
            <v>36</v>
          </cell>
        </row>
        <row r="237">
          <cell r="A237" t="str">
            <v>DQ9073A1</v>
          </cell>
          <cell r="B237">
            <v>843</v>
          </cell>
          <cell r="C237">
            <v>37.12632</v>
          </cell>
          <cell r="D237">
            <v>0</v>
          </cell>
          <cell r="E237">
            <v>37.12632</v>
          </cell>
          <cell r="F237" t="str">
            <v>自制</v>
          </cell>
          <cell r="G237" t="str">
            <v>雪佛兰SPARK 1.4L</v>
          </cell>
          <cell r="H237">
            <v>51</v>
          </cell>
          <cell r="I237">
            <v>49</v>
          </cell>
          <cell r="J237">
            <v>47</v>
          </cell>
          <cell r="K237">
            <v>45</v>
          </cell>
          <cell r="L237">
            <v>43</v>
          </cell>
          <cell r="M237">
            <v>41</v>
          </cell>
        </row>
        <row r="238">
          <cell r="A238" t="str">
            <v>DQ910845</v>
          </cell>
          <cell r="B238">
            <v>819</v>
          </cell>
          <cell r="C238">
            <v>26.57628932</v>
          </cell>
          <cell r="D238">
            <v>0</v>
          </cell>
          <cell r="E238">
            <v>26.57628932</v>
          </cell>
          <cell r="F238" t="str">
            <v>自制</v>
          </cell>
          <cell r="G238" t="str">
            <v>丰田02245</v>
          </cell>
          <cell r="H238">
            <v>36</v>
          </cell>
          <cell r="I238">
            <v>35</v>
          </cell>
          <cell r="J238">
            <v>34</v>
          </cell>
          <cell r="K238">
            <v>32</v>
          </cell>
          <cell r="L238">
            <v>31</v>
          </cell>
          <cell r="M238">
            <v>30</v>
          </cell>
        </row>
        <row r="239">
          <cell r="A239" t="str">
            <v>DQ9113D2</v>
          </cell>
          <cell r="B239">
            <v>811</v>
          </cell>
          <cell r="C239">
            <v>26.3040605466667</v>
          </cell>
          <cell r="D239">
            <v>0</v>
          </cell>
          <cell r="E239">
            <v>26.3040605466667</v>
          </cell>
          <cell r="F239" t="str">
            <v>自制</v>
          </cell>
          <cell r="G239" t="str">
            <v>4G63/69</v>
          </cell>
          <cell r="H239">
            <v>36</v>
          </cell>
          <cell r="I239">
            <v>35</v>
          </cell>
          <cell r="J239">
            <v>33</v>
          </cell>
          <cell r="K239">
            <v>32</v>
          </cell>
          <cell r="L239">
            <v>31</v>
          </cell>
          <cell r="M239">
            <v>29</v>
          </cell>
        </row>
        <row r="240">
          <cell r="A240" t="str">
            <v>DQ9035A1</v>
          </cell>
          <cell r="B240">
            <v>801</v>
          </cell>
          <cell r="C240">
            <v>33.7388989333333</v>
          </cell>
          <cell r="D240">
            <v>0</v>
          </cell>
          <cell r="E240">
            <v>33.7388989333333</v>
          </cell>
          <cell r="F240" t="str">
            <v>自制</v>
          </cell>
          <cell r="G240" t="str">
            <v>一汽奔腾B70</v>
          </cell>
          <cell r="H240">
            <v>46</v>
          </cell>
          <cell r="I240">
            <v>44</v>
          </cell>
          <cell r="J240">
            <v>43</v>
          </cell>
          <cell r="K240">
            <v>41</v>
          </cell>
          <cell r="L240">
            <v>39</v>
          </cell>
          <cell r="M240">
            <v>38</v>
          </cell>
        </row>
        <row r="241">
          <cell r="A241" t="str">
            <v>DQ9101Z</v>
          </cell>
          <cell r="B241">
            <v>800</v>
          </cell>
          <cell r="C241">
            <v>19.8404631609195</v>
          </cell>
          <cell r="D241">
            <v>0</v>
          </cell>
          <cell r="E241">
            <v>19.8404631609195</v>
          </cell>
          <cell r="F241" t="str">
            <v>自制</v>
          </cell>
          <cell r="G241" t="str">
            <v>新胜达 2.7L（三插）</v>
          </cell>
          <cell r="H241">
            <v>27</v>
          </cell>
          <cell r="I241">
            <v>26</v>
          </cell>
          <cell r="J241">
            <v>25</v>
          </cell>
          <cell r="K241">
            <v>24</v>
          </cell>
          <cell r="L241">
            <v>23</v>
          </cell>
          <cell r="M241">
            <v>22</v>
          </cell>
        </row>
        <row r="242">
          <cell r="A242" t="str">
            <v>DQ9217A</v>
          </cell>
          <cell r="B242">
            <v>789</v>
          </cell>
          <cell r="C242">
            <v>31.990354</v>
          </cell>
          <cell r="D242">
            <v>0</v>
          </cell>
          <cell r="E242">
            <v>31.990354</v>
          </cell>
          <cell r="F242" t="str">
            <v>自制</v>
          </cell>
          <cell r="G242" t="str">
            <v>海马 福美来1.8</v>
          </cell>
          <cell r="H242">
            <v>44</v>
          </cell>
          <cell r="I242">
            <v>42</v>
          </cell>
          <cell r="J242">
            <v>40</v>
          </cell>
          <cell r="K242">
            <v>39</v>
          </cell>
          <cell r="L242">
            <v>37</v>
          </cell>
          <cell r="M242">
            <v>36</v>
          </cell>
        </row>
        <row r="243">
          <cell r="A243" t="str">
            <v>DQ9025E1</v>
          </cell>
          <cell r="B243">
            <v>789</v>
          </cell>
          <cell r="C243">
            <v>88.8871622359551</v>
          </cell>
          <cell r="D243">
            <v>-3.28183776404494</v>
          </cell>
          <cell r="E243">
            <v>92.169</v>
          </cell>
          <cell r="F243" t="str">
            <v>调货</v>
          </cell>
          <cell r="G243" t="str">
            <v>奔驰A2769067900</v>
          </cell>
          <cell r="H243">
            <v>106</v>
          </cell>
          <cell r="I243">
            <v>104</v>
          </cell>
          <cell r="J243">
            <v>103</v>
          </cell>
          <cell r="K243">
            <v>101</v>
          </cell>
          <cell r="L243">
            <v>100</v>
          </cell>
          <cell r="M243">
            <v>98</v>
          </cell>
        </row>
        <row r="244">
          <cell r="A244" t="str">
            <v>DQ9016C1</v>
          </cell>
          <cell r="B244">
            <v>778</v>
          </cell>
          <cell r="C244">
            <v>43.659</v>
          </cell>
          <cell r="D244">
            <v>0</v>
          </cell>
          <cell r="E244">
            <v>43.659</v>
          </cell>
          <cell r="F244" t="str">
            <v>调货</v>
          </cell>
          <cell r="G244" t="str">
            <v>别克英朗1.0T</v>
          </cell>
          <cell r="H244">
            <v>52</v>
          </cell>
          <cell r="I244">
            <v>52</v>
          </cell>
          <cell r="J244">
            <v>51</v>
          </cell>
          <cell r="K244">
            <v>50</v>
          </cell>
          <cell r="L244">
            <v>49</v>
          </cell>
          <cell r="M244">
            <v>49</v>
          </cell>
        </row>
        <row r="245">
          <cell r="A245" t="str">
            <v>DQ9051A1</v>
          </cell>
          <cell r="B245">
            <v>771</v>
          </cell>
          <cell r="C245">
            <v>30.364852997282</v>
          </cell>
          <cell r="D245">
            <v>5.82531379728198</v>
          </cell>
          <cell r="E245">
            <v>24.5395392</v>
          </cell>
          <cell r="F245" t="str">
            <v>自制</v>
          </cell>
          <cell r="G245" t="str">
            <v>双龙柯兰多</v>
          </cell>
          <cell r="H245">
            <v>41</v>
          </cell>
          <cell r="I245">
            <v>40</v>
          </cell>
          <cell r="J245">
            <v>38</v>
          </cell>
          <cell r="K245">
            <v>37</v>
          </cell>
          <cell r="L245">
            <v>35</v>
          </cell>
          <cell r="M245">
            <v>34</v>
          </cell>
        </row>
        <row r="246">
          <cell r="A246" t="str">
            <v>DQ9216A</v>
          </cell>
          <cell r="B246">
            <v>765</v>
          </cell>
          <cell r="C246">
            <v>23.0813638</v>
          </cell>
          <cell r="D246">
            <v>0</v>
          </cell>
          <cell r="E246">
            <v>23.0813638</v>
          </cell>
          <cell r="F246" t="str">
            <v>自制</v>
          </cell>
          <cell r="G246" t="str">
            <v>荣威550 1.8红杆</v>
          </cell>
          <cell r="H246">
            <v>32</v>
          </cell>
          <cell r="I246">
            <v>31</v>
          </cell>
          <cell r="J246">
            <v>29</v>
          </cell>
          <cell r="K246">
            <v>28</v>
          </cell>
          <cell r="L246">
            <v>27</v>
          </cell>
          <cell r="M246">
            <v>26</v>
          </cell>
        </row>
        <row r="247">
          <cell r="A247" t="str">
            <v>DQ9037C3</v>
          </cell>
          <cell r="B247">
            <v>759</v>
          </cell>
          <cell r="C247">
            <v>31.7739843333333</v>
          </cell>
          <cell r="D247">
            <v>0</v>
          </cell>
          <cell r="E247">
            <v>31.7739843333333</v>
          </cell>
          <cell r="F247" t="str">
            <v>自制</v>
          </cell>
          <cell r="G247" t="str">
            <v>东风小康</v>
          </cell>
          <cell r="H247">
            <v>43</v>
          </cell>
          <cell r="I247">
            <v>42</v>
          </cell>
          <cell r="J247">
            <v>40</v>
          </cell>
          <cell r="K247">
            <v>39</v>
          </cell>
          <cell r="L247">
            <v>37</v>
          </cell>
          <cell r="M247">
            <v>35</v>
          </cell>
        </row>
        <row r="248">
          <cell r="A248" t="str">
            <v>DQ9103G1</v>
          </cell>
          <cell r="B248">
            <v>752</v>
          </cell>
          <cell r="C248">
            <v>32.8502484</v>
          </cell>
          <cell r="D248">
            <v>0</v>
          </cell>
          <cell r="E248">
            <v>32.8502484</v>
          </cell>
          <cell r="F248" t="str">
            <v>自制</v>
          </cell>
          <cell r="G248" t="str">
            <v>奥迪 A4L 2.0T</v>
          </cell>
          <cell r="H248">
            <v>45</v>
          </cell>
          <cell r="I248">
            <v>43</v>
          </cell>
          <cell r="J248">
            <v>42</v>
          </cell>
          <cell r="K248">
            <v>40</v>
          </cell>
          <cell r="L248">
            <v>38</v>
          </cell>
          <cell r="M248">
            <v>37</v>
          </cell>
        </row>
        <row r="249">
          <cell r="A249" t="str">
            <v>DQ6406</v>
          </cell>
          <cell r="B249">
            <v>741</v>
          </cell>
          <cell r="C249">
            <v>36.04865</v>
          </cell>
          <cell r="D249">
            <v>0</v>
          </cell>
          <cell r="E249">
            <v>36.04865</v>
          </cell>
          <cell r="F249" t="str">
            <v>自制</v>
          </cell>
          <cell r="G249" t="str">
            <v>五菱之光 西门子系统</v>
          </cell>
          <cell r="H249">
            <v>49</v>
          </cell>
          <cell r="I249">
            <v>47</v>
          </cell>
          <cell r="J249">
            <v>46</v>
          </cell>
          <cell r="K249">
            <v>44</v>
          </cell>
          <cell r="L249">
            <v>42</v>
          </cell>
          <cell r="M249">
            <v>40</v>
          </cell>
        </row>
        <row r="250">
          <cell r="A250" t="str">
            <v>DQ9217</v>
          </cell>
          <cell r="B250">
            <v>732</v>
          </cell>
          <cell r="C250">
            <v>31.913354</v>
          </cell>
          <cell r="D250">
            <v>0</v>
          </cell>
          <cell r="E250">
            <v>31.913354</v>
          </cell>
          <cell r="F250" t="str">
            <v>自制</v>
          </cell>
          <cell r="G250" t="str">
            <v>海马福美来1.6</v>
          </cell>
          <cell r="H250">
            <v>44</v>
          </cell>
          <cell r="I250">
            <v>42</v>
          </cell>
          <cell r="J250">
            <v>40</v>
          </cell>
          <cell r="K250">
            <v>39</v>
          </cell>
          <cell r="L250">
            <v>37</v>
          </cell>
          <cell r="M250">
            <v>36</v>
          </cell>
        </row>
        <row r="251">
          <cell r="A251" t="str">
            <v>DQ9113F1</v>
          </cell>
          <cell r="B251">
            <v>731</v>
          </cell>
          <cell r="C251">
            <v>26.1544605466667</v>
          </cell>
          <cell r="D251">
            <v>0</v>
          </cell>
          <cell r="E251">
            <v>26.1544605466667</v>
          </cell>
          <cell r="F251" t="str">
            <v>自制</v>
          </cell>
          <cell r="G251" t="str">
            <v>三菱SMART</v>
          </cell>
          <cell r="H251">
            <v>36</v>
          </cell>
          <cell r="I251">
            <v>35</v>
          </cell>
          <cell r="J251">
            <v>33</v>
          </cell>
          <cell r="K251">
            <v>32</v>
          </cell>
          <cell r="L251">
            <v>31</v>
          </cell>
          <cell r="M251">
            <v>29</v>
          </cell>
        </row>
        <row r="252">
          <cell r="A252" t="str">
            <v>DQ9103R</v>
          </cell>
          <cell r="B252">
            <v>712</v>
          </cell>
          <cell r="C252">
            <v>31.4005134</v>
          </cell>
          <cell r="D252">
            <v>0</v>
          </cell>
          <cell r="E252">
            <v>31.4005134</v>
          </cell>
          <cell r="F252" t="str">
            <v>自制</v>
          </cell>
          <cell r="G252" t="str">
            <v>奥迪3.0 红头</v>
          </cell>
          <cell r="H252">
            <v>43</v>
          </cell>
          <cell r="I252">
            <v>41</v>
          </cell>
          <cell r="J252">
            <v>40</v>
          </cell>
          <cell r="K252">
            <v>38</v>
          </cell>
          <cell r="L252">
            <v>37</v>
          </cell>
          <cell r="M252">
            <v>35</v>
          </cell>
        </row>
        <row r="253">
          <cell r="A253" t="str">
            <v>DQ9007M1</v>
          </cell>
          <cell r="B253">
            <v>705</v>
          </cell>
          <cell r="C253">
            <v>37.29275</v>
          </cell>
          <cell r="D253">
            <v>0</v>
          </cell>
          <cell r="E253">
            <v>37.29275</v>
          </cell>
          <cell r="F253" t="str">
            <v>自制</v>
          </cell>
          <cell r="G253" t="str">
            <v>现代伊兰特</v>
          </cell>
          <cell r="H253">
            <v>51</v>
          </cell>
          <cell r="I253">
            <v>49</v>
          </cell>
          <cell r="J253">
            <v>47</v>
          </cell>
          <cell r="K253">
            <v>45</v>
          </cell>
          <cell r="L253">
            <v>43</v>
          </cell>
          <cell r="M253">
            <v>42</v>
          </cell>
        </row>
        <row r="254">
          <cell r="A254" t="str">
            <v>DQ9037A1</v>
          </cell>
          <cell r="B254">
            <v>701</v>
          </cell>
          <cell r="C254">
            <v>31.1708306666667</v>
          </cell>
          <cell r="D254">
            <v>0</v>
          </cell>
          <cell r="E254">
            <v>31.1708306666667</v>
          </cell>
          <cell r="F254" t="str">
            <v>自制</v>
          </cell>
          <cell r="G254" t="str">
            <v>比亚迪476 (KRK)</v>
          </cell>
          <cell r="H254">
            <v>43</v>
          </cell>
          <cell r="I254">
            <v>41</v>
          </cell>
          <cell r="J254">
            <v>39</v>
          </cell>
          <cell r="K254">
            <v>38</v>
          </cell>
          <cell r="L254">
            <v>36</v>
          </cell>
          <cell r="M254">
            <v>35</v>
          </cell>
        </row>
        <row r="255">
          <cell r="A255" t="str">
            <v>DQ9035B1</v>
          </cell>
          <cell r="B255">
            <v>695</v>
          </cell>
          <cell r="C255">
            <v>36.4770258133445</v>
          </cell>
          <cell r="D255">
            <v>2.80650981334447</v>
          </cell>
          <cell r="E255">
            <v>33.670516</v>
          </cell>
          <cell r="F255" t="str">
            <v>自制</v>
          </cell>
          <cell r="G255" t="str">
            <v>日产逍客1.2T</v>
          </cell>
          <cell r="H255">
            <v>50</v>
          </cell>
          <cell r="I255">
            <v>48</v>
          </cell>
          <cell r="J255">
            <v>46</v>
          </cell>
          <cell r="K255">
            <v>44</v>
          </cell>
          <cell r="L255">
            <v>42</v>
          </cell>
          <cell r="M255">
            <v>41</v>
          </cell>
        </row>
        <row r="256">
          <cell r="A256" t="str">
            <v>DQ9215B</v>
          </cell>
          <cell r="B256">
            <v>691</v>
          </cell>
          <cell r="C256">
            <v>25.77509</v>
          </cell>
          <cell r="D256">
            <v>0</v>
          </cell>
          <cell r="E256">
            <v>25.77509</v>
          </cell>
          <cell r="F256" t="str">
            <v>自制</v>
          </cell>
          <cell r="G256" t="str">
            <v>长城哈弗 H6/H5 2.0L</v>
          </cell>
          <cell r="H256">
            <v>35</v>
          </cell>
          <cell r="I256">
            <v>34</v>
          </cell>
          <cell r="J256">
            <v>33</v>
          </cell>
          <cell r="K256">
            <v>31</v>
          </cell>
          <cell r="L256">
            <v>30</v>
          </cell>
          <cell r="M256">
            <v>29</v>
          </cell>
        </row>
        <row r="257">
          <cell r="A257" t="str">
            <v>DQ9153A1</v>
          </cell>
          <cell r="B257">
            <v>679</v>
          </cell>
          <cell r="C257">
            <v>22.8545107333333</v>
          </cell>
          <cell r="D257">
            <v>0</v>
          </cell>
          <cell r="E257">
            <v>22.8545107333333</v>
          </cell>
          <cell r="F257" t="str">
            <v>自制</v>
          </cell>
          <cell r="G257" t="str">
            <v>东风风神A60</v>
          </cell>
          <cell r="H257">
            <v>31</v>
          </cell>
          <cell r="I257">
            <v>30</v>
          </cell>
          <cell r="J257">
            <v>29</v>
          </cell>
          <cell r="K257">
            <v>28</v>
          </cell>
          <cell r="L257">
            <v>27</v>
          </cell>
          <cell r="M257">
            <v>26</v>
          </cell>
        </row>
        <row r="258">
          <cell r="A258" t="str">
            <v>DQ9043A1</v>
          </cell>
          <cell r="B258">
            <v>671</v>
          </cell>
          <cell r="C258">
            <v>38.43</v>
          </cell>
          <cell r="D258">
            <v>0</v>
          </cell>
          <cell r="E258">
            <v>38.43</v>
          </cell>
          <cell r="F258" t="str">
            <v>调货</v>
          </cell>
          <cell r="G258" t="str">
            <v>北汽BJ40 2.3T</v>
          </cell>
          <cell r="H258">
            <v>46</v>
          </cell>
          <cell r="I258">
            <v>45</v>
          </cell>
          <cell r="J258">
            <v>45</v>
          </cell>
          <cell r="K258">
            <v>44</v>
          </cell>
          <cell r="L258">
            <v>44</v>
          </cell>
          <cell r="M258">
            <v>43</v>
          </cell>
        </row>
        <row r="259">
          <cell r="A259" t="str">
            <v>DQ910806</v>
          </cell>
          <cell r="B259">
            <v>661</v>
          </cell>
          <cell r="C259">
            <v>31.5822908809673</v>
          </cell>
          <cell r="D259">
            <v>2.05601971430064</v>
          </cell>
          <cell r="E259">
            <v>29.5262711666667</v>
          </cell>
          <cell r="F259" t="str">
            <v>自制</v>
          </cell>
          <cell r="G259" t="str">
            <v>凯美瑞</v>
          </cell>
          <cell r="H259">
            <v>43</v>
          </cell>
          <cell r="I259">
            <v>42</v>
          </cell>
          <cell r="J259">
            <v>40</v>
          </cell>
          <cell r="K259">
            <v>38</v>
          </cell>
          <cell r="L259">
            <v>37</v>
          </cell>
          <cell r="M259">
            <v>35</v>
          </cell>
        </row>
        <row r="260">
          <cell r="A260" t="str">
            <v>DQ9204A</v>
          </cell>
          <cell r="B260">
            <v>658</v>
          </cell>
          <cell r="C260">
            <v>34.61034654</v>
          </cell>
          <cell r="D260">
            <v>0</v>
          </cell>
          <cell r="E260">
            <v>34.61034654</v>
          </cell>
          <cell r="F260" t="str">
            <v>自制</v>
          </cell>
          <cell r="G260" t="str">
            <v>特拉卡</v>
          </cell>
          <cell r="H260">
            <v>47</v>
          </cell>
          <cell r="I260">
            <v>45</v>
          </cell>
          <cell r="J260">
            <v>44</v>
          </cell>
          <cell r="K260">
            <v>42</v>
          </cell>
          <cell r="L260">
            <v>40</v>
          </cell>
          <cell r="M260">
            <v>39</v>
          </cell>
        </row>
        <row r="261">
          <cell r="A261" t="str">
            <v>DQ9025H1</v>
          </cell>
          <cell r="B261">
            <v>657</v>
          </cell>
          <cell r="C261">
            <v>88.7910385158076</v>
          </cell>
          <cell r="D261">
            <v>-3.39670398419242</v>
          </cell>
          <cell r="E261">
            <v>92.1877425</v>
          </cell>
          <cell r="F261" t="str">
            <v>调货</v>
          </cell>
          <cell r="G261" t="str">
            <v>奔驰A2709060500</v>
          </cell>
          <cell r="H261">
            <v>106</v>
          </cell>
          <cell r="I261">
            <v>104</v>
          </cell>
          <cell r="J261">
            <v>103</v>
          </cell>
          <cell r="K261">
            <v>101</v>
          </cell>
          <cell r="L261">
            <v>100</v>
          </cell>
          <cell r="M261">
            <v>98</v>
          </cell>
        </row>
        <row r="262">
          <cell r="A262" t="str">
            <v>DQ9066A1</v>
          </cell>
          <cell r="B262">
            <v>655</v>
          </cell>
          <cell r="C262">
            <v>43.659</v>
          </cell>
          <cell r="D262">
            <v>0</v>
          </cell>
          <cell r="E262">
            <v>43.659</v>
          </cell>
          <cell r="F262" t="str">
            <v>调货</v>
          </cell>
          <cell r="G262" t="str">
            <v>吉利缤越1.5T</v>
          </cell>
          <cell r="H262">
            <v>52</v>
          </cell>
          <cell r="I262">
            <v>52</v>
          </cell>
          <cell r="J262">
            <v>51</v>
          </cell>
          <cell r="K262">
            <v>50</v>
          </cell>
          <cell r="L262">
            <v>49</v>
          </cell>
          <cell r="M262">
            <v>49</v>
          </cell>
        </row>
        <row r="263">
          <cell r="A263" t="str">
            <v>DQ9407</v>
          </cell>
          <cell r="B263">
            <v>654</v>
          </cell>
          <cell r="C263">
            <v>129.047625</v>
          </cell>
          <cell r="D263">
            <v>0</v>
          </cell>
          <cell r="E263">
            <v>129.047625</v>
          </cell>
          <cell r="F263" t="str">
            <v>调货</v>
          </cell>
          <cell r="G263" t="str">
            <v>雪佛兰索尼克</v>
          </cell>
          <cell r="H263">
            <v>154</v>
          </cell>
          <cell r="I263">
            <v>151</v>
          </cell>
          <cell r="J263">
            <v>149</v>
          </cell>
          <cell r="K263">
            <v>146</v>
          </cell>
          <cell r="L263">
            <v>145</v>
          </cell>
          <cell r="M263">
            <v>142</v>
          </cell>
        </row>
        <row r="264">
          <cell r="A264" t="str">
            <v>DQ9117A</v>
          </cell>
          <cell r="B264">
            <v>651</v>
          </cell>
          <cell r="C264">
            <v>29.5102698</v>
          </cell>
          <cell r="D264">
            <v>0</v>
          </cell>
          <cell r="E264">
            <v>29.5102698</v>
          </cell>
          <cell r="F264" t="str">
            <v>自制</v>
          </cell>
          <cell r="G264" t="str">
            <v>北斗星K14B（日立系统）</v>
          </cell>
          <cell r="H264">
            <v>40</v>
          </cell>
          <cell r="I264">
            <v>39</v>
          </cell>
          <cell r="J264">
            <v>37</v>
          </cell>
          <cell r="K264">
            <v>36</v>
          </cell>
          <cell r="L264">
            <v>34</v>
          </cell>
          <cell r="M264">
            <v>33</v>
          </cell>
        </row>
        <row r="265">
          <cell r="A265" t="str">
            <v>DQ9016F1</v>
          </cell>
          <cell r="B265">
            <v>648</v>
          </cell>
          <cell r="C265">
            <v>43.1340272</v>
          </cell>
          <cell r="D265">
            <v>0</v>
          </cell>
          <cell r="E265">
            <v>43.1340272</v>
          </cell>
          <cell r="F265" t="str">
            <v>自制</v>
          </cell>
          <cell r="G265" t="str">
            <v>昂科旗</v>
          </cell>
          <cell r="H265">
            <v>59</v>
          </cell>
          <cell r="I265">
            <v>57</v>
          </cell>
          <cell r="J265">
            <v>54</v>
          </cell>
          <cell r="K265">
            <v>52</v>
          </cell>
          <cell r="L265">
            <v>50</v>
          </cell>
          <cell r="M265">
            <v>48</v>
          </cell>
        </row>
        <row r="266">
          <cell r="A266" t="str">
            <v>DQ9213A2</v>
          </cell>
          <cell r="B266">
            <v>646</v>
          </cell>
          <cell r="C266">
            <v>25.289046</v>
          </cell>
          <cell r="D266">
            <v>0</v>
          </cell>
          <cell r="E266">
            <v>25.289046</v>
          </cell>
          <cell r="F266" t="str">
            <v>自制</v>
          </cell>
          <cell r="G266" t="str">
            <v>长安悦翔V3</v>
          </cell>
          <cell r="H266">
            <v>35</v>
          </cell>
          <cell r="I266">
            <v>33</v>
          </cell>
          <cell r="J266">
            <v>32</v>
          </cell>
          <cell r="K266">
            <v>31</v>
          </cell>
          <cell r="L266">
            <v>30</v>
          </cell>
          <cell r="M266">
            <v>28</v>
          </cell>
        </row>
        <row r="267">
          <cell r="A267" t="str">
            <v>DQ9045C1</v>
          </cell>
          <cell r="B267">
            <v>643</v>
          </cell>
          <cell r="C267">
            <v>34.9615112</v>
          </cell>
          <cell r="D267">
            <v>0</v>
          </cell>
          <cell r="E267">
            <v>34.9615112</v>
          </cell>
          <cell r="F267" t="str">
            <v>自制</v>
          </cell>
          <cell r="G267" t="str">
            <v>斯巴鲁傲虎 2.0T</v>
          </cell>
          <cell r="H267">
            <v>48</v>
          </cell>
          <cell r="I267">
            <v>46</v>
          </cell>
          <cell r="J267">
            <v>44</v>
          </cell>
          <cell r="K267">
            <v>42</v>
          </cell>
          <cell r="L267">
            <v>41</v>
          </cell>
          <cell r="M267">
            <v>39</v>
          </cell>
        </row>
        <row r="268">
          <cell r="A268" t="str">
            <v>DQ6107</v>
          </cell>
          <cell r="B268">
            <v>639</v>
          </cell>
          <cell r="C268">
            <v>26.953</v>
          </cell>
          <cell r="D268">
            <v>0</v>
          </cell>
          <cell r="E268">
            <v>26.953</v>
          </cell>
          <cell r="F268" t="str">
            <v>调货</v>
          </cell>
          <cell r="G268" t="str">
            <v>本田雅阁</v>
          </cell>
          <cell r="H268">
            <v>33</v>
          </cell>
          <cell r="I268">
            <v>32</v>
          </cell>
          <cell r="J268">
            <v>31</v>
          </cell>
          <cell r="K268">
            <v>31</v>
          </cell>
          <cell r="L268">
            <v>31</v>
          </cell>
          <cell r="M268">
            <v>30</v>
          </cell>
        </row>
        <row r="269">
          <cell r="A269" t="str">
            <v>DQ9130D2</v>
          </cell>
          <cell r="B269">
            <v>625</v>
          </cell>
          <cell r="C269">
            <v>24.06063684</v>
          </cell>
          <cell r="D269">
            <v>0</v>
          </cell>
          <cell r="E269">
            <v>24.06063684</v>
          </cell>
          <cell r="F269" t="str">
            <v>自制</v>
          </cell>
          <cell r="G269" t="str">
            <v>福特野马</v>
          </cell>
          <cell r="H269">
            <v>33</v>
          </cell>
          <cell r="I269">
            <v>32</v>
          </cell>
          <cell r="J269">
            <v>31</v>
          </cell>
          <cell r="K269">
            <v>29</v>
          </cell>
          <cell r="L269">
            <v>28</v>
          </cell>
          <cell r="M269">
            <v>27</v>
          </cell>
        </row>
        <row r="270">
          <cell r="A270" t="str">
            <v>DQ9212A</v>
          </cell>
          <cell r="B270">
            <v>624</v>
          </cell>
          <cell r="C270">
            <v>28.8063754</v>
          </cell>
          <cell r="D270">
            <v>0</v>
          </cell>
          <cell r="E270">
            <v>28.8063754</v>
          </cell>
          <cell r="F270" t="str">
            <v>自制</v>
          </cell>
          <cell r="G270" t="str">
            <v>中华尊驰/骏捷4G93</v>
          </cell>
          <cell r="H270">
            <v>39</v>
          </cell>
          <cell r="I270">
            <v>38</v>
          </cell>
          <cell r="J270">
            <v>37</v>
          </cell>
          <cell r="K270">
            <v>35</v>
          </cell>
          <cell r="L270">
            <v>34</v>
          </cell>
          <cell r="M270">
            <v>32</v>
          </cell>
        </row>
        <row r="271">
          <cell r="A271" t="str">
            <v>DQ9126A1</v>
          </cell>
          <cell r="B271">
            <v>618</v>
          </cell>
          <cell r="C271">
            <v>32.5898236666667</v>
          </cell>
          <cell r="D271">
            <v>0</v>
          </cell>
          <cell r="E271">
            <v>32.5898236666667</v>
          </cell>
          <cell r="F271" t="str">
            <v>自制</v>
          </cell>
          <cell r="G271" t="str">
            <v>路虎揽胜/极光</v>
          </cell>
          <cell r="H271">
            <v>44</v>
          </cell>
          <cell r="I271">
            <v>43</v>
          </cell>
          <cell r="J271">
            <v>41</v>
          </cell>
          <cell r="K271">
            <v>40</v>
          </cell>
          <cell r="L271">
            <v>38</v>
          </cell>
          <cell r="M271">
            <v>36</v>
          </cell>
        </row>
        <row r="272">
          <cell r="A272" t="str">
            <v>DQ6407B</v>
          </cell>
          <cell r="B272">
            <v>605</v>
          </cell>
          <cell r="C272">
            <v>41.6823702932106</v>
          </cell>
          <cell r="D272">
            <v>-0.20459570678941</v>
          </cell>
          <cell r="E272">
            <v>41.886966</v>
          </cell>
          <cell r="F272" t="str">
            <v>自制</v>
          </cell>
          <cell r="G272" t="str">
            <v>嘉年华1.5</v>
          </cell>
          <cell r="H272">
            <v>57</v>
          </cell>
          <cell r="I272">
            <v>55</v>
          </cell>
          <cell r="J272">
            <v>53</v>
          </cell>
          <cell r="K272">
            <v>51</v>
          </cell>
          <cell r="L272">
            <v>48</v>
          </cell>
          <cell r="M272">
            <v>46</v>
          </cell>
        </row>
        <row r="273">
          <cell r="A273" t="str">
            <v>DQ9074A1</v>
          </cell>
          <cell r="B273">
            <v>604</v>
          </cell>
          <cell r="C273">
            <v>43.659</v>
          </cell>
          <cell r="D273">
            <v>0</v>
          </cell>
          <cell r="E273">
            <v>43.659</v>
          </cell>
          <cell r="F273" t="str">
            <v>调货</v>
          </cell>
          <cell r="G273" t="str">
            <v>广汽传祺GM8 2.0T</v>
          </cell>
          <cell r="H273">
            <v>52</v>
          </cell>
          <cell r="I273">
            <v>52</v>
          </cell>
          <cell r="J273">
            <v>51</v>
          </cell>
          <cell r="K273">
            <v>50</v>
          </cell>
          <cell r="L273">
            <v>49</v>
          </cell>
          <cell r="M273">
            <v>49</v>
          </cell>
        </row>
        <row r="274">
          <cell r="A274" t="str">
            <v>DQ4115A1</v>
          </cell>
          <cell r="B274">
            <v>600</v>
          </cell>
          <cell r="C274">
            <v>34.22767425</v>
          </cell>
          <cell r="D274">
            <v>0</v>
          </cell>
          <cell r="E274">
            <v>34.22767425</v>
          </cell>
          <cell r="F274" t="str">
            <v>调货</v>
          </cell>
          <cell r="G274" t="str">
            <v>90919-02098</v>
          </cell>
          <cell r="H274">
            <v>41</v>
          </cell>
          <cell r="I274">
            <v>41</v>
          </cell>
          <cell r="J274">
            <v>40</v>
          </cell>
          <cell r="K274">
            <v>39</v>
          </cell>
          <cell r="L274">
            <v>39</v>
          </cell>
          <cell r="M274">
            <v>38</v>
          </cell>
        </row>
        <row r="275">
          <cell r="A275" t="str">
            <v>DQ9208</v>
          </cell>
          <cell r="B275">
            <v>599</v>
          </cell>
          <cell r="C275">
            <v>34.707651</v>
          </cell>
          <cell r="D275">
            <v>0</v>
          </cell>
          <cell r="E275">
            <v>34.707651</v>
          </cell>
          <cell r="F275" t="str">
            <v>自制</v>
          </cell>
          <cell r="G275" t="str">
            <v>江淮瑞风 三插</v>
          </cell>
          <cell r="H275">
            <v>47</v>
          </cell>
          <cell r="I275">
            <v>46</v>
          </cell>
          <cell r="J275">
            <v>44</v>
          </cell>
          <cell r="K275">
            <v>42</v>
          </cell>
          <cell r="L275">
            <v>40</v>
          </cell>
          <cell r="M275">
            <v>39</v>
          </cell>
        </row>
        <row r="276">
          <cell r="A276" t="str">
            <v>DQ9030A2</v>
          </cell>
          <cell r="B276">
            <v>596</v>
          </cell>
          <cell r="C276">
            <v>37.6902203326211</v>
          </cell>
          <cell r="D276">
            <v>1.3812003326211</v>
          </cell>
          <cell r="E276">
            <v>36.30902</v>
          </cell>
          <cell r="F276" t="str">
            <v>自制</v>
          </cell>
          <cell r="G276" t="str">
            <v>比亚迪S7(灰色杆）</v>
          </cell>
          <cell r="H276">
            <v>51</v>
          </cell>
          <cell r="I276">
            <v>49</v>
          </cell>
          <cell r="J276">
            <v>48</v>
          </cell>
          <cell r="K276">
            <v>46</v>
          </cell>
          <cell r="L276">
            <v>44</v>
          </cell>
          <cell r="M276">
            <v>42</v>
          </cell>
        </row>
        <row r="277">
          <cell r="A277" t="str">
            <v>DQ9209L</v>
          </cell>
          <cell r="B277">
            <v>595</v>
          </cell>
          <cell r="C277">
            <v>22.944218</v>
          </cell>
          <cell r="D277">
            <v>0</v>
          </cell>
          <cell r="E277">
            <v>22.944218</v>
          </cell>
          <cell r="F277" t="str">
            <v>自制</v>
          </cell>
          <cell r="G277" t="str">
            <v>菱悦V3</v>
          </cell>
          <cell r="H277">
            <v>31</v>
          </cell>
          <cell r="I277">
            <v>30</v>
          </cell>
          <cell r="J277">
            <v>29</v>
          </cell>
          <cell r="K277">
            <v>28</v>
          </cell>
          <cell r="L277">
            <v>27</v>
          </cell>
          <cell r="M277">
            <v>26</v>
          </cell>
        </row>
        <row r="278">
          <cell r="A278" t="str">
            <v>DQ9041A1</v>
          </cell>
          <cell r="B278">
            <v>582</v>
          </cell>
          <cell r="C278">
            <v>25.1102126</v>
          </cell>
          <cell r="D278">
            <v>0</v>
          </cell>
          <cell r="E278">
            <v>25.1102126</v>
          </cell>
          <cell r="F278" t="str">
            <v>自制</v>
          </cell>
          <cell r="G278" t="str">
            <v>众泰大迈X5 1.5T</v>
          </cell>
          <cell r="H278">
            <v>34</v>
          </cell>
          <cell r="I278">
            <v>33</v>
          </cell>
          <cell r="J278">
            <v>32</v>
          </cell>
          <cell r="K278">
            <v>31</v>
          </cell>
          <cell r="L278">
            <v>29</v>
          </cell>
          <cell r="M278">
            <v>28</v>
          </cell>
        </row>
        <row r="279">
          <cell r="A279" t="str">
            <v>DQ9021</v>
          </cell>
          <cell r="B279">
            <v>571</v>
          </cell>
          <cell r="C279">
            <v>24.0399148</v>
          </cell>
          <cell r="D279">
            <v>0</v>
          </cell>
          <cell r="E279">
            <v>24.0399148</v>
          </cell>
          <cell r="F279" t="str">
            <v>自制</v>
          </cell>
          <cell r="G279" t="str">
            <v>比亚迪F0</v>
          </cell>
          <cell r="H279">
            <v>33</v>
          </cell>
          <cell r="I279">
            <v>32</v>
          </cell>
          <cell r="J279">
            <v>31</v>
          </cell>
          <cell r="K279">
            <v>29</v>
          </cell>
          <cell r="L279">
            <v>28</v>
          </cell>
          <cell r="M279">
            <v>27</v>
          </cell>
        </row>
        <row r="280">
          <cell r="A280" t="str">
            <v>DQ9062A1</v>
          </cell>
          <cell r="B280">
            <v>564</v>
          </cell>
          <cell r="C280">
            <v>43.659</v>
          </cell>
          <cell r="D280">
            <v>0</v>
          </cell>
          <cell r="E280">
            <v>43.659</v>
          </cell>
          <cell r="F280" t="str">
            <v>调货</v>
          </cell>
          <cell r="G280" t="str">
            <v>东风风行 风行M7</v>
          </cell>
          <cell r="H280">
            <v>52</v>
          </cell>
          <cell r="I280">
            <v>52</v>
          </cell>
          <cell r="J280">
            <v>51</v>
          </cell>
          <cell r="K280">
            <v>50</v>
          </cell>
          <cell r="L280">
            <v>49</v>
          </cell>
          <cell r="M280">
            <v>49</v>
          </cell>
        </row>
        <row r="281">
          <cell r="A281" t="str">
            <v>DQ9013</v>
          </cell>
          <cell r="B281">
            <v>555</v>
          </cell>
          <cell r="C281">
            <v>41.58</v>
          </cell>
          <cell r="D281">
            <v>0</v>
          </cell>
          <cell r="E281">
            <v>41.58</v>
          </cell>
          <cell r="F281" t="str">
            <v>调货</v>
          </cell>
          <cell r="G281" t="str">
            <v>铃木（笔式）</v>
          </cell>
          <cell r="H281">
            <v>50</v>
          </cell>
          <cell r="I281">
            <v>49</v>
          </cell>
          <cell r="J281">
            <v>48</v>
          </cell>
          <cell r="K281">
            <v>47</v>
          </cell>
          <cell r="L281">
            <v>47</v>
          </cell>
          <cell r="M281">
            <v>46</v>
          </cell>
        </row>
        <row r="282">
          <cell r="A282" t="str">
            <v>DQ9003H8</v>
          </cell>
          <cell r="B282">
            <v>553</v>
          </cell>
          <cell r="C282">
            <v>29.5828852</v>
          </cell>
          <cell r="D282">
            <v>0</v>
          </cell>
          <cell r="E282">
            <v>29.5828852</v>
          </cell>
          <cell r="F282" t="str">
            <v>自制</v>
          </cell>
          <cell r="G282" t="str">
            <v>SM3 2.0</v>
          </cell>
          <cell r="H282">
            <v>40</v>
          </cell>
          <cell r="I282">
            <v>39</v>
          </cell>
          <cell r="J282">
            <v>37</v>
          </cell>
          <cell r="K282">
            <v>36</v>
          </cell>
          <cell r="L282">
            <v>35</v>
          </cell>
          <cell r="M282">
            <v>33</v>
          </cell>
        </row>
        <row r="283">
          <cell r="A283" t="str">
            <v>DQ9118</v>
          </cell>
          <cell r="B283">
            <v>551</v>
          </cell>
          <cell r="C283">
            <v>31.56648348</v>
          </cell>
          <cell r="D283">
            <v>0</v>
          </cell>
          <cell r="E283">
            <v>31.56648348</v>
          </cell>
          <cell r="F283" t="str">
            <v>自制</v>
          </cell>
          <cell r="G283" t="str">
            <v>夏利N5</v>
          </cell>
          <cell r="H283">
            <v>43</v>
          </cell>
          <cell r="I283">
            <v>42</v>
          </cell>
          <cell r="J283">
            <v>40</v>
          </cell>
          <cell r="K283">
            <v>38</v>
          </cell>
          <cell r="L283">
            <v>37</v>
          </cell>
          <cell r="M283">
            <v>35</v>
          </cell>
        </row>
        <row r="284">
          <cell r="A284" t="str">
            <v>DQ9031E1</v>
          </cell>
          <cell r="B284">
            <v>551</v>
          </cell>
          <cell r="C284">
            <v>39.6855247966017</v>
          </cell>
          <cell r="D284">
            <v>1.47435179660172</v>
          </cell>
          <cell r="E284">
            <v>38.211173</v>
          </cell>
          <cell r="F284" t="str">
            <v>自制</v>
          </cell>
          <cell r="G284" t="str">
            <v>MG6 1.5T</v>
          </cell>
          <cell r="H284">
            <v>54</v>
          </cell>
          <cell r="I284">
            <v>52</v>
          </cell>
          <cell r="J284">
            <v>50</v>
          </cell>
          <cell r="K284">
            <v>48</v>
          </cell>
          <cell r="L284">
            <v>46</v>
          </cell>
          <cell r="M284">
            <v>44</v>
          </cell>
        </row>
        <row r="285">
          <cell r="A285" t="str">
            <v>DQ9002A</v>
          </cell>
          <cell r="B285">
            <v>544</v>
          </cell>
          <cell r="C285">
            <v>20.6861776</v>
          </cell>
          <cell r="D285">
            <v>0</v>
          </cell>
          <cell r="E285">
            <v>20.6861776</v>
          </cell>
          <cell r="F285" t="str">
            <v>自制</v>
          </cell>
          <cell r="G285" t="str">
            <v>马六两插</v>
          </cell>
          <cell r="H285">
            <v>28</v>
          </cell>
          <cell r="I285">
            <v>27</v>
          </cell>
          <cell r="J285">
            <v>26</v>
          </cell>
          <cell r="K285">
            <v>25</v>
          </cell>
          <cell r="L285">
            <v>24</v>
          </cell>
          <cell r="M285">
            <v>23</v>
          </cell>
        </row>
        <row r="286">
          <cell r="A286" t="str">
            <v>DQ9215A</v>
          </cell>
          <cell r="B286">
            <v>541</v>
          </cell>
          <cell r="C286">
            <v>24.81765</v>
          </cell>
          <cell r="D286">
            <v>0</v>
          </cell>
          <cell r="E286">
            <v>24.81765</v>
          </cell>
          <cell r="F286" t="str">
            <v>自制</v>
          </cell>
          <cell r="G286" t="str">
            <v>比亚迪F3</v>
          </cell>
          <cell r="H286">
            <v>34</v>
          </cell>
          <cell r="I286">
            <v>33</v>
          </cell>
          <cell r="J286">
            <v>32</v>
          </cell>
          <cell r="K286">
            <v>30</v>
          </cell>
          <cell r="L286">
            <v>29</v>
          </cell>
          <cell r="M286">
            <v>28</v>
          </cell>
        </row>
        <row r="287">
          <cell r="A287" t="str">
            <v>DQ9130D1</v>
          </cell>
          <cell r="B287">
            <v>538</v>
          </cell>
          <cell r="C287">
            <v>23.42593684</v>
          </cell>
          <cell r="D287">
            <v>0</v>
          </cell>
          <cell r="E287">
            <v>23.42593684</v>
          </cell>
          <cell r="F287" t="str">
            <v>自制</v>
          </cell>
          <cell r="G287" t="str">
            <v>福特林肯</v>
          </cell>
          <cell r="H287">
            <v>32</v>
          </cell>
          <cell r="I287">
            <v>31</v>
          </cell>
          <cell r="J287">
            <v>30</v>
          </cell>
          <cell r="K287">
            <v>29</v>
          </cell>
          <cell r="L287">
            <v>27</v>
          </cell>
          <cell r="M287">
            <v>26</v>
          </cell>
        </row>
        <row r="288">
          <cell r="A288" t="str">
            <v>DQ9007L1</v>
          </cell>
          <cell r="B288">
            <v>530</v>
          </cell>
          <cell r="C288">
            <v>32.8757667666667</v>
          </cell>
          <cell r="D288">
            <v>0</v>
          </cell>
          <cell r="E288">
            <v>32.8757667666667</v>
          </cell>
          <cell r="F288" t="str">
            <v>自制</v>
          </cell>
          <cell r="G288" t="str">
            <v>现代IX35</v>
          </cell>
          <cell r="H288">
            <v>45</v>
          </cell>
          <cell r="I288">
            <v>43</v>
          </cell>
          <cell r="J288">
            <v>42</v>
          </cell>
          <cell r="K288">
            <v>40</v>
          </cell>
          <cell r="L288">
            <v>38</v>
          </cell>
          <cell r="M288">
            <v>37</v>
          </cell>
        </row>
        <row r="289">
          <cell r="A289" t="str">
            <v>DQ9132C1</v>
          </cell>
          <cell r="B289">
            <v>521</v>
          </cell>
          <cell r="C289">
            <v>31.4413188</v>
          </cell>
          <cell r="D289">
            <v>0</v>
          </cell>
          <cell r="E289">
            <v>31.4413188</v>
          </cell>
          <cell r="F289" t="str">
            <v>自制</v>
          </cell>
          <cell r="G289" t="str">
            <v>一汽森雅M80  1.5L</v>
          </cell>
          <cell r="H289">
            <v>43</v>
          </cell>
          <cell r="I289">
            <v>41</v>
          </cell>
          <cell r="J289">
            <v>40</v>
          </cell>
          <cell r="K289">
            <v>38</v>
          </cell>
          <cell r="L289">
            <v>37</v>
          </cell>
          <cell r="M289">
            <v>35</v>
          </cell>
        </row>
        <row r="290">
          <cell r="A290" t="str">
            <v>DQ9209K2</v>
          </cell>
          <cell r="B290">
            <v>519</v>
          </cell>
          <cell r="C290">
            <v>28.75609</v>
          </cell>
          <cell r="D290">
            <v>0</v>
          </cell>
          <cell r="E290">
            <v>28.75609</v>
          </cell>
          <cell r="F290" t="str">
            <v>自制</v>
          </cell>
          <cell r="G290" t="str">
            <v>长安CS75</v>
          </cell>
          <cell r="H290">
            <v>39</v>
          </cell>
          <cell r="I290">
            <v>38</v>
          </cell>
          <cell r="J290">
            <v>36</v>
          </cell>
          <cell r="K290">
            <v>35</v>
          </cell>
          <cell r="L290">
            <v>34</v>
          </cell>
          <cell r="M290">
            <v>32</v>
          </cell>
        </row>
        <row r="291">
          <cell r="A291" t="str">
            <v>DQ9132H1</v>
          </cell>
          <cell r="B291">
            <v>518</v>
          </cell>
          <cell r="C291">
            <v>31.7739374666667</v>
          </cell>
          <cell r="D291">
            <v>0</v>
          </cell>
          <cell r="E291">
            <v>31.7739374666667</v>
          </cell>
          <cell r="F291" t="str">
            <v>自制</v>
          </cell>
          <cell r="G291" t="str">
            <v>丰田Agya (9004A-19005)</v>
          </cell>
          <cell r="H291">
            <v>43</v>
          </cell>
          <cell r="I291">
            <v>42</v>
          </cell>
          <cell r="J291">
            <v>40</v>
          </cell>
          <cell r="K291">
            <v>39</v>
          </cell>
          <cell r="L291">
            <v>37</v>
          </cell>
          <cell r="M291">
            <v>35</v>
          </cell>
        </row>
        <row r="292">
          <cell r="A292" t="str">
            <v>DQ9162A1</v>
          </cell>
          <cell r="B292">
            <v>516</v>
          </cell>
          <cell r="C292">
            <v>56.86695</v>
          </cell>
          <cell r="D292">
            <v>0</v>
          </cell>
          <cell r="E292">
            <v>56.86695</v>
          </cell>
          <cell r="F292" t="str">
            <v>调货</v>
          </cell>
          <cell r="G292" t="str">
            <v>吉普道奇</v>
          </cell>
          <cell r="H292">
            <v>68</v>
          </cell>
          <cell r="I292">
            <v>67</v>
          </cell>
          <cell r="J292">
            <v>66</v>
          </cell>
          <cell r="K292">
            <v>65</v>
          </cell>
          <cell r="L292">
            <v>64</v>
          </cell>
          <cell r="M292">
            <v>63</v>
          </cell>
        </row>
        <row r="293">
          <cell r="A293" t="str">
            <v>DQ9034A4</v>
          </cell>
          <cell r="B293">
            <v>512</v>
          </cell>
          <cell r="C293">
            <v>29.320998</v>
          </cell>
          <cell r="D293">
            <v>0</v>
          </cell>
          <cell r="E293">
            <v>29.320998</v>
          </cell>
          <cell r="F293" t="str">
            <v>自制</v>
          </cell>
          <cell r="G293" t="str">
            <v>纳智捷优6 1.8T</v>
          </cell>
          <cell r="H293">
            <v>40</v>
          </cell>
          <cell r="I293">
            <v>39</v>
          </cell>
          <cell r="J293">
            <v>37</v>
          </cell>
          <cell r="K293">
            <v>36</v>
          </cell>
          <cell r="L293">
            <v>34</v>
          </cell>
          <cell r="M293">
            <v>33</v>
          </cell>
        </row>
        <row r="294">
          <cell r="A294" t="str">
            <v>DQ4105A1</v>
          </cell>
          <cell r="B294">
            <v>510</v>
          </cell>
          <cell r="C294">
            <v>32.924144</v>
          </cell>
          <cell r="D294">
            <v>0</v>
          </cell>
          <cell r="E294">
            <v>32.924144</v>
          </cell>
          <cell r="F294" t="str">
            <v>自制</v>
          </cell>
          <cell r="G294" t="str">
            <v>雪佛兰科迈罗</v>
          </cell>
          <cell r="H294">
            <v>45</v>
          </cell>
          <cell r="I294">
            <v>43</v>
          </cell>
          <cell r="J294">
            <v>42</v>
          </cell>
          <cell r="K294">
            <v>40</v>
          </cell>
          <cell r="L294">
            <v>38</v>
          </cell>
          <cell r="M294">
            <v>37</v>
          </cell>
        </row>
        <row r="295">
          <cell r="A295" t="str">
            <v>DQ9025F1</v>
          </cell>
          <cell r="B295">
            <v>509</v>
          </cell>
          <cell r="C295">
            <v>68.2230593737041</v>
          </cell>
          <cell r="D295">
            <v>0.413688073704149</v>
          </cell>
          <cell r="E295">
            <v>67.8093713</v>
          </cell>
          <cell r="F295" t="str">
            <v>自制</v>
          </cell>
          <cell r="G295" t="str">
            <v>奔驰S400L(新奔驰276系列)</v>
          </cell>
          <cell r="H295">
            <v>93</v>
          </cell>
          <cell r="I295">
            <v>89</v>
          </cell>
          <cell r="J295">
            <v>86</v>
          </cell>
          <cell r="K295">
            <v>82</v>
          </cell>
          <cell r="L295">
            <v>79</v>
          </cell>
          <cell r="M295">
            <v>76</v>
          </cell>
        </row>
        <row r="296">
          <cell r="A296" t="str">
            <v>DQ9017A1</v>
          </cell>
          <cell r="B296">
            <v>504</v>
          </cell>
          <cell r="C296">
            <v>34.7539747468034</v>
          </cell>
          <cell r="D296">
            <v>0.0638830934701024</v>
          </cell>
          <cell r="E296">
            <v>34.6900916533333</v>
          </cell>
          <cell r="F296" t="str">
            <v>自制</v>
          </cell>
          <cell r="G296" t="str">
            <v>沃尔沃</v>
          </cell>
          <cell r="H296">
            <v>47</v>
          </cell>
          <cell r="I296">
            <v>46</v>
          </cell>
          <cell r="J296">
            <v>44</v>
          </cell>
          <cell r="K296">
            <v>42</v>
          </cell>
          <cell r="L296">
            <v>40</v>
          </cell>
          <cell r="M296">
            <v>39</v>
          </cell>
        </row>
        <row r="297">
          <cell r="A297" t="str">
            <v>DQ9068A1</v>
          </cell>
          <cell r="B297">
            <v>503</v>
          </cell>
          <cell r="C297">
            <v>45.864</v>
          </cell>
          <cell r="D297">
            <v>0</v>
          </cell>
          <cell r="E297">
            <v>45.864</v>
          </cell>
          <cell r="F297" t="str">
            <v>调货</v>
          </cell>
          <cell r="G297" t="str">
            <v>宝沃BX5 1.4T /福田伽途GT 1.4T</v>
          </cell>
          <cell r="H297">
            <v>55</v>
          </cell>
          <cell r="I297">
            <v>54</v>
          </cell>
          <cell r="J297">
            <v>53</v>
          </cell>
          <cell r="K297">
            <v>52</v>
          </cell>
          <cell r="L297">
            <v>52</v>
          </cell>
          <cell r="M297">
            <v>51</v>
          </cell>
        </row>
        <row r="298">
          <cell r="A298" t="str">
            <v>DQ9209Q</v>
          </cell>
          <cell r="B298">
            <v>495</v>
          </cell>
          <cell r="C298">
            <v>22.787303</v>
          </cell>
          <cell r="D298">
            <v>0</v>
          </cell>
          <cell r="E298">
            <v>22.787303</v>
          </cell>
          <cell r="F298" t="str">
            <v>自制</v>
          </cell>
          <cell r="G298" t="str">
            <v>奇瑞开瑞</v>
          </cell>
          <cell r="H298">
            <v>31</v>
          </cell>
          <cell r="I298">
            <v>30</v>
          </cell>
          <cell r="J298">
            <v>29</v>
          </cell>
          <cell r="K298">
            <v>28</v>
          </cell>
          <cell r="L298">
            <v>27</v>
          </cell>
          <cell r="M298">
            <v>26</v>
          </cell>
        </row>
        <row r="299">
          <cell r="A299" t="str">
            <v>DQ9205A2</v>
          </cell>
          <cell r="B299">
            <v>494</v>
          </cell>
          <cell r="C299">
            <v>36.105146</v>
          </cell>
          <cell r="D299">
            <v>0</v>
          </cell>
          <cell r="E299">
            <v>36.105146</v>
          </cell>
          <cell r="F299" t="str">
            <v>自制</v>
          </cell>
          <cell r="G299" t="str">
            <v>菱智1.5L</v>
          </cell>
          <cell r="H299">
            <v>49</v>
          </cell>
          <cell r="I299">
            <v>47</v>
          </cell>
          <cell r="J299">
            <v>46</v>
          </cell>
          <cell r="K299">
            <v>44</v>
          </cell>
          <cell r="L299">
            <v>42</v>
          </cell>
          <cell r="M299">
            <v>40</v>
          </cell>
        </row>
        <row r="300">
          <cell r="A300" t="str">
            <v>DQ9046B1</v>
          </cell>
          <cell r="B300">
            <v>492</v>
          </cell>
          <cell r="C300">
            <v>24.3923592</v>
          </cell>
          <cell r="D300">
            <v>0</v>
          </cell>
          <cell r="E300">
            <v>24.3923592</v>
          </cell>
          <cell r="F300" t="str">
            <v>自制</v>
          </cell>
          <cell r="G300" t="str">
            <v>吉利美日 2.0L</v>
          </cell>
          <cell r="H300">
            <v>33</v>
          </cell>
          <cell r="I300">
            <v>32</v>
          </cell>
          <cell r="J300">
            <v>31</v>
          </cell>
          <cell r="K300">
            <v>30</v>
          </cell>
          <cell r="L300">
            <v>29</v>
          </cell>
          <cell r="M300">
            <v>27</v>
          </cell>
        </row>
        <row r="301">
          <cell r="A301" t="str">
            <v>DQ9219C1</v>
          </cell>
          <cell r="B301">
            <v>487</v>
          </cell>
          <cell r="C301">
            <v>25.0887406</v>
          </cell>
          <cell r="D301">
            <v>0</v>
          </cell>
          <cell r="E301">
            <v>25.0887406</v>
          </cell>
          <cell r="F301" t="str">
            <v>自制</v>
          </cell>
          <cell r="G301" t="str">
            <v>瑞虎5 2.0/瑞虎3 1.6</v>
          </cell>
          <cell r="H301">
            <v>34</v>
          </cell>
          <cell r="I301">
            <v>33</v>
          </cell>
          <cell r="J301">
            <v>32</v>
          </cell>
          <cell r="K301">
            <v>31</v>
          </cell>
          <cell r="L301">
            <v>29</v>
          </cell>
          <cell r="M301">
            <v>28</v>
          </cell>
        </row>
        <row r="302">
          <cell r="A302" t="str">
            <v>DQ9132E1</v>
          </cell>
          <cell r="B302">
            <v>483</v>
          </cell>
          <cell r="C302">
            <v>30.3698599333333</v>
          </cell>
          <cell r="D302">
            <v>0</v>
          </cell>
          <cell r="E302">
            <v>30.3698599333333</v>
          </cell>
          <cell r="F302" t="str">
            <v>自制</v>
          </cell>
          <cell r="G302" t="str">
            <v>大发 米拉</v>
          </cell>
          <cell r="H302">
            <v>41</v>
          </cell>
          <cell r="I302">
            <v>40</v>
          </cell>
          <cell r="J302">
            <v>38</v>
          </cell>
          <cell r="K302">
            <v>37</v>
          </cell>
          <cell r="L302">
            <v>35</v>
          </cell>
          <cell r="M302">
            <v>34</v>
          </cell>
        </row>
        <row r="303">
          <cell r="A303" t="str">
            <v>DQ9212</v>
          </cell>
          <cell r="B303">
            <v>482</v>
          </cell>
          <cell r="C303">
            <v>26.5533554</v>
          </cell>
          <cell r="D303">
            <v>0</v>
          </cell>
          <cell r="E303">
            <v>26.5533554</v>
          </cell>
          <cell r="F303" t="str">
            <v>自制</v>
          </cell>
          <cell r="G303" t="str">
            <v>中华4G94</v>
          </cell>
          <cell r="H303">
            <v>36</v>
          </cell>
          <cell r="I303">
            <v>35</v>
          </cell>
          <cell r="J303">
            <v>34</v>
          </cell>
          <cell r="K303">
            <v>32</v>
          </cell>
          <cell r="L303">
            <v>31</v>
          </cell>
          <cell r="M303">
            <v>30</v>
          </cell>
        </row>
        <row r="304">
          <cell r="A304" t="str">
            <v>DQ9132J1</v>
          </cell>
          <cell r="B304">
            <v>476</v>
          </cell>
          <cell r="C304">
            <v>36.5550534</v>
          </cell>
          <cell r="D304">
            <v>0</v>
          </cell>
          <cell r="E304">
            <v>36.5550534</v>
          </cell>
          <cell r="F304" t="str">
            <v>自制</v>
          </cell>
          <cell r="G304" t="str">
            <v>大发B2050</v>
          </cell>
          <cell r="H304">
            <v>50</v>
          </cell>
          <cell r="I304">
            <v>48</v>
          </cell>
          <cell r="J304">
            <v>46</v>
          </cell>
          <cell r="K304">
            <v>44</v>
          </cell>
          <cell r="L304">
            <v>43</v>
          </cell>
          <cell r="M304">
            <v>41</v>
          </cell>
        </row>
        <row r="305">
          <cell r="A305" t="str">
            <v>DQ9219B1</v>
          </cell>
          <cell r="B305">
            <v>466</v>
          </cell>
          <cell r="C305">
            <v>25.5372729733333</v>
          </cell>
          <cell r="D305">
            <v>0</v>
          </cell>
          <cell r="E305">
            <v>25.5372729733333</v>
          </cell>
          <cell r="F305" t="str">
            <v>自制</v>
          </cell>
          <cell r="G305" t="str">
            <v>瑞风M3/M4</v>
          </cell>
          <cell r="H305">
            <v>35</v>
          </cell>
          <cell r="I305">
            <v>34</v>
          </cell>
          <cell r="J305">
            <v>32</v>
          </cell>
          <cell r="K305">
            <v>31</v>
          </cell>
          <cell r="L305">
            <v>30</v>
          </cell>
          <cell r="M305">
            <v>29</v>
          </cell>
        </row>
        <row r="306">
          <cell r="A306" t="str">
            <v>DQ9209S</v>
          </cell>
          <cell r="B306">
            <v>460</v>
          </cell>
          <cell r="C306">
            <v>25.331218</v>
          </cell>
          <cell r="D306">
            <v>0</v>
          </cell>
          <cell r="E306">
            <v>25.331218</v>
          </cell>
          <cell r="F306" t="str">
            <v>自制</v>
          </cell>
          <cell r="G306" t="str">
            <v>比亚迪S6</v>
          </cell>
          <cell r="H306">
            <v>35</v>
          </cell>
          <cell r="I306">
            <v>33</v>
          </cell>
          <cell r="J306">
            <v>32</v>
          </cell>
          <cell r="K306">
            <v>31</v>
          </cell>
          <cell r="L306">
            <v>30</v>
          </cell>
          <cell r="M306">
            <v>28</v>
          </cell>
        </row>
        <row r="307">
          <cell r="A307" t="str">
            <v>DQ9219A5</v>
          </cell>
          <cell r="B307">
            <v>460</v>
          </cell>
          <cell r="C307">
            <v>20.6687085</v>
          </cell>
          <cell r="D307">
            <v>0</v>
          </cell>
          <cell r="E307">
            <v>20.6687085</v>
          </cell>
          <cell r="F307" t="str">
            <v>自制</v>
          </cell>
          <cell r="G307" t="str">
            <v>哈飞骏意</v>
          </cell>
          <cell r="H307">
            <v>28</v>
          </cell>
          <cell r="I307">
            <v>27</v>
          </cell>
          <cell r="J307">
            <v>26</v>
          </cell>
          <cell r="K307">
            <v>25</v>
          </cell>
          <cell r="L307">
            <v>24</v>
          </cell>
          <cell r="M307">
            <v>23</v>
          </cell>
        </row>
        <row r="308">
          <cell r="A308" t="str">
            <v>DQ9130C1</v>
          </cell>
          <cell r="B308">
            <v>456</v>
          </cell>
          <cell r="C308">
            <v>26.39780932</v>
          </cell>
          <cell r="D308">
            <v>0</v>
          </cell>
          <cell r="E308">
            <v>26.39780932</v>
          </cell>
          <cell r="F308" t="str">
            <v>自制</v>
          </cell>
          <cell r="G308" t="str">
            <v>福特翼虎(美规)3.0L</v>
          </cell>
          <cell r="H308">
            <v>36</v>
          </cell>
          <cell r="I308">
            <v>35</v>
          </cell>
          <cell r="J308">
            <v>33</v>
          </cell>
          <cell r="K308">
            <v>32</v>
          </cell>
          <cell r="L308">
            <v>31</v>
          </cell>
          <cell r="M308">
            <v>30</v>
          </cell>
        </row>
        <row r="309">
          <cell r="A309" t="str">
            <v>DQ910829</v>
          </cell>
          <cell r="B309">
            <v>454</v>
          </cell>
          <cell r="C309">
            <v>29.30910532</v>
          </cell>
          <cell r="D309">
            <v>0</v>
          </cell>
          <cell r="E309">
            <v>29.30910532</v>
          </cell>
          <cell r="F309" t="str">
            <v>自制</v>
          </cell>
          <cell r="G309" t="str">
            <v>丰田02229</v>
          </cell>
          <cell r="H309">
            <v>40</v>
          </cell>
          <cell r="I309">
            <v>39</v>
          </cell>
          <cell r="J309">
            <v>37</v>
          </cell>
          <cell r="K309">
            <v>36</v>
          </cell>
          <cell r="L309">
            <v>34</v>
          </cell>
          <cell r="M309">
            <v>33</v>
          </cell>
        </row>
        <row r="310">
          <cell r="A310" t="str">
            <v>DQ9217B</v>
          </cell>
          <cell r="B310">
            <v>452</v>
          </cell>
          <cell r="C310">
            <v>32.160854</v>
          </cell>
          <cell r="D310">
            <v>0</v>
          </cell>
          <cell r="E310">
            <v>32.160854</v>
          </cell>
          <cell r="F310" t="str">
            <v>自制</v>
          </cell>
          <cell r="G310" t="str">
            <v>福美来短杆（国外）</v>
          </cell>
          <cell r="H310">
            <v>44</v>
          </cell>
          <cell r="I310">
            <v>42</v>
          </cell>
          <cell r="J310">
            <v>41</v>
          </cell>
          <cell r="K310">
            <v>39</v>
          </cell>
          <cell r="L310">
            <v>37</v>
          </cell>
          <cell r="M310">
            <v>36</v>
          </cell>
        </row>
        <row r="311">
          <cell r="A311" t="str">
            <v>DQ9036B1</v>
          </cell>
          <cell r="B311">
            <v>450</v>
          </cell>
          <cell r="C311">
            <v>28.3465006</v>
          </cell>
          <cell r="D311">
            <v>0</v>
          </cell>
          <cell r="E311">
            <v>28.3465006</v>
          </cell>
          <cell r="F311" t="str">
            <v>自制</v>
          </cell>
          <cell r="G311" t="str">
            <v>菲亚特</v>
          </cell>
          <cell r="H311">
            <v>39</v>
          </cell>
          <cell r="I311">
            <v>37</v>
          </cell>
          <cell r="J311">
            <v>36</v>
          </cell>
          <cell r="K311">
            <v>35</v>
          </cell>
          <cell r="L311">
            <v>33</v>
          </cell>
          <cell r="M311">
            <v>32</v>
          </cell>
        </row>
        <row r="312">
          <cell r="A312" t="str">
            <v>DQ9026A2</v>
          </cell>
          <cell r="B312">
            <v>449</v>
          </cell>
          <cell r="C312">
            <v>35.3163145330876</v>
          </cell>
          <cell r="D312">
            <v>3.41287813308759</v>
          </cell>
          <cell r="E312">
            <v>31.9034364</v>
          </cell>
          <cell r="F312" t="str">
            <v>自制</v>
          </cell>
          <cell r="G312" t="str">
            <v>捷豹 XJL(进口) 5.0L/5.0T</v>
          </cell>
          <cell r="H312">
            <v>48</v>
          </cell>
          <cell r="I312">
            <v>46</v>
          </cell>
          <cell r="J312">
            <v>45</v>
          </cell>
          <cell r="K312">
            <v>43</v>
          </cell>
          <cell r="L312">
            <v>41</v>
          </cell>
          <cell r="M312">
            <v>39</v>
          </cell>
        </row>
        <row r="313">
          <cell r="A313" t="str">
            <v>DQ9026A1</v>
          </cell>
          <cell r="B313">
            <v>448</v>
          </cell>
          <cell r="C313">
            <v>35.2111068423176</v>
          </cell>
          <cell r="D313">
            <v>2.86620964231756</v>
          </cell>
          <cell r="E313">
            <v>32.3448972</v>
          </cell>
          <cell r="F313" t="str">
            <v>自制</v>
          </cell>
          <cell r="G313" t="str">
            <v>路虎5.0T</v>
          </cell>
          <cell r="H313">
            <v>48</v>
          </cell>
          <cell r="I313">
            <v>46</v>
          </cell>
          <cell r="J313">
            <v>45</v>
          </cell>
          <cell r="K313">
            <v>43</v>
          </cell>
          <cell r="L313">
            <v>41</v>
          </cell>
          <cell r="M313">
            <v>39</v>
          </cell>
        </row>
        <row r="314">
          <cell r="A314" t="str">
            <v>DQ9062A3</v>
          </cell>
          <cell r="B314">
            <v>448</v>
          </cell>
          <cell r="C314">
            <v>43.659</v>
          </cell>
          <cell r="D314">
            <v>0</v>
          </cell>
          <cell r="E314">
            <v>43.659</v>
          </cell>
          <cell r="F314" t="str">
            <v>调货</v>
          </cell>
          <cell r="G314" t="str">
            <v>长城风骏5 2.4L</v>
          </cell>
          <cell r="H314">
            <v>52</v>
          </cell>
          <cell r="I314">
            <v>52</v>
          </cell>
          <cell r="J314">
            <v>51</v>
          </cell>
          <cell r="K314">
            <v>50</v>
          </cell>
          <cell r="L314">
            <v>49</v>
          </cell>
          <cell r="M314">
            <v>49</v>
          </cell>
        </row>
        <row r="315">
          <cell r="A315" t="str">
            <v>DQ9101C2</v>
          </cell>
          <cell r="B315">
            <v>447</v>
          </cell>
          <cell r="C315">
            <v>20.6349863333333</v>
          </cell>
          <cell r="D315">
            <v>0</v>
          </cell>
          <cell r="E315">
            <v>20.6349863333333</v>
          </cell>
          <cell r="F315" t="str">
            <v>自制</v>
          </cell>
          <cell r="G315" t="str">
            <v>现代ix35</v>
          </cell>
          <cell r="H315">
            <v>28</v>
          </cell>
          <cell r="I315">
            <v>27</v>
          </cell>
          <cell r="J315">
            <v>26</v>
          </cell>
          <cell r="K315">
            <v>25</v>
          </cell>
          <cell r="L315">
            <v>24</v>
          </cell>
          <cell r="M315">
            <v>23</v>
          </cell>
        </row>
        <row r="316">
          <cell r="A316" t="str">
            <v>DQ9209J</v>
          </cell>
          <cell r="B316">
            <v>446</v>
          </cell>
          <cell r="C316">
            <v>23.085403</v>
          </cell>
          <cell r="D316">
            <v>0</v>
          </cell>
          <cell r="E316">
            <v>23.085403</v>
          </cell>
          <cell r="F316" t="str">
            <v>自制</v>
          </cell>
          <cell r="G316" t="str">
            <v>吉利远景</v>
          </cell>
          <cell r="H316">
            <v>32</v>
          </cell>
          <cell r="I316">
            <v>31</v>
          </cell>
          <cell r="J316">
            <v>29</v>
          </cell>
          <cell r="K316">
            <v>28</v>
          </cell>
          <cell r="L316">
            <v>27</v>
          </cell>
          <cell r="M316">
            <v>26</v>
          </cell>
        </row>
        <row r="317">
          <cell r="A317" t="str">
            <v>DQ9010D</v>
          </cell>
          <cell r="B317">
            <v>441</v>
          </cell>
          <cell r="C317">
            <v>27.041446</v>
          </cell>
          <cell r="D317">
            <v>0</v>
          </cell>
          <cell r="E317">
            <v>27.041446</v>
          </cell>
          <cell r="F317" t="str">
            <v>自制</v>
          </cell>
          <cell r="G317" t="str">
            <v>新飞度</v>
          </cell>
          <cell r="H317">
            <v>37</v>
          </cell>
          <cell r="I317">
            <v>36</v>
          </cell>
          <cell r="J317">
            <v>34</v>
          </cell>
          <cell r="K317">
            <v>33</v>
          </cell>
          <cell r="L317">
            <v>32</v>
          </cell>
          <cell r="M317">
            <v>30</v>
          </cell>
        </row>
        <row r="318">
          <cell r="A318" t="str">
            <v>DQ4201A1</v>
          </cell>
          <cell r="B318">
            <v>440</v>
          </cell>
          <cell r="C318">
            <v>49.535325</v>
          </cell>
          <cell r="D318">
            <v>0</v>
          </cell>
          <cell r="E318">
            <v>49.535325</v>
          </cell>
          <cell r="F318" t="str">
            <v>调货</v>
          </cell>
          <cell r="G318" t="str">
            <v>奔驰210</v>
          </cell>
          <cell r="H318">
            <v>59</v>
          </cell>
          <cell r="I318">
            <v>58</v>
          </cell>
          <cell r="J318">
            <v>57</v>
          </cell>
          <cell r="K318">
            <v>56</v>
          </cell>
          <cell r="L318">
            <v>56</v>
          </cell>
          <cell r="M318">
            <v>55</v>
          </cell>
        </row>
        <row r="319">
          <cell r="A319" t="str">
            <v>DQ9045D1</v>
          </cell>
          <cell r="B319">
            <v>435</v>
          </cell>
          <cell r="C319">
            <v>51.3765</v>
          </cell>
          <cell r="D319">
            <v>0</v>
          </cell>
          <cell r="E319">
            <v>51.3765</v>
          </cell>
          <cell r="F319" t="str">
            <v>调货</v>
          </cell>
          <cell r="G319" t="str">
            <v>斯巴鲁森林人2.0L</v>
          </cell>
          <cell r="H319">
            <v>62</v>
          </cell>
          <cell r="I319">
            <v>61</v>
          </cell>
          <cell r="J319">
            <v>60</v>
          </cell>
          <cell r="K319">
            <v>59</v>
          </cell>
          <cell r="L319">
            <v>58</v>
          </cell>
          <cell r="M319">
            <v>57</v>
          </cell>
        </row>
        <row r="320">
          <cell r="A320" t="str">
            <v>DQ9103F</v>
          </cell>
          <cell r="B320">
            <v>434</v>
          </cell>
          <cell r="C320">
            <v>43.686696</v>
          </cell>
          <cell r="D320">
            <v>0</v>
          </cell>
          <cell r="E320">
            <v>43.686696</v>
          </cell>
          <cell r="F320" t="str">
            <v>自制</v>
          </cell>
          <cell r="G320" t="str">
            <v>途观 1.8T</v>
          </cell>
          <cell r="H320">
            <v>59</v>
          </cell>
          <cell r="I320">
            <v>57</v>
          </cell>
          <cell r="J320">
            <v>55</v>
          </cell>
          <cell r="K320">
            <v>53</v>
          </cell>
          <cell r="L320">
            <v>51</v>
          </cell>
          <cell r="M320">
            <v>49</v>
          </cell>
        </row>
        <row r="321">
          <cell r="A321" t="str">
            <v>DQ910804</v>
          </cell>
          <cell r="B321">
            <v>434</v>
          </cell>
          <cell r="C321">
            <v>31.5991525208851</v>
          </cell>
          <cell r="D321">
            <v>1.95518135421835</v>
          </cell>
          <cell r="E321">
            <v>29.6439711666667</v>
          </cell>
          <cell r="F321" t="str">
            <v>自制</v>
          </cell>
          <cell r="G321" t="str">
            <v>锐志</v>
          </cell>
          <cell r="H321">
            <v>43</v>
          </cell>
          <cell r="I321">
            <v>42</v>
          </cell>
          <cell r="J321">
            <v>40</v>
          </cell>
          <cell r="K321">
            <v>38</v>
          </cell>
          <cell r="L321">
            <v>37</v>
          </cell>
          <cell r="M321">
            <v>35</v>
          </cell>
        </row>
        <row r="322">
          <cell r="A322" t="str">
            <v>DQ9003F1</v>
          </cell>
          <cell r="B322">
            <v>425</v>
          </cell>
          <cell r="C322">
            <v>29.6852570198285</v>
          </cell>
          <cell r="D322">
            <v>1.25495181982848</v>
          </cell>
          <cell r="E322">
            <v>28.4303052</v>
          </cell>
          <cell r="F322" t="str">
            <v>自制</v>
          </cell>
          <cell r="G322" t="str">
            <v>日产 370Z  V6 3.7L/英菲尼迪</v>
          </cell>
          <cell r="H322">
            <v>41</v>
          </cell>
          <cell r="I322">
            <v>39</v>
          </cell>
          <cell r="J322">
            <v>38</v>
          </cell>
          <cell r="K322">
            <v>36</v>
          </cell>
          <cell r="L322">
            <v>35</v>
          </cell>
          <cell r="M322">
            <v>33</v>
          </cell>
        </row>
        <row r="323">
          <cell r="A323" t="str">
            <v>DQ9064A1</v>
          </cell>
          <cell r="B323">
            <v>422</v>
          </cell>
          <cell r="C323">
            <v>35.2434550628993</v>
          </cell>
          <cell r="D323">
            <v>0.505534262899312</v>
          </cell>
          <cell r="E323">
            <v>34.7379208</v>
          </cell>
          <cell r="F323" t="str">
            <v>自制</v>
          </cell>
          <cell r="G323" t="str">
            <v>上汽MAXUS G10</v>
          </cell>
          <cell r="H323">
            <v>48</v>
          </cell>
          <cell r="I323">
            <v>46</v>
          </cell>
          <cell r="J323">
            <v>45</v>
          </cell>
          <cell r="K323">
            <v>43</v>
          </cell>
          <cell r="L323">
            <v>41</v>
          </cell>
          <cell r="M323">
            <v>39</v>
          </cell>
        </row>
        <row r="324">
          <cell r="A324" t="str">
            <v>DQ9062A2</v>
          </cell>
          <cell r="B324">
            <v>422</v>
          </cell>
          <cell r="C324">
            <v>43.659</v>
          </cell>
          <cell r="D324">
            <v>0</v>
          </cell>
          <cell r="E324">
            <v>43.659</v>
          </cell>
          <cell r="F324" t="str">
            <v>调货</v>
          </cell>
          <cell r="G324" t="str">
            <v>新款东风柳汽</v>
          </cell>
          <cell r="H324">
            <v>52</v>
          </cell>
          <cell r="I324">
            <v>52</v>
          </cell>
          <cell r="J324">
            <v>51</v>
          </cell>
          <cell r="K324">
            <v>50</v>
          </cell>
          <cell r="L324">
            <v>49</v>
          </cell>
          <cell r="M324">
            <v>49</v>
          </cell>
        </row>
        <row r="325">
          <cell r="A325" t="str">
            <v>DQ9046A2</v>
          </cell>
          <cell r="B325">
            <v>421</v>
          </cell>
          <cell r="C325">
            <v>23.6113592</v>
          </cell>
          <cell r="D325">
            <v>0</v>
          </cell>
          <cell r="E325">
            <v>23.6113592</v>
          </cell>
          <cell r="F325" t="str">
            <v>自制</v>
          </cell>
          <cell r="G325" t="str">
            <v>力帆330 1.3L</v>
          </cell>
          <cell r="H325">
            <v>32</v>
          </cell>
          <cell r="I325">
            <v>31</v>
          </cell>
          <cell r="J325">
            <v>30</v>
          </cell>
          <cell r="K325">
            <v>29</v>
          </cell>
          <cell r="L325">
            <v>28</v>
          </cell>
          <cell r="M325">
            <v>26</v>
          </cell>
        </row>
        <row r="326">
          <cell r="A326" t="str">
            <v>DQ9132K1</v>
          </cell>
          <cell r="B326">
            <v>415</v>
          </cell>
          <cell r="C326">
            <v>37.10866932</v>
          </cell>
          <cell r="D326">
            <v>0</v>
          </cell>
          <cell r="E326">
            <v>37.10866932</v>
          </cell>
          <cell r="F326" t="str">
            <v>自制</v>
          </cell>
          <cell r="G326" t="str">
            <v>大发B2040</v>
          </cell>
          <cell r="H326">
            <v>51</v>
          </cell>
          <cell r="I326">
            <v>49</v>
          </cell>
          <cell r="J326">
            <v>47</v>
          </cell>
          <cell r="K326">
            <v>45</v>
          </cell>
          <cell r="L326">
            <v>43</v>
          </cell>
          <cell r="M326">
            <v>41</v>
          </cell>
        </row>
        <row r="327">
          <cell r="A327" t="str">
            <v>DQ9025K1</v>
          </cell>
          <cell r="B327">
            <v>407</v>
          </cell>
          <cell r="C327">
            <v>48.8452565021611</v>
          </cell>
          <cell r="D327">
            <v>7.7796517021611</v>
          </cell>
          <cell r="E327">
            <v>41.0656048</v>
          </cell>
          <cell r="F327" t="str">
            <v>自制</v>
          </cell>
          <cell r="G327" t="str">
            <v>奔驰1.3T</v>
          </cell>
          <cell r="H327">
            <v>66</v>
          </cell>
          <cell r="I327">
            <v>64</v>
          </cell>
          <cell r="J327">
            <v>62</v>
          </cell>
          <cell r="K327">
            <v>59</v>
          </cell>
          <cell r="L327">
            <v>57</v>
          </cell>
          <cell r="M327">
            <v>54</v>
          </cell>
        </row>
        <row r="328">
          <cell r="A328" t="str">
            <v>DQ9113E1</v>
          </cell>
          <cell r="B328">
            <v>403</v>
          </cell>
          <cell r="C328">
            <v>34.0275078666667</v>
          </cell>
          <cell r="D328">
            <v>0</v>
          </cell>
          <cell r="E328">
            <v>34.0275078666667</v>
          </cell>
          <cell r="F328" t="str">
            <v>自制</v>
          </cell>
          <cell r="G328" t="str">
            <v>6Y02 奔驰</v>
          </cell>
          <cell r="H328">
            <v>46</v>
          </cell>
          <cell r="I328">
            <v>45</v>
          </cell>
          <cell r="J328">
            <v>43</v>
          </cell>
          <cell r="K328">
            <v>41</v>
          </cell>
          <cell r="L328">
            <v>40</v>
          </cell>
          <cell r="M328">
            <v>38</v>
          </cell>
        </row>
        <row r="329">
          <cell r="A329" t="str">
            <v>DQ9105L</v>
          </cell>
          <cell r="B329">
            <v>396</v>
          </cell>
          <cell r="C329">
            <v>22.7707498533333</v>
          </cell>
          <cell r="D329">
            <v>0</v>
          </cell>
          <cell r="E329">
            <v>22.7707498533333</v>
          </cell>
          <cell r="F329" t="str">
            <v>自制</v>
          </cell>
          <cell r="G329" t="str">
            <v>奇瑞QQ 0.8L</v>
          </cell>
          <cell r="H329">
            <v>31</v>
          </cell>
          <cell r="I329">
            <v>30</v>
          </cell>
          <cell r="J329">
            <v>29</v>
          </cell>
          <cell r="K329">
            <v>28</v>
          </cell>
          <cell r="L329">
            <v>27</v>
          </cell>
          <cell r="M329">
            <v>26</v>
          </cell>
        </row>
        <row r="330">
          <cell r="A330" t="str">
            <v>DQ133A</v>
          </cell>
          <cell r="B330">
            <v>393</v>
          </cell>
          <cell r="C330">
            <v>48.6725033959102</v>
          </cell>
          <cell r="D330">
            <v>-0.862476604089781</v>
          </cell>
          <cell r="E330">
            <v>49.53498</v>
          </cell>
          <cell r="F330" t="str">
            <v>自制</v>
          </cell>
          <cell r="G330" t="str">
            <v>福特(四头)</v>
          </cell>
          <cell r="H330">
            <v>66</v>
          </cell>
          <cell r="I330">
            <v>64</v>
          </cell>
          <cell r="J330">
            <v>61</v>
          </cell>
          <cell r="K330">
            <v>59</v>
          </cell>
          <cell r="L330">
            <v>56</v>
          </cell>
          <cell r="M330">
            <v>54</v>
          </cell>
        </row>
        <row r="331">
          <cell r="A331" t="str">
            <v>DQ9103H</v>
          </cell>
          <cell r="B331">
            <v>388</v>
          </cell>
          <cell r="C331">
            <v>32.5271734</v>
          </cell>
          <cell r="D331">
            <v>0</v>
          </cell>
          <cell r="E331">
            <v>32.5271734</v>
          </cell>
          <cell r="F331" t="str">
            <v>自制</v>
          </cell>
          <cell r="G331" t="str">
            <v>辉腾</v>
          </cell>
          <cell r="H331">
            <v>44</v>
          </cell>
          <cell r="I331">
            <v>43</v>
          </cell>
          <cell r="J331">
            <v>41</v>
          </cell>
          <cell r="K331">
            <v>40</v>
          </cell>
          <cell r="L331">
            <v>38</v>
          </cell>
          <cell r="M331">
            <v>36</v>
          </cell>
        </row>
        <row r="332">
          <cell r="A332" t="str">
            <v>DQ9060A1</v>
          </cell>
          <cell r="B332">
            <v>386</v>
          </cell>
          <cell r="C332">
            <v>28.3486126</v>
          </cell>
          <cell r="D332">
            <v>0</v>
          </cell>
          <cell r="E332">
            <v>28.3486126</v>
          </cell>
          <cell r="F332" t="str">
            <v>自制</v>
          </cell>
          <cell r="G332" t="str">
            <v>东风风光Ixi5</v>
          </cell>
          <cell r="H332">
            <v>39</v>
          </cell>
          <cell r="I332">
            <v>37</v>
          </cell>
          <cell r="J332">
            <v>36</v>
          </cell>
          <cell r="K332">
            <v>35</v>
          </cell>
          <cell r="L332">
            <v>33</v>
          </cell>
          <cell r="M332">
            <v>32</v>
          </cell>
        </row>
        <row r="333">
          <cell r="A333" t="str">
            <v>DQ9003A5</v>
          </cell>
          <cell r="B333">
            <v>385</v>
          </cell>
          <cell r="C333">
            <v>26.8355252</v>
          </cell>
          <cell r="D333">
            <v>0</v>
          </cell>
          <cell r="E333">
            <v>26.8355252</v>
          </cell>
          <cell r="F333" t="str">
            <v>自制</v>
          </cell>
          <cell r="G333" t="str">
            <v>SM3</v>
          </cell>
          <cell r="H333">
            <v>37</v>
          </cell>
          <cell r="I333">
            <v>35</v>
          </cell>
          <cell r="J333">
            <v>34</v>
          </cell>
          <cell r="K333">
            <v>33</v>
          </cell>
          <cell r="L333">
            <v>31</v>
          </cell>
          <cell r="M333">
            <v>30</v>
          </cell>
        </row>
        <row r="334">
          <cell r="A334" t="str">
            <v>DQ9023C2</v>
          </cell>
          <cell r="B334">
            <v>384</v>
          </cell>
          <cell r="C334">
            <v>33.0943202666667</v>
          </cell>
          <cell r="D334">
            <v>0</v>
          </cell>
          <cell r="E334">
            <v>33.0943202666667</v>
          </cell>
          <cell r="F334" t="str">
            <v>自制</v>
          </cell>
          <cell r="G334" t="str">
            <v>大众斯柯达</v>
          </cell>
          <cell r="H334">
            <v>45</v>
          </cell>
          <cell r="I334">
            <v>44</v>
          </cell>
          <cell r="J334">
            <v>42</v>
          </cell>
          <cell r="K334">
            <v>40</v>
          </cell>
          <cell r="L334">
            <v>39</v>
          </cell>
          <cell r="M334">
            <v>37</v>
          </cell>
        </row>
        <row r="335">
          <cell r="A335" t="str">
            <v>DQ9057A1</v>
          </cell>
          <cell r="B335">
            <v>376</v>
          </cell>
          <cell r="C335">
            <v>44.4841060449438</v>
          </cell>
          <cell r="D335">
            <v>0.825106044943821</v>
          </cell>
          <cell r="E335">
            <v>43.659</v>
          </cell>
          <cell r="F335" t="str">
            <v>调货</v>
          </cell>
          <cell r="G335" t="str">
            <v>比速T5</v>
          </cell>
          <cell r="H335">
            <v>53</v>
          </cell>
          <cell r="I335">
            <v>53</v>
          </cell>
          <cell r="J335">
            <v>52</v>
          </cell>
          <cell r="K335">
            <v>51</v>
          </cell>
          <cell r="L335">
            <v>50</v>
          </cell>
          <cell r="M335">
            <v>49</v>
          </cell>
        </row>
        <row r="336">
          <cell r="A336" t="str">
            <v>DQ6206</v>
          </cell>
          <cell r="B336">
            <v>375</v>
          </cell>
          <cell r="C336">
            <v>26.1765</v>
          </cell>
          <cell r="D336">
            <v>0</v>
          </cell>
          <cell r="E336">
            <v>26.1765</v>
          </cell>
          <cell r="F336" t="str">
            <v>调货</v>
          </cell>
          <cell r="G336" t="str">
            <v>三菱帕杰罗二代</v>
          </cell>
          <cell r="H336">
            <v>32</v>
          </cell>
          <cell r="I336">
            <v>31</v>
          </cell>
          <cell r="J336">
            <v>31</v>
          </cell>
          <cell r="K336">
            <v>30</v>
          </cell>
          <cell r="L336">
            <v>30</v>
          </cell>
          <cell r="M336">
            <v>29</v>
          </cell>
        </row>
        <row r="337">
          <cell r="A337" t="str">
            <v>DQ9113A</v>
          </cell>
          <cell r="B337">
            <v>371</v>
          </cell>
          <cell r="C337">
            <v>19.8928193333333</v>
          </cell>
          <cell r="D337">
            <v>0</v>
          </cell>
          <cell r="E337">
            <v>19.8928193333333</v>
          </cell>
          <cell r="F337" t="str">
            <v>自制</v>
          </cell>
          <cell r="G337" t="str">
            <v>长城嘉誉无模块</v>
          </cell>
          <cell r="H337">
            <v>27</v>
          </cell>
          <cell r="I337">
            <v>26</v>
          </cell>
          <cell r="J337">
            <v>25</v>
          </cell>
          <cell r="K337">
            <v>24</v>
          </cell>
          <cell r="L337">
            <v>23</v>
          </cell>
          <cell r="M337">
            <v>22</v>
          </cell>
        </row>
        <row r="338">
          <cell r="A338" t="str">
            <v>DQ6209</v>
          </cell>
          <cell r="B338">
            <v>371</v>
          </cell>
          <cell r="C338">
            <v>47.9115</v>
          </cell>
          <cell r="D338">
            <v>0</v>
          </cell>
          <cell r="E338">
            <v>47.9115</v>
          </cell>
          <cell r="F338" t="str">
            <v>调货</v>
          </cell>
          <cell r="G338" t="str">
            <v>丰田霸道2700</v>
          </cell>
          <cell r="H338">
            <v>58</v>
          </cell>
          <cell r="I338">
            <v>57</v>
          </cell>
          <cell r="J338">
            <v>56</v>
          </cell>
          <cell r="K338">
            <v>55</v>
          </cell>
          <cell r="L338">
            <v>54</v>
          </cell>
          <cell r="M338">
            <v>53</v>
          </cell>
        </row>
        <row r="339">
          <cell r="A339" t="str">
            <v>DQ9121A1</v>
          </cell>
          <cell r="B339">
            <v>368</v>
          </cell>
          <cell r="C339">
            <v>35.4371411666667</v>
          </cell>
          <cell r="D339">
            <v>0</v>
          </cell>
          <cell r="E339">
            <v>35.4371411666667</v>
          </cell>
          <cell r="F339" t="str">
            <v>自制</v>
          </cell>
          <cell r="G339" t="str">
            <v>凯迪拉克</v>
          </cell>
          <cell r="H339">
            <v>48</v>
          </cell>
          <cell r="I339">
            <v>47</v>
          </cell>
          <cell r="J339">
            <v>45</v>
          </cell>
          <cell r="K339">
            <v>43</v>
          </cell>
          <cell r="L339">
            <v>41</v>
          </cell>
          <cell r="M339">
            <v>39</v>
          </cell>
        </row>
        <row r="340">
          <cell r="A340" t="str">
            <v>DQ9150D1</v>
          </cell>
          <cell r="B340">
            <v>367</v>
          </cell>
          <cell r="C340">
            <v>52.28055</v>
          </cell>
          <cell r="D340">
            <v>0</v>
          </cell>
          <cell r="E340">
            <v>52.28055</v>
          </cell>
          <cell r="F340" t="str">
            <v>调货</v>
          </cell>
          <cell r="G340" t="str">
            <v>捷豹</v>
          </cell>
          <cell r="H340">
            <v>63</v>
          </cell>
          <cell r="I340">
            <v>62</v>
          </cell>
          <cell r="J340">
            <v>61</v>
          </cell>
          <cell r="K340">
            <v>60</v>
          </cell>
          <cell r="L340">
            <v>59</v>
          </cell>
          <cell r="M340">
            <v>58</v>
          </cell>
        </row>
        <row r="341">
          <cell r="A341" t="str">
            <v>DQ901872</v>
          </cell>
          <cell r="B341">
            <v>366</v>
          </cell>
          <cell r="C341">
            <v>49.4656198209495</v>
          </cell>
          <cell r="D341">
            <v>1.3778773209495</v>
          </cell>
          <cell r="E341">
            <v>48.0877425</v>
          </cell>
          <cell r="F341" t="str">
            <v>调货</v>
          </cell>
          <cell r="G341" t="str">
            <v>丰田02272</v>
          </cell>
          <cell r="H341">
            <v>59</v>
          </cell>
          <cell r="I341">
            <v>58</v>
          </cell>
          <cell r="J341">
            <v>57</v>
          </cell>
          <cell r="K341">
            <v>56</v>
          </cell>
          <cell r="L341">
            <v>56</v>
          </cell>
          <cell r="M341">
            <v>55</v>
          </cell>
        </row>
        <row r="342">
          <cell r="A342" t="str">
            <v>DQ9154A1</v>
          </cell>
          <cell r="B342">
            <v>360</v>
          </cell>
          <cell r="C342">
            <v>48.069</v>
          </cell>
          <cell r="D342">
            <v>0</v>
          </cell>
          <cell r="E342">
            <v>48.069</v>
          </cell>
          <cell r="F342" t="str">
            <v>调货</v>
          </cell>
          <cell r="G342" t="str">
            <v>斯巴鲁</v>
          </cell>
          <cell r="H342">
            <v>58</v>
          </cell>
          <cell r="I342">
            <v>57</v>
          </cell>
          <cell r="J342">
            <v>56</v>
          </cell>
          <cell r="K342">
            <v>55</v>
          </cell>
          <cell r="L342">
            <v>54</v>
          </cell>
          <cell r="M342">
            <v>53</v>
          </cell>
        </row>
        <row r="343">
          <cell r="A343" t="str">
            <v>DQ134</v>
          </cell>
          <cell r="B343">
            <v>356</v>
          </cell>
          <cell r="C343">
            <v>46.935</v>
          </cell>
          <cell r="D343">
            <v>0</v>
          </cell>
          <cell r="E343">
            <v>46.935</v>
          </cell>
          <cell r="F343" t="str">
            <v>调货</v>
          </cell>
          <cell r="G343" t="str">
            <v>蒙迪欧新款（小头）2.0</v>
          </cell>
          <cell r="H343">
            <v>56</v>
          </cell>
          <cell r="I343">
            <v>55</v>
          </cell>
          <cell r="J343">
            <v>54</v>
          </cell>
          <cell r="K343">
            <v>54</v>
          </cell>
          <cell r="L343">
            <v>53</v>
          </cell>
          <cell r="M343">
            <v>52</v>
          </cell>
        </row>
        <row r="344">
          <cell r="A344" t="str">
            <v>DQ9007K1</v>
          </cell>
          <cell r="B344">
            <v>345</v>
          </cell>
          <cell r="C344">
            <v>35.1336887</v>
          </cell>
          <cell r="D344">
            <v>0</v>
          </cell>
          <cell r="E344">
            <v>35.1336887</v>
          </cell>
          <cell r="F344" t="str">
            <v>自制</v>
          </cell>
          <cell r="G344" t="str">
            <v>现代起亚</v>
          </cell>
          <cell r="H344">
            <v>48</v>
          </cell>
          <cell r="I344">
            <v>46</v>
          </cell>
          <cell r="J344">
            <v>44</v>
          </cell>
          <cell r="K344">
            <v>43</v>
          </cell>
          <cell r="L344">
            <v>41</v>
          </cell>
          <cell r="M344">
            <v>39</v>
          </cell>
        </row>
        <row r="345">
          <cell r="A345" t="str">
            <v>DQ9102</v>
          </cell>
          <cell r="B345">
            <v>337</v>
          </cell>
          <cell r="C345">
            <v>38.3821541855173</v>
          </cell>
          <cell r="D345">
            <v>0</v>
          </cell>
          <cell r="E345">
            <v>38.3821541855173</v>
          </cell>
          <cell r="F345" t="str">
            <v>自制</v>
          </cell>
          <cell r="G345" t="str">
            <v>帕萨特1.8</v>
          </cell>
          <cell r="H345">
            <v>52</v>
          </cell>
          <cell r="I345">
            <v>50</v>
          </cell>
          <cell r="J345">
            <v>48</v>
          </cell>
          <cell r="K345">
            <v>47</v>
          </cell>
          <cell r="L345">
            <v>45</v>
          </cell>
          <cell r="M345">
            <v>43</v>
          </cell>
        </row>
        <row r="346">
          <cell r="A346" t="str">
            <v>DQ9209</v>
          </cell>
          <cell r="B346">
            <v>329</v>
          </cell>
          <cell r="C346">
            <v>24.779403</v>
          </cell>
          <cell r="D346">
            <v>0</v>
          </cell>
          <cell r="E346">
            <v>24.779403</v>
          </cell>
          <cell r="F346" t="str">
            <v>自制</v>
          </cell>
          <cell r="G346" t="str">
            <v>五菱杨光</v>
          </cell>
          <cell r="H346">
            <v>34</v>
          </cell>
          <cell r="I346">
            <v>33</v>
          </cell>
          <cell r="J346">
            <v>31</v>
          </cell>
          <cell r="K346">
            <v>30</v>
          </cell>
          <cell r="L346">
            <v>29</v>
          </cell>
          <cell r="M346">
            <v>28</v>
          </cell>
        </row>
        <row r="347">
          <cell r="A347" t="str">
            <v>DQ9016D1</v>
          </cell>
          <cell r="B347">
            <v>329</v>
          </cell>
          <cell r="C347">
            <v>43.659</v>
          </cell>
          <cell r="D347">
            <v>0</v>
          </cell>
          <cell r="E347">
            <v>43.659</v>
          </cell>
          <cell r="F347" t="str">
            <v>调货</v>
          </cell>
          <cell r="G347" t="str">
            <v>全新凯越1.3L 2018-</v>
          </cell>
          <cell r="H347">
            <v>52</v>
          </cell>
          <cell r="I347">
            <v>52</v>
          </cell>
          <cell r="J347">
            <v>51</v>
          </cell>
          <cell r="K347">
            <v>50</v>
          </cell>
          <cell r="L347">
            <v>49</v>
          </cell>
          <cell r="M347">
            <v>49</v>
          </cell>
        </row>
        <row r="348">
          <cell r="A348" t="str">
            <v>DQ9050B1</v>
          </cell>
          <cell r="B348">
            <v>324</v>
          </cell>
          <cell r="C348">
            <v>51.3952425</v>
          </cell>
          <cell r="D348">
            <v>0</v>
          </cell>
          <cell r="E348">
            <v>51.3952425</v>
          </cell>
          <cell r="F348" t="str">
            <v>调货</v>
          </cell>
          <cell r="G348" t="str">
            <v>三菱 伊柯丽斯3.8L</v>
          </cell>
          <cell r="H348">
            <v>62</v>
          </cell>
          <cell r="I348">
            <v>61</v>
          </cell>
          <cell r="J348">
            <v>60</v>
          </cell>
          <cell r="K348">
            <v>59</v>
          </cell>
          <cell r="L348">
            <v>58</v>
          </cell>
          <cell r="M348">
            <v>57</v>
          </cell>
        </row>
        <row r="349">
          <cell r="A349" t="str">
            <v>DQ9065A1</v>
          </cell>
          <cell r="B349">
            <v>320</v>
          </cell>
          <cell r="C349">
            <v>41.454</v>
          </cell>
          <cell r="D349">
            <v>0</v>
          </cell>
          <cell r="E349">
            <v>41.454</v>
          </cell>
          <cell r="F349" t="str">
            <v>调货</v>
          </cell>
          <cell r="G349" t="str">
            <v>JEEP 牧马人 Sahara 2.0T</v>
          </cell>
          <cell r="H349">
            <v>50</v>
          </cell>
          <cell r="I349">
            <v>49</v>
          </cell>
          <cell r="J349">
            <v>48</v>
          </cell>
          <cell r="K349">
            <v>47</v>
          </cell>
          <cell r="L349">
            <v>47</v>
          </cell>
          <cell r="M349">
            <v>46</v>
          </cell>
        </row>
        <row r="350">
          <cell r="A350" t="str">
            <v>DQ9113B</v>
          </cell>
          <cell r="B350">
            <v>315</v>
          </cell>
          <cell r="C350">
            <v>31.7199452</v>
          </cell>
          <cell r="D350">
            <v>0</v>
          </cell>
          <cell r="E350">
            <v>31.7199452</v>
          </cell>
          <cell r="F350" t="str">
            <v>自制</v>
          </cell>
          <cell r="G350" t="str">
            <v>三菱欧蓝德</v>
          </cell>
          <cell r="H350">
            <v>43</v>
          </cell>
          <cell r="I350">
            <v>42</v>
          </cell>
          <cell r="J350">
            <v>40</v>
          </cell>
          <cell r="K350">
            <v>39</v>
          </cell>
          <cell r="L350">
            <v>37</v>
          </cell>
          <cell r="M350">
            <v>35</v>
          </cell>
        </row>
        <row r="351">
          <cell r="A351" t="str">
            <v>DQ6208</v>
          </cell>
          <cell r="B351">
            <v>313</v>
          </cell>
          <cell r="C351">
            <v>60.648</v>
          </cell>
          <cell r="D351">
            <v>0</v>
          </cell>
          <cell r="E351">
            <v>60.648</v>
          </cell>
          <cell r="F351" t="str">
            <v>调货</v>
          </cell>
          <cell r="G351" t="str">
            <v>千里马1.6L</v>
          </cell>
          <cell r="H351">
            <v>73</v>
          </cell>
          <cell r="I351">
            <v>71</v>
          </cell>
          <cell r="J351">
            <v>70</v>
          </cell>
          <cell r="K351">
            <v>69</v>
          </cell>
          <cell r="L351">
            <v>68</v>
          </cell>
          <cell r="M351">
            <v>67</v>
          </cell>
        </row>
        <row r="352">
          <cell r="A352" t="str">
            <v>DQ9034A2</v>
          </cell>
          <cell r="B352">
            <v>310</v>
          </cell>
          <cell r="C352">
            <v>28.793328</v>
          </cell>
          <cell r="D352">
            <v>0</v>
          </cell>
          <cell r="E352">
            <v>28.793328</v>
          </cell>
          <cell r="F352" t="str">
            <v>自制</v>
          </cell>
          <cell r="G352" t="str">
            <v>东风纳智捷</v>
          </cell>
          <cell r="H352">
            <v>39</v>
          </cell>
          <cell r="I352">
            <v>38</v>
          </cell>
          <cell r="J352">
            <v>36</v>
          </cell>
          <cell r="K352">
            <v>35</v>
          </cell>
          <cell r="L352">
            <v>34</v>
          </cell>
          <cell r="M352">
            <v>32</v>
          </cell>
        </row>
        <row r="353">
          <cell r="A353" t="str">
            <v>DQ9035A2</v>
          </cell>
          <cell r="B353">
            <v>310</v>
          </cell>
          <cell r="C353">
            <v>34.0397489333333</v>
          </cell>
          <cell r="D353">
            <v>0</v>
          </cell>
          <cell r="E353">
            <v>34.0397489333333</v>
          </cell>
          <cell r="F353" t="str">
            <v>自制</v>
          </cell>
          <cell r="G353" t="str">
            <v>奔腾 1.8T</v>
          </cell>
          <cell r="H353">
            <v>46</v>
          </cell>
          <cell r="I353">
            <v>45</v>
          </cell>
          <cell r="J353">
            <v>43</v>
          </cell>
          <cell r="K353">
            <v>41</v>
          </cell>
          <cell r="L353">
            <v>40</v>
          </cell>
          <cell r="M353">
            <v>38</v>
          </cell>
        </row>
        <row r="354">
          <cell r="A354" t="str">
            <v>DQ9039A2</v>
          </cell>
          <cell r="B354">
            <v>310</v>
          </cell>
          <cell r="C354">
            <v>25.3199966666667</v>
          </cell>
          <cell r="D354">
            <v>0</v>
          </cell>
          <cell r="E354">
            <v>25.3199966666667</v>
          </cell>
          <cell r="F354" t="str">
            <v>自制</v>
          </cell>
          <cell r="G354" t="str">
            <v>力帆迈威 1.8L</v>
          </cell>
          <cell r="H354">
            <v>35</v>
          </cell>
          <cell r="I354">
            <v>33</v>
          </cell>
          <cell r="J354">
            <v>32</v>
          </cell>
          <cell r="K354">
            <v>31</v>
          </cell>
          <cell r="L354">
            <v>30</v>
          </cell>
          <cell r="M354">
            <v>28</v>
          </cell>
        </row>
        <row r="355">
          <cell r="A355" t="str">
            <v>DQ9135A1</v>
          </cell>
          <cell r="B355">
            <v>301</v>
          </cell>
          <cell r="C355">
            <v>28.344363</v>
          </cell>
          <cell r="D355">
            <v>0</v>
          </cell>
          <cell r="E355">
            <v>28.344363</v>
          </cell>
          <cell r="F355" t="str">
            <v>自制</v>
          </cell>
          <cell r="G355" t="str">
            <v>标致 1.2T</v>
          </cell>
          <cell r="H355">
            <v>39</v>
          </cell>
          <cell r="I355">
            <v>37</v>
          </cell>
          <cell r="J355">
            <v>36</v>
          </cell>
          <cell r="K355">
            <v>35</v>
          </cell>
          <cell r="L355">
            <v>33</v>
          </cell>
          <cell r="M355">
            <v>32</v>
          </cell>
        </row>
        <row r="356">
          <cell r="A356" t="str">
            <v>DQ9209D</v>
          </cell>
          <cell r="B356">
            <v>299</v>
          </cell>
          <cell r="C356">
            <v>23.789403</v>
          </cell>
          <cell r="D356">
            <v>0</v>
          </cell>
          <cell r="E356">
            <v>23.789403</v>
          </cell>
          <cell r="F356" t="str">
            <v>自制</v>
          </cell>
          <cell r="G356" t="str">
            <v>哈飞赛马 比亚迪 菱帅</v>
          </cell>
          <cell r="H356">
            <v>33</v>
          </cell>
          <cell r="I356">
            <v>31</v>
          </cell>
          <cell r="J356">
            <v>30</v>
          </cell>
          <cell r="K356">
            <v>29</v>
          </cell>
          <cell r="L356">
            <v>28</v>
          </cell>
          <cell r="M356">
            <v>27</v>
          </cell>
        </row>
        <row r="357">
          <cell r="A357" t="str">
            <v>DQ9056A1</v>
          </cell>
          <cell r="B357">
            <v>299</v>
          </cell>
          <cell r="C357">
            <v>26.3820656</v>
          </cell>
          <cell r="D357">
            <v>0</v>
          </cell>
          <cell r="E357">
            <v>26.3820656</v>
          </cell>
          <cell r="F357" t="str">
            <v>自制</v>
          </cell>
          <cell r="G357" t="str">
            <v>东方小康</v>
          </cell>
          <cell r="H357">
            <v>36</v>
          </cell>
          <cell r="I357">
            <v>35</v>
          </cell>
          <cell r="J357">
            <v>33</v>
          </cell>
          <cell r="K357">
            <v>32</v>
          </cell>
          <cell r="L357">
            <v>31</v>
          </cell>
          <cell r="M357">
            <v>30</v>
          </cell>
        </row>
        <row r="358">
          <cell r="A358" t="str">
            <v>DQ9040C1</v>
          </cell>
          <cell r="B358">
            <v>296</v>
          </cell>
          <cell r="C358">
            <v>26.0554595266667</v>
          </cell>
          <cell r="D358">
            <v>0</v>
          </cell>
          <cell r="E358">
            <v>26.0554595266667</v>
          </cell>
          <cell r="F358" t="str">
            <v>自制</v>
          </cell>
          <cell r="G358" t="str">
            <v>长安CS35</v>
          </cell>
          <cell r="H358">
            <v>36</v>
          </cell>
          <cell r="I358">
            <v>34</v>
          </cell>
          <cell r="J358">
            <v>33</v>
          </cell>
          <cell r="K358">
            <v>32</v>
          </cell>
          <cell r="L358">
            <v>30</v>
          </cell>
          <cell r="M358">
            <v>29</v>
          </cell>
        </row>
        <row r="359">
          <cell r="A359" t="str">
            <v>DQ9068A2</v>
          </cell>
          <cell r="B359">
            <v>284</v>
          </cell>
          <cell r="C359">
            <v>45.864</v>
          </cell>
          <cell r="D359">
            <v>0</v>
          </cell>
          <cell r="E359">
            <v>45.864</v>
          </cell>
          <cell r="F359" t="str">
            <v>调货</v>
          </cell>
          <cell r="G359" t="str">
            <v>宝沃BX5</v>
          </cell>
          <cell r="H359">
            <v>55</v>
          </cell>
          <cell r="I359">
            <v>54</v>
          </cell>
          <cell r="J359">
            <v>53</v>
          </cell>
          <cell r="K359">
            <v>52</v>
          </cell>
          <cell r="L359">
            <v>52</v>
          </cell>
          <cell r="M359">
            <v>51</v>
          </cell>
        </row>
        <row r="360">
          <cell r="A360" t="str">
            <v>DQ9007Q1</v>
          </cell>
          <cell r="B360">
            <v>284</v>
          </cell>
          <cell r="C360">
            <v>35.9614585</v>
          </cell>
          <cell r="D360">
            <v>0</v>
          </cell>
          <cell r="E360">
            <v>35.9614585</v>
          </cell>
          <cell r="F360" t="str">
            <v>自制</v>
          </cell>
          <cell r="G360" t="str">
            <v>现代起亚</v>
          </cell>
          <cell r="H360">
            <v>49</v>
          </cell>
          <cell r="I360">
            <v>47</v>
          </cell>
          <cell r="J360">
            <v>45</v>
          </cell>
          <cell r="K360">
            <v>44</v>
          </cell>
          <cell r="L360">
            <v>42</v>
          </cell>
          <cell r="M360">
            <v>40</v>
          </cell>
        </row>
        <row r="361">
          <cell r="A361" t="str">
            <v>DQ9003K1</v>
          </cell>
          <cell r="B361">
            <v>280</v>
          </cell>
          <cell r="C361">
            <v>45.864</v>
          </cell>
          <cell r="D361">
            <v>0</v>
          </cell>
          <cell r="E361">
            <v>45.864</v>
          </cell>
          <cell r="F361" t="str">
            <v>调货</v>
          </cell>
          <cell r="G361">
            <v>0</v>
          </cell>
          <cell r="H361">
            <v>55</v>
          </cell>
          <cell r="I361">
            <v>54</v>
          </cell>
          <cell r="J361">
            <v>53</v>
          </cell>
          <cell r="K361">
            <v>52</v>
          </cell>
          <cell r="L361">
            <v>52</v>
          </cell>
          <cell r="M361">
            <v>51</v>
          </cell>
        </row>
        <row r="362">
          <cell r="A362" t="str">
            <v>DQ6108A</v>
          </cell>
          <cell r="B362">
            <v>274</v>
          </cell>
          <cell r="C362">
            <v>29.361675</v>
          </cell>
          <cell r="D362">
            <v>0</v>
          </cell>
          <cell r="E362">
            <v>29.361675</v>
          </cell>
          <cell r="F362" t="str">
            <v>调货</v>
          </cell>
          <cell r="G362" t="str">
            <v>丰田</v>
          </cell>
          <cell r="H362">
            <v>35</v>
          </cell>
          <cell r="I362">
            <v>35</v>
          </cell>
          <cell r="J362">
            <v>34</v>
          </cell>
          <cell r="K362">
            <v>34</v>
          </cell>
          <cell r="L362">
            <v>33</v>
          </cell>
          <cell r="M362">
            <v>33</v>
          </cell>
        </row>
        <row r="363">
          <cell r="A363" t="str">
            <v>DQ6109</v>
          </cell>
          <cell r="B363">
            <v>269</v>
          </cell>
          <cell r="C363">
            <v>23.7334295</v>
          </cell>
          <cell r="D363">
            <v>0</v>
          </cell>
          <cell r="E363">
            <v>23.7334295</v>
          </cell>
          <cell r="F363" t="str">
            <v>自制</v>
          </cell>
          <cell r="G363" t="str">
            <v>奇瑞QQ0.8（老）</v>
          </cell>
          <cell r="H363">
            <v>33</v>
          </cell>
          <cell r="I363">
            <v>31</v>
          </cell>
          <cell r="J363">
            <v>30</v>
          </cell>
          <cell r="K363">
            <v>29</v>
          </cell>
          <cell r="L363">
            <v>28</v>
          </cell>
          <cell r="M363">
            <v>27</v>
          </cell>
        </row>
        <row r="364">
          <cell r="A364" t="str">
            <v>DQ6206A</v>
          </cell>
          <cell r="B364">
            <v>262</v>
          </cell>
          <cell r="C364">
            <v>28.2765</v>
          </cell>
          <cell r="D364">
            <v>0</v>
          </cell>
          <cell r="E364">
            <v>28.2765</v>
          </cell>
          <cell r="F364" t="str">
            <v>调货</v>
          </cell>
          <cell r="G364" t="str">
            <v>三菱 速跑 猎豹</v>
          </cell>
          <cell r="H364">
            <v>34</v>
          </cell>
          <cell r="I364">
            <v>34</v>
          </cell>
          <cell r="J364">
            <v>33</v>
          </cell>
          <cell r="K364">
            <v>32</v>
          </cell>
          <cell r="L364">
            <v>32</v>
          </cell>
          <cell r="M364">
            <v>32</v>
          </cell>
        </row>
        <row r="365">
          <cell r="A365" t="str">
            <v>DQ9007C3</v>
          </cell>
          <cell r="B365">
            <v>260</v>
          </cell>
          <cell r="C365">
            <v>33.1704252</v>
          </cell>
          <cell r="D365">
            <v>0</v>
          </cell>
          <cell r="E365">
            <v>33.1704252</v>
          </cell>
          <cell r="F365" t="str">
            <v>自制</v>
          </cell>
          <cell r="G365" t="str">
            <v>起亚K3极睿</v>
          </cell>
          <cell r="H365">
            <v>45</v>
          </cell>
          <cell r="I365">
            <v>44</v>
          </cell>
          <cell r="J365">
            <v>42</v>
          </cell>
          <cell r="K365">
            <v>40</v>
          </cell>
          <cell r="L365">
            <v>39</v>
          </cell>
          <cell r="M365">
            <v>37</v>
          </cell>
        </row>
        <row r="366">
          <cell r="A366" t="str">
            <v>DQ9003J2</v>
          </cell>
          <cell r="B366">
            <v>260</v>
          </cell>
          <cell r="C366">
            <v>34.5789818786402</v>
          </cell>
          <cell r="D366">
            <v>5.20827127864025</v>
          </cell>
          <cell r="E366">
            <v>29.3707106</v>
          </cell>
          <cell r="F366" t="str">
            <v>自制</v>
          </cell>
          <cell r="G366" t="str">
            <v>途乐4.0L</v>
          </cell>
          <cell r="H366">
            <v>47</v>
          </cell>
          <cell r="I366">
            <v>45</v>
          </cell>
          <cell r="J366">
            <v>44</v>
          </cell>
          <cell r="K366">
            <v>42</v>
          </cell>
          <cell r="L366">
            <v>40</v>
          </cell>
          <cell r="M366">
            <v>39</v>
          </cell>
        </row>
        <row r="367">
          <cell r="A367" t="str">
            <v>DQ9101W1</v>
          </cell>
          <cell r="B367">
            <v>260</v>
          </cell>
          <cell r="C367">
            <v>19.8247801333333</v>
          </cell>
          <cell r="D367">
            <v>0</v>
          </cell>
          <cell r="E367">
            <v>19.8247801333333</v>
          </cell>
          <cell r="F367" t="str">
            <v>自制</v>
          </cell>
          <cell r="G367" t="str">
            <v>PICANTO(TA)1.2</v>
          </cell>
          <cell r="H367">
            <v>27</v>
          </cell>
          <cell r="I367">
            <v>26</v>
          </cell>
          <cell r="J367">
            <v>25</v>
          </cell>
          <cell r="K367">
            <v>24</v>
          </cell>
          <cell r="L367">
            <v>23</v>
          </cell>
          <cell r="M367">
            <v>22</v>
          </cell>
        </row>
        <row r="368">
          <cell r="A368" t="str">
            <v>DQ9070A1</v>
          </cell>
          <cell r="B368">
            <v>257</v>
          </cell>
          <cell r="C368">
            <v>43.659</v>
          </cell>
          <cell r="D368">
            <v>0</v>
          </cell>
          <cell r="E368">
            <v>43.659</v>
          </cell>
          <cell r="F368" t="str">
            <v>调货</v>
          </cell>
          <cell r="G368" t="str">
            <v>北汽BJ40 PLUS</v>
          </cell>
          <cell r="H368">
            <v>52</v>
          </cell>
          <cell r="I368">
            <v>52</v>
          </cell>
          <cell r="J368">
            <v>51</v>
          </cell>
          <cell r="K368">
            <v>50</v>
          </cell>
          <cell r="L368">
            <v>49</v>
          </cell>
          <cell r="M368">
            <v>49</v>
          </cell>
        </row>
        <row r="369">
          <cell r="A369" t="str">
            <v>DQ9026A3</v>
          </cell>
          <cell r="B369">
            <v>255</v>
          </cell>
          <cell r="C369">
            <v>35.2002277840877</v>
          </cell>
          <cell r="D369">
            <v>3.79179138408768</v>
          </cell>
          <cell r="E369">
            <v>31.4084364</v>
          </cell>
          <cell r="F369" t="str">
            <v>自制</v>
          </cell>
          <cell r="G369" t="str">
            <v>捷豹/路虎 2.0T</v>
          </cell>
          <cell r="H369">
            <v>48</v>
          </cell>
          <cell r="I369">
            <v>46</v>
          </cell>
          <cell r="J369">
            <v>45</v>
          </cell>
          <cell r="K369">
            <v>43</v>
          </cell>
          <cell r="L369">
            <v>41</v>
          </cell>
          <cell r="M369">
            <v>39</v>
          </cell>
        </row>
        <row r="370">
          <cell r="A370" t="str">
            <v>DQ9204</v>
          </cell>
          <cell r="B370">
            <v>248</v>
          </cell>
          <cell r="C370">
            <v>35.2962126</v>
          </cell>
          <cell r="D370">
            <v>0</v>
          </cell>
          <cell r="E370">
            <v>35.2962126</v>
          </cell>
          <cell r="F370" t="str">
            <v>自制</v>
          </cell>
          <cell r="G370" t="str">
            <v>嘉华3.5</v>
          </cell>
          <cell r="H370">
            <v>48</v>
          </cell>
          <cell r="I370">
            <v>46</v>
          </cell>
          <cell r="J370">
            <v>45</v>
          </cell>
          <cell r="K370">
            <v>43</v>
          </cell>
          <cell r="L370">
            <v>41</v>
          </cell>
          <cell r="M370">
            <v>39</v>
          </cell>
        </row>
        <row r="371">
          <cell r="A371" t="str">
            <v>DQ9029A1</v>
          </cell>
          <cell r="B371">
            <v>247</v>
          </cell>
          <cell r="C371">
            <v>44.9663389875</v>
          </cell>
          <cell r="D371">
            <v>1.1970889875</v>
          </cell>
          <cell r="E371">
            <v>43.76925</v>
          </cell>
          <cell r="F371" t="str">
            <v>调货</v>
          </cell>
          <cell r="G371" t="str">
            <v>宝马BMW</v>
          </cell>
          <cell r="H371">
            <v>54</v>
          </cell>
          <cell r="I371">
            <v>53</v>
          </cell>
          <cell r="J371">
            <v>52</v>
          </cell>
          <cell r="K371">
            <v>51</v>
          </cell>
          <cell r="L371">
            <v>51</v>
          </cell>
          <cell r="M371">
            <v>50</v>
          </cell>
        </row>
        <row r="372">
          <cell r="A372" t="str">
            <v>DQ9103HR</v>
          </cell>
          <cell r="B372">
            <v>245</v>
          </cell>
          <cell r="C372">
            <v>32.5381734</v>
          </cell>
          <cell r="D372">
            <v>0</v>
          </cell>
          <cell r="E372">
            <v>32.5381734</v>
          </cell>
          <cell r="F372" t="str">
            <v>自制</v>
          </cell>
          <cell r="G372" t="str">
            <v>奥迪A8</v>
          </cell>
          <cell r="H372">
            <v>44</v>
          </cell>
          <cell r="I372">
            <v>43</v>
          </cell>
          <cell r="J372">
            <v>41</v>
          </cell>
          <cell r="K372">
            <v>40</v>
          </cell>
          <cell r="L372">
            <v>38</v>
          </cell>
          <cell r="M372">
            <v>36</v>
          </cell>
        </row>
        <row r="373">
          <cell r="A373" t="str">
            <v>DQ9219B2</v>
          </cell>
          <cell r="B373">
            <v>242</v>
          </cell>
          <cell r="C373">
            <v>24.0610729733333</v>
          </cell>
          <cell r="D373">
            <v>0</v>
          </cell>
          <cell r="E373">
            <v>24.0610729733333</v>
          </cell>
          <cell r="F373" t="str">
            <v>自制</v>
          </cell>
          <cell r="G373" t="str">
            <v>江淮RIII2.0T</v>
          </cell>
          <cell r="H373">
            <v>33</v>
          </cell>
          <cell r="I373">
            <v>32</v>
          </cell>
          <cell r="J373">
            <v>31</v>
          </cell>
          <cell r="K373">
            <v>29</v>
          </cell>
          <cell r="L373">
            <v>28</v>
          </cell>
          <cell r="M373">
            <v>27</v>
          </cell>
        </row>
        <row r="374">
          <cell r="A374" t="str">
            <v>DQ9219A9</v>
          </cell>
          <cell r="B374">
            <v>233</v>
          </cell>
          <cell r="C374">
            <v>21.5267085</v>
          </cell>
          <cell r="D374">
            <v>0</v>
          </cell>
          <cell r="E374">
            <v>21.5267085</v>
          </cell>
          <cell r="F374" t="str">
            <v>自制</v>
          </cell>
          <cell r="G374" t="str">
            <v>东风风神A60 1.4T</v>
          </cell>
          <cell r="H374">
            <v>30</v>
          </cell>
          <cell r="I374">
            <v>28</v>
          </cell>
          <cell r="J374">
            <v>27</v>
          </cell>
          <cell r="K374">
            <v>26</v>
          </cell>
          <cell r="L374">
            <v>25</v>
          </cell>
          <cell r="M374">
            <v>24</v>
          </cell>
        </row>
        <row r="375">
          <cell r="A375" t="str">
            <v>DQ9030C1</v>
          </cell>
          <cell r="B375">
            <v>232</v>
          </cell>
          <cell r="C375">
            <v>37.92712</v>
          </cell>
          <cell r="D375">
            <v>0</v>
          </cell>
          <cell r="E375">
            <v>37.92712</v>
          </cell>
          <cell r="F375" t="str">
            <v>自制</v>
          </cell>
          <cell r="G375" t="str">
            <v>长安福特  金牛座2.7T</v>
          </cell>
          <cell r="H375">
            <v>52</v>
          </cell>
          <cell r="I375">
            <v>50</v>
          </cell>
          <cell r="J375">
            <v>48</v>
          </cell>
          <cell r="K375">
            <v>46</v>
          </cell>
          <cell r="L375">
            <v>44</v>
          </cell>
          <cell r="M375">
            <v>42</v>
          </cell>
        </row>
        <row r="376">
          <cell r="A376" t="str">
            <v>DQ493</v>
          </cell>
          <cell r="B376">
            <v>231</v>
          </cell>
          <cell r="C376">
            <v>57.6257469398023</v>
          </cell>
          <cell r="D376">
            <v>0.613062639802267</v>
          </cell>
          <cell r="E376">
            <v>57.0126843</v>
          </cell>
          <cell r="F376" t="str">
            <v>自制</v>
          </cell>
          <cell r="G376" t="str">
            <v>德尔福一代</v>
          </cell>
          <cell r="H376">
            <v>78</v>
          </cell>
          <cell r="I376">
            <v>75</v>
          </cell>
          <cell r="J376">
            <v>73</v>
          </cell>
          <cell r="K376">
            <v>70</v>
          </cell>
          <cell r="L376">
            <v>67</v>
          </cell>
          <cell r="M376">
            <v>64</v>
          </cell>
        </row>
        <row r="377">
          <cell r="A377" t="str">
            <v>DQ9113B3</v>
          </cell>
          <cell r="B377">
            <v>225</v>
          </cell>
          <cell r="C377">
            <v>31.5439452</v>
          </cell>
          <cell r="D377">
            <v>0</v>
          </cell>
          <cell r="E377">
            <v>31.5439452</v>
          </cell>
          <cell r="F377" t="str">
            <v>自制</v>
          </cell>
          <cell r="G377" t="str">
            <v>帕杰罗3.8L</v>
          </cell>
          <cell r="H377">
            <v>43</v>
          </cell>
          <cell r="I377">
            <v>42</v>
          </cell>
          <cell r="J377">
            <v>40</v>
          </cell>
          <cell r="K377">
            <v>38</v>
          </cell>
          <cell r="L377">
            <v>37</v>
          </cell>
          <cell r="M377">
            <v>35</v>
          </cell>
        </row>
        <row r="378">
          <cell r="A378" t="str">
            <v>DQ921813</v>
          </cell>
          <cell r="B378">
            <v>223</v>
          </cell>
          <cell r="C378">
            <v>27.2673555</v>
          </cell>
          <cell r="D378">
            <v>0</v>
          </cell>
          <cell r="E378">
            <v>27.2673555</v>
          </cell>
          <cell r="F378" t="str">
            <v>自制</v>
          </cell>
          <cell r="G378" t="str">
            <v>汉兰达 普拉多</v>
          </cell>
          <cell r="H378">
            <v>37</v>
          </cell>
          <cell r="I378">
            <v>36</v>
          </cell>
          <cell r="J378">
            <v>35</v>
          </cell>
          <cell r="K378">
            <v>33</v>
          </cell>
          <cell r="L378">
            <v>32</v>
          </cell>
          <cell r="M378">
            <v>30</v>
          </cell>
        </row>
        <row r="379">
          <cell r="A379" t="str">
            <v>DQ9007B2</v>
          </cell>
          <cell r="B379">
            <v>222</v>
          </cell>
          <cell r="C379">
            <v>34.1167926</v>
          </cell>
          <cell r="D379">
            <v>0</v>
          </cell>
          <cell r="E379">
            <v>34.1167926</v>
          </cell>
          <cell r="F379" t="str">
            <v>自制</v>
          </cell>
          <cell r="G379" t="str">
            <v>名图1.8L</v>
          </cell>
          <cell r="H379">
            <v>47</v>
          </cell>
          <cell r="I379">
            <v>45</v>
          </cell>
          <cell r="J379">
            <v>43</v>
          </cell>
          <cell r="K379">
            <v>41</v>
          </cell>
          <cell r="L379">
            <v>40</v>
          </cell>
          <cell r="M379">
            <v>38</v>
          </cell>
        </row>
        <row r="380">
          <cell r="A380" t="str">
            <v>DQ9015B1</v>
          </cell>
          <cell r="B380">
            <v>215</v>
          </cell>
          <cell r="C380">
            <v>27.4568422666667</v>
          </cell>
          <cell r="D380">
            <v>0</v>
          </cell>
          <cell r="E380">
            <v>27.4568422666667</v>
          </cell>
          <cell r="F380" t="str">
            <v>自制</v>
          </cell>
          <cell r="G380" t="str">
            <v>长城腾翼C30/1.5L 西门子系统</v>
          </cell>
          <cell r="H380">
            <v>38</v>
          </cell>
          <cell r="I380">
            <v>36</v>
          </cell>
          <cell r="J380">
            <v>35</v>
          </cell>
          <cell r="K380">
            <v>33</v>
          </cell>
          <cell r="L380">
            <v>32</v>
          </cell>
          <cell r="M380">
            <v>31</v>
          </cell>
        </row>
        <row r="381">
          <cell r="A381" t="str">
            <v>DQ9013B1</v>
          </cell>
          <cell r="B381">
            <v>212</v>
          </cell>
          <cell r="C381">
            <v>32.6527425</v>
          </cell>
          <cell r="D381">
            <v>0</v>
          </cell>
          <cell r="E381">
            <v>32.6527425</v>
          </cell>
          <cell r="F381" t="str">
            <v>调货</v>
          </cell>
          <cell r="G381" t="str">
            <v>grand vitara</v>
          </cell>
          <cell r="H381">
            <v>39</v>
          </cell>
          <cell r="I381">
            <v>39</v>
          </cell>
          <cell r="J381">
            <v>38</v>
          </cell>
          <cell r="K381">
            <v>37</v>
          </cell>
          <cell r="L381">
            <v>37</v>
          </cell>
          <cell r="M381">
            <v>36</v>
          </cell>
        </row>
        <row r="382">
          <cell r="A382" t="str">
            <v>DQ9225A1</v>
          </cell>
          <cell r="B382">
            <v>210</v>
          </cell>
          <cell r="C382">
            <v>41.751675</v>
          </cell>
          <cell r="D382">
            <v>0</v>
          </cell>
          <cell r="E382">
            <v>41.751675</v>
          </cell>
          <cell r="F382" t="str">
            <v>调货</v>
          </cell>
          <cell r="G382" t="str">
            <v>奔驰W140发动机</v>
          </cell>
          <cell r="H382">
            <v>50</v>
          </cell>
          <cell r="I382">
            <v>49</v>
          </cell>
          <cell r="J382">
            <v>49</v>
          </cell>
          <cell r="K382">
            <v>48</v>
          </cell>
          <cell r="L382">
            <v>47</v>
          </cell>
          <cell r="M382">
            <v>46</v>
          </cell>
        </row>
        <row r="383">
          <cell r="A383" t="str">
            <v>DQ4107A1</v>
          </cell>
          <cell r="B383">
            <v>210</v>
          </cell>
          <cell r="C383">
            <v>33.2368179</v>
          </cell>
          <cell r="D383">
            <v>0</v>
          </cell>
          <cell r="E383">
            <v>33.2368179</v>
          </cell>
          <cell r="F383" t="str">
            <v>自制</v>
          </cell>
          <cell r="G383" t="str">
            <v>雪佛兰GMC</v>
          </cell>
          <cell r="H383">
            <v>45</v>
          </cell>
          <cell r="I383">
            <v>44</v>
          </cell>
          <cell r="J383">
            <v>42</v>
          </cell>
          <cell r="K383">
            <v>40</v>
          </cell>
          <cell r="L383">
            <v>39</v>
          </cell>
          <cell r="M383">
            <v>37</v>
          </cell>
        </row>
        <row r="384">
          <cell r="A384" t="str">
            <v>DQ9219A2</v>
          </cell>
          <cell r="B384">
            <v>208</v>
          </cell>
          <cell r="C384">
            <v>21.1967085</v>
          </cell>
          <cell r="D384">
            <v>0</v>
          </cell>
          <cell r="E384">
            <v>21.1967085</v>
          </cell>
          <cell r="F384" t="str">
            <v>自制</v>
          </cell>
          <cell r="G384" t="str">
            <v>广汽传祺GS5</v>
          </cell>
          <cell r="H384">
            <v>29</v>
          </cell>
          <cell r="I384">
            <v>28</v>
          </cell>
          <cell r="J384">
            <v>27</v>
          </cell>
          <cell r="K384">
            <v>26</v>
          </cell>
          <cell r="L384">
            <v>25</v>
          </cell>
          <cell r="M384">
            <v>24</v>
          </cell>
        </row>
        <row r="385">
          <cell r="A385" t="str">
            <v>DQ9041A2</v>
          </cell>
          <cell r="B385">
            <v>207</v>
          </cell>
          <cell r="C385">
            <v>31.5315</v>
          </cell>
          <cell r="D385">
            <v>0</v>
          </cell>
          <cell r="E385">
            <v>31.5315</v>
          </cell>
          <cell r="F385" t="str">
            <v>调货</v>
          </cell>
          <cell r="G385" t="str">
            <v>东风风行T5L1.5T</v>
          </cell>
          <cell r="H385">
            <v>38</v>
          </cell>
          <cell r="I385">
            <v>37</v>
          </cell>
          <cell r="J385">
            <v>37</v>
          </cell>
          <cell r="K385">
            <v>36</v>
          </cell>
          <cell r="L385">
            <v>36</v>
          </cell>
          <cell r="M385">
            <v>35</v>
          </cell>
        </row>
        <row r="386">
          <cell r="A386" t="str">
            <v>DQ6402</v>
          </cell>
          <cell r="B386">
            <v>201</v>
          </cell>
          <cell r="C386">
            <v>65.6449838903768</v>
          </cell>
          <cell r="D386">
            <v>1.37135689037685</v>
          </cell>
          <cell r="E386">
            <v>64.273627</v>
          </cell>
          <cell r="F386" t="str">
            <v>自制</v>
          </cell>
          <cell r="G386" t="str">
            <v>斯巴鲁</v>
          </cell>
          <cell r="H386">
            <v>89</v>
          </cell>
          <cell r="I386">
            <v>86</v>
          </cell>
          <cell r="J386">
            <v>83</v>
          </cell>
          <cell r="K386">
            <v>79</v>
          </cell>
          <cell r="L386">
            <v>76</v>
          </cell>
          <cell r="M386">
            <v>73</v>
          </cell>
        </row>
        <row r="387">
          <cell r="A387" t="str">
            <v>DQ9157A1</v>
          </cell>
          <cell r="B387">
            <v>201</v>
          </cell>
          <cell r="C387">
            <v>27.1215</v>
          </cell>
          <cell r="D387">
            <v>0</v>
          </cell>
          <cell r="E387">
            <v>27.1215</v>
          </cell>
          <cell r="F387" t="str">
            <v>调货</v>
          </cell>
          <cell r="G387" t="str">
            <v>时风风云 1.8L</v>
          </cell>
          <cell r="H387">
            <v>33</v>
          </cell>
          <cell r="I387">
            <v>32</v>
          </cell>
          <cell r="J387">
            <v>32</v>
          </cell>
          <cell r="K387">
            <v>31</v>
          </cell>
          <cell r="L387">
            <v>31</v>
          </cell>
          <cell r="M387">
            <v>30</v>
          </cell>
        </row>
        <row r="388">
          <cell r="A388" t="str">
            <v>DQ1213</v>
          </cell>
          <cell r="B388">
            <v>196</v>
          </cell>
          <cell r="C388">
            <v>60.69</v>
          </cell>
          <cell r="D388">
            <v>0</v>
          </cell>
          <cell r="E388">
            <v>60.69</v>
          </cell>
          <cell r="F388" t="str">
            <v>调货</v>
          </cell>
          <cell r="G388" t="str">
            <v>旗云 宝马发动机</v>
          </cell>
          <cell r="H388">
            <v>73</v>
          </cell>
          <cell r="I388">
            <v>72</v>
          </cell>
          <cell r="J388">
            <v>70</v>
          </cell>
          <cell r="K388">
            <v>69</v>
          </cell>
          <cell r="L388">
            <v>68</v>
          </cell>
          <cell r="M388">
            <v>67</v>
          </cell>
        </row>
        <row r="389">
          <cell r="A389" t="str">
            <v>DQ9128B2</v>
          </cell>
          <cell r="B389">
            <v>192</v>
          </cell>
          <cell r="C389">
            <v>45.78</v>
          </cell>
          <cell r="D389">
            <v>0</v>
          </cell>
          <cell r="E389">
            <v>45.78</v>
          </cell>
          <cell r="F389" t="str">
            <v>调货</v>
          </cell>
          <cell r="G389" t="str">
            <v>凯迪拉克 SLS赛威 4.6L</v>
          </cell>
          <cell r="H389">
            <v>55</v>
          </cell>
          <cell r="I389">
            <v>54</v>
          </cell>
          <cell r="J389">
            <v>53</v>
          </cell>
          <cell r="K389">
            <v>52</v>
          </cell>
          <cell r="L389">
            <v>52</v>
          </cell>
          <cell r="M389">
            <v>51</v>
          </cell>
        </row>
        <row r="390">
          <cell r="A390" t="str">
            <v>DQ9209H</v>
          </cell>
          <cell r="B390">
            <v>191</v>
          </cell>
          <cell r="C390">
            <v>24.713403</v>
          </cell>
          <cell r="D390">
            <v>0</v>
          </cell>
          <cell r="E390">
            <v>24.713403</v>
          </cell>
          <cell r="F390" t="str">
            <v>自制</v>
          </cell>
          <cell r="G390" t="str">
            <v>新普力马1.8</v>
          </cell>
          <cell r="H390">
            <v>34</v>
          </cell>
          <cell r="I390">
            <v>33</v>
          </cell>
          <cell r="J390">
            <v>31</v>
          </cell>
          <cell r="K390">
            <v>30</v>
          </cell>
          <cell r="L390">
            <v>29</v>
          </cell>
          <cell r="M390">
            <v>28</v>
          </cell>
        </row>
        <row r="391">
          <cell r="A391" t="str">
            <v>DQ9072A1</v>
          </cell>
          <cell r="B391">
            <v>191</v>
          </cell>
          <cell r="C391">
            <v>45.97425</v>
          </cell>
          <cell r="D391">
            <v>0</v>
          </cell>
          <cell r="E391">
            <v>45.97425</v>
          </cell>
          <cell r="F391" t="str">
            <v>调货</v>
          </cell>
          <cell r="G391" t="str">
            <v>北汽幻速S51.3T</v>
          </cell>
          <cell r="H391">
            <v>55</v>
          </cell>
          <cell r="I391">
            <v>54</v>
          </cell>
          <cell r="J391">
            <v>53</v>
          </cell>
          <cell r="K391">
            <v>52</v>
          </cell>
          <cell r="L391">
            <v>52</v>
          </cell>
          <cell r="M391">
            <v>51</v>
          </cell>
        </row>
        <row r="392">
          <cell r="A392" t="str">
            <v>DQ9133B1</v>
          </cell>
          <cell r="B392">
            <v>190</v>
          </cell>
          <cell r="C392">
            <v>56.889</v>
          </cell>
          <cell r="D392">
            <v>0</v>
          </cell>
          <cell r="E392">
            <v>56.889</v>
          </cell>
          <cell r="F392" t="str">
            <v>调货</v>
          </cell>
          <cell r="G392" t="str">
            <v>保时捷cayman 2.9L</v>
          </cell>
          <cell r="H392">
            <v>68</v>
          </cell>
          <cell r="I392">
            <v>67</v>
          </cell>
          <cell r="J392">
            <v>66</v>
          </cell>
          <cell r="K392">
            <v>65</v>
          </cell>
          <cell r="L392">
            <v>64</v>
          </cell>
          <cell r="M392">
            <v>63</v>
          </cell>
        </row>
        <row r="393">
          <cell r="A393" t="str">
            <v>DQ9050A3</v>
          </cell>
          <cell r="B393">
            <v>190</v>
          </cell>
          <cell r="C393">
            <v>37.6360470658656</v>
          </cell>
          <cell r="D393">
            <v>1.88433326586556</v>
          </cell>
          <cell r="E393">
            <v>35.7517138</v>
          </cell>
          <cell r="F393" t="str">
            <v>自制</v>
          </cell>
          <cell r="G393" t="str">
            <v>铃木 Celerio</v>
          </cell>
          <cell r="H393">
            <v>51</v>
          </cell>
          <cell r="I393">
            <v>49</v>
          </cell>
          <cell r="J393">
            <v>48</v>
          </cell>
          <cell r="K393">
            <v>46</v>
          </cell>
          <cell r="L393">
            <v>44</v>
          </cell>
          <cell r="M393">
            <v>42</v>
          </cell>
        </row>
        <row r="394">
          <cell r="A394" t="str">
            <v>DQ9061A1</v>
          </cell>
          <cell r="B394">
            <v>189</v>
          </cell>
          <cell r="C394">
            <v>45.864</v>
          </cell>
          <cell r="D394">
            <v>0</v>
          </cell>
          <cell r="E394">
            <v>45.864</v>
          </cell>
          <cell r="F394" t="str">
            <v>调货</v>
          </cell>
          <cell r="G394" t="str">
            <v>吉利缤瑞1.0T</v>
          </cell>
          <cell r="H394">
            <v>55</v>
          </cell>
          <cell r="I394">
            <v>54</v>
          </cell>
          <cell r="J394">
            <v>53</v>
          </cell>
          <cell r="K394">
            <v>52</v>
          </cell>
          <cell r="L394">
            <v>52</v>
          </cell>
          <cell r="M394">
            <v>51</v>
          </cell>
        </row>
        <row r="395">
          <cell r="A395" t="str">
            <v>DQ9402A5</v>
          </cell>
          <cell r="B395">
            <v>180</v>
          </cell>
          <cell r="C395">
            <v>99.280125</v>
          </cell>
          <cell r="D395">
            <v>0</v>
          </cell>
          <cell r="E395">
            <v>99.280125</v>
          </cell>
          <cell r="F395" t="str">
            <v>调货</v>
          </cell>
          <cell r="G395" t="str">
            <v>雪铁龙 C3（白插）</v>
          </cell>
          <cell r="H395">
            <v>119</v>
          </cell>
          <cell r="I395">
            <v>117</v>
          </cell>
          <cell r="J395">
            <v>115</v>
          </cell>
          <cell r="K395">
            <v>113</v>
          </cell>
          <cell r="L395">
            <v>112</v>
          </cell>
          <cell r="M395">
            <v>110</v>
          </cell>
        </row>
        <row r="396">
          <cell r="A396" t="str">
            <v>DQ9023E1</v>
          </cell>
          <cell r="B396">
            <v>178</v>
          </cell>
          <cell r="C396">
            <v>54.684</v>
          </cell>
          <cell r="D396">
            <v>0</v>
          </cell>
          <cell r="E396">
            <v>54.684</v>
          </cell>
          <cell r="F396" t="str">
            <v>调货</v>
          </cell>
          <cell r="G396" t="str">
            <v>大众 途昂 4MOTION 奥迪 4.0T</v>
          </cell>
          <cell r="H396">
            <v>66</v>
          </cell>
          <cell r="I396">
            <v>64</v>
          </cell>
          <cell r="J396">
            <v>63</v>
          </cell>
          <cell r="K396">
            <v>62</v>
          </cell>
          <cell r="L396">
            <v>62</v>
          </cell>
          <cell r="M396">
            <v>61</v>
          </cell>
        </row>
        <row r="397">
          <cell r="A397" t="str">
            <v>DQ9003J1</v>
          </cell>
          <cell r="B397">
            <v>170</v>
          </cell>
          <cell r="C397">
            <v>34.5789818786402</v>
          </cell>
          <cell r="D397">
            <v>5.20827127864025</v>
          </cell>
          <cell r="E397">
            <v>29.3707106</v>
          </cell>
          <cell r="F397" t="str">
            <v>自制</v>
          </cell>
          <cell r="G397" t="str">
            <v>途乐5.6L</v>
          </cell>
          <cell r="H397">
            <v>47</v>
          </cell>
          <cell r="I397">
            <v>45</v>
          </cell>
          <cell r="J397">
            <v>44</v>
          </cell>
          <cell r="K397">
            <v>42</v>
          </cell>
          <cell r="L397">
            <v>40</v>
          </cell>
          <cell r="M397">
            <v>39</v>
          </cell>
        </row>
        <row r="398">
          <cell r="A398" t="str">
            <v>DQ9226A1</v>
          </cell>
          <cell r="B398">
            <v>170</v>
          </cell>
          <cell r="C398">
            <v>34.47319928</v>
          </cell>
          <cell r="D398">
            <v>0</v>
          </cell>
          <cell r="E398">
            <v>34.47319928</v>
          </cell>
          <cell r="F398" t="str">
            <v>自制</v>
          </cell>
          <cell r="G398" t="str">
            <v>大切诺基</v>
          </cell>
          <cell r="H398">
            <v>47</v>
          </cell>
          <cell r="I398">
            <v>45</v>
          </cell>
          <cell r="J398">
            <v>44</v>
          </cell>
          <cell r="K398">
            <v>42</v>
          </cell>
          <cell r="L398">
            <v>40</v>
          </cell>
          <cell r="M398">
            <v>38</v>
          </cell>
        </row>
        <row r="399">
          <cell r="A399" t="str">
            <v>DQ9201A2</v>
          </cell>
          <cell r="B399">
            <v>168</v>
          </cell>
          <cell r="C399">
            <v>25.16613</v>
          </cell>
          <cell r="D399">
            <v>0</v>
          </cell>
          <cell r="E399">
            <v>25.16613</v>
          </cell>
          <cell r="F399" t="str">
            <v>自制</v>
          </cell>
          <cell r="G399" t="str">
            <v>新款东风小康465</v>
          </cell>
          <cell r="H399">
            <v>34</v>
          </cell>
          <cell r="I399">
            <v>33</v>
          </cell>
          <cell r="J399">
            <v>32</v>
          </cell>
          <cell r="K399">
            <v>31</v>
          </cell>
          <cell r="L399">
            <v>29</v>
          </cell>
          <cell r="M399">
            <v>28</v>
          </cell>
        </row>
        <row r="400">
          <cell r="A400" t="str">
            <v>DQ9133A2</v>
          </cell>
          <cell r="B400">
            <v>167</v>
          </cell>
          <cell r="C400">
            <v>53.214</v>
          </cell>
          <cell r="D400">
            <v>0</v>
          </cell>
          <cell r="E400">
            <v>53.214</v>
          </cell>
          <cell r="F400" t="str">
            <v>调货</v>
          </cell>
          <cell r="G400" t="str">
            <v>保时捷 卡宴 4.5L/4.5T</v>
          </cell>
          <cell r="H400">
            <v>64</v>
          </cell>
          <cell r="I400">
            <v>63</v>
          </cell>
          <cell r="J400">
            <v>62</v>
          </cell>
          <cell r="K400">
            <v>61</v>
          </cell>
          <cell r="L400">
            <v>60</v>
          </cell>
          <cell r="M400">
            <v>59</v>
          </cell>
        </row>
        <row r="401">
          <cell r="A401" t="str">
            <v>DQ9031A199</v>
          </cell>
          <cell r="B401">
            <v>163</v>
          </cell>
          <cell r="C401">
            <v>37.8990392</v>
          </cell>
          <cell r="D401">
            <v>0</v>
          </cell>
          <cell r="E401">
            <v>37.8990392</v>
          </cell>
          <cell r="F401" t="str">
            <v>自制</v>
          </cell>
          <cell r="G401" t="str">
            <v>14款科鲁兹（专用）</v>
          </cell>
          <cell r="H401">
            <v>52</v>
          </cell>
          <cell r="I401">
            <v>50</v>
          </cell>
          <cell r="J401">
            <v>48</v>
          </cell>
          <cell r="K401">
            <v>46</v>
          </cell>
          <cell r="L401">
            <v>44</v>
          </cell>
          <cell r="M401">
            <v>42</v>
          </cell>
        </row>
        <row r="402">
          <cell r="A402" t="str">
            <v>DQ9023G1</v>
          </cell>
          <cell r="B402">
            <v>161</v>
          </cell>
          <cell r="C402">
            <v>56.889</v>
          </cell>
          <cell r="D402">
            <v>0</v>
          </cell>
          <cell r="E402">
            <v>56.889</v>
          </cell>
          <cell r="F402" t="str">
            <v>调货</v>
          </cell>
          <cell r="G402" t="str">
            <v>玛莎拉蒂总裁3.0T</v>
          </cell>
          <cell r="H402">
            <v>68</v>
          </cell>
          <cell r="I402">
            <v>67</v>
          </cell>
          <cell r="J402">
            <v>66</v>
          </cell>
          <cell r="K402">
            <v>65</v>
          </cell>
          <cell r="L402">
            <v>64</v>
          </cell>
          <cell r="M402">
            <v>63</v>
          </cell>
        </row>
        <row r="403">
          <cell r="A403" t="str">
            <v>DQ9081A1</v>
          </cell>
          <cell r="B403">
            <v>160</v>
          </cell>
          <cell r="C403">
            <v>23.555046</v>
          </cell>
          <cell r="D403">
            <v>0</v>
          </cell>
          <cell r="E403">
            <v>23.555046</v>
          </cell>
          <cell r="F403" t="str">
            <v>自制</v>
          </cell>
          <cell r="G403" t="str">
            <v>风骏 5</v>
          </cell>
          <cell r="H403">
            <v>32</v>
          </cell>
          <cell r="I403">
            <v>31</v>
          </cell>
          <cell r="J403">
            <v>30</v>
          </cell>
          <cell r="K403">
            <v>29</v>
          </cell>
          <cell r="L403">
            <v>28</v>
          </cell>
          <cell r="M403">
            <v>26</v>
          </cell>
        </row>
        <row r="404">
          <cell r="A404" t="str">
            <v>DQ9132G1</v>
          </cell>
          <cell r="B404">
            <v>160</v>
          </cell>
          <cell r="C404">
            <v>32.0077754666667</v>
          </cell>
          <cell r="D404">
            <v>0</v>
          </cell>
          <cell r="E404">
            <v>32.0077754666667</v>
          </cell>
          <cell r="F404" t="str">
            <v>自制</v>
          </cell>
          <cell r="G404" t="str">
            <v>丰田Agya 2012-2016</v>
          </cell>
          <cell r="H404">
            <v>44</v>
          </cell>
          <cell r="I404">
            <v>42</v>
          </cell>
          <cell r="J404">
            <v>41</v>
          </cell>
          <cell r="K404">
            <v>39</v>
          </cell>
          <cell r="L404">
            <v>37</v>
          </cell>
          <cell r="M404">
            <v>36</v>
          </cell>
        </row>
        <row r="405">
          <cell r="A405" t="str">
            <v>DQ9008A1</v>
          </cell>
          <cell r="B405">
            <v>158</v>
          </cell>
          <cell r="C405">
            <v>39.585</v>
          </cell>
          <cell r="D405">
            <v>0</v>
          </cell>
          <cell r="E405">
            <v>39.585</v>
          </cell>
          <cell r="F405" t="str">
            <v>调货</v>
          </cell>
          <cell r="G405" t="str">
            <v>三菱蓝瑟4G93</v>
          </cell>
          <cell r="H405">
            <v>48</v>
          </cell>
          <cell r="I405">
            <v>47</v>
          </cell>
          <cell r="J405">
            <v>46</v>
          </cell>
          <cell r="K405">
            <v>45</v>
          </cell>
          <cell r="L405">
            <v>45</v>
          </cell>
          <cell r="M405">
            <v>44</v>
          </cell>
        </row>
        <row r="406">
          <cell r="A406" t="str">
            <v>DQ9215</v>
          </cell>
          <cell r="B406">
            <v>152</v>
          </cell>
          <cell r="C406">
            <v>25.18109</v>
          </cell>
          <cell r="D406">
            <v>0</v>
          </cell>
          <cell r="E406">
            <v>25.18109</v>
          </cell>
          <cell r="F406" t="str">
            <v>自制</v>
          </cell>
          <cell r="G406" t="str">
            <v>中华骏捷</v>
          </cell>
          <cell r="H406">
            <v>34</v>
          </cell>
          <cell r="I406">
            <v>33</v>
          </cell>
          <cell r="J406">
            <v>32</v>
          </cell>
          <cell r="K406">
            <v>31</v>
          </cell>
          <cell r="L406">
            <v>29</v>
          </cell>
          <cell r="M406">
            <v>28</v>
          </cell>
        </row>
        <row r="407">
          <cell r="A407" t="str">
            <v>DQ9003B3</v>
          </cell>
          <cell r="B407">
            <v>152</v>
          </cell>
          <cell r="C407">
            <v>28.93972444</v>
          </cell>
          <cell r="D407">
            <v>0</v>
          </cell>
          <cell r="E407">
            <v>28.93972444</v>
          </cell>
          <cell r="F407" t="str">
            <v>自制</v>
          </cell>
          <cell r="G407" t="str">
            <v>日产</v>
          </cell>
          <cell r="H407">
            <v>40</v>
          </cell>
          <cell r="I407">
            <v>38</v>
          </cell>
          <cell r="J407">
            <v>37</v>
          </cell>
          <cell r="K407">
            <v>35</v>
          </cell>
          <cell r="L407">
            <v>34</v>
          </cell>
          <cell r="M407">
            <v>32</v>
          </cell>
        </row>
        <row r="408">
          <cell r="A408" t="str">
            <v>DQ6607</v>
          </cell>
          <cell r="B408">
            <v>152</v>
          </cell>
          <cell r="C408">
            <v>72.331010615963</v>
          </cell>
          <cell r="D408">
            <v>0.249016598963018</v>
          </cell>
          <cell r="E408">
            <v>72.081994017</v>
          </cell>
          <cell r="F408" t="str">
            <v>自制</v>
          </cell>
          <cell r="G408" t="str">
            <v>蒙迪欧六缸</v>
          </cell>
          <cell r="H408">
            <v>98</v>
          </cell>
          <cell r="I408">
            <v>95</v>
          </cell>
          <cell r="J408">
            <v>91</v>
          </cell>
          <cell r="K408">
            <v>87</v>
          </cell>
          <cell r="L408">
            <v>84</v>
          </cell>
          <cell r="M408">
            <v>80</v>
          </cell>
        </row>
        <row r="409">
          <cell r="A409" t="str">
            <v>DQ910836</v>
          </cell>
          <cell r="B409">
            <v>152</v>
          </cell>
          <cell r="C409">
            <v>43.491</v>
          </cell>
          <cell r="D409">
            <v>0</v>
          </cell>
          <cell r="E409">
            <v>43.491</v>
          </cell>
          <cell r="F409" t="str">
            <v>调货</v>
          </cell>
          <cell r="G409" t="str">
            <v>丰田凌志</v>
          </cell>
          <cell r="H409">
            <v>52</v>
          </cell>
          <cell r="I409">
            <v>51</v>
          </cell>
          <cell r="J409">
            <v>51</v>
          </cell>
          <cell r="K409">
            <v>50</v>
          </cell>
          <cell r="L409">
            <v>49</v>
          </cell>
          <cell r="M409">
            <v>48</v>
          </cell>
        </row>
        <row r="410">
          <cell r="A410" t="str">
            <v>DQ91087402</v>
          </cell>
          <cell r="B410">
            <v>151</v>
          </cell>
          <cell r="C410">
            <v>37.32727932</v>
          </cell>
          <cell r="D410">
            <v>0</v>
          </cell>
          <cell r="E410">
            <v>37.32727932</v>
          </cell>
          <cell r="F410" t="str">
            <v>自制</v>
          </cell>
          <cell r="G410" t="str">
            <v>丰田02274</v>
          </cell>
          <cell r="H410">
            <v>51</v>
          </cell>
          <cell r="I410">
            <v>49</v>
          </cell>
          <cell r="J410">
            <v>47</v>
          </cell>
          <cell r="K410">
            <v>45</v>
          </cell>
          <cell r="L410">
            <v>43</v>
          </cell>
          <cell r="M410">
            <v>42</v>
          </cell>
        </row>
        <row r="411">
          <cell r="A411" t="str">
            <v>DQ6410A1</v>
          </cell>
          <cell r="B411">
            <v>150</v>
          </cell>
          <cell r="C411">
            <v>43.6823604765886</v>
          </cell>
          <cell r="D411">
            <v>-0.196613656744731</v>
          </cell>
          <cell r="E411">
            <v>43.8789741333333</v>
          </cell>
          <cell r="F411" t="str">
            <v>自制</v>
          </cell>
          <cell r="G411" t="str">
            <v>德尔福四代</v>
          </cell>
          <cell r="H411">
            <v>59</v>
          </cell>
          <cell r="I411">
            <v>57</v>
          </cell>
          <cell r="J411">
            <v>55</v>
          </cell>
          <cell r="K411">
            <v>53</v>
          </cell>
          <cell r="L411">
            <v>51</v>
          </cell>
          <cell r="M411">
            <v>49</v>
          </cell>
        </row>
        <row r="412">
          <cell r="A412" t="str">
            <v>DQ9211B1</v>
          </cell>
          <cell r="B412">
            <v>150</v>
          </cell>
          <cell r="C412">
            <v>42.5565</v>
          </cell>
          <cell r="D412">
            <v>0</v>
          </cell>
          <cell r="E412">
            <v>42.5565</v>
          </cell>
          <cell r="F412" t="str">
            <v>调货</v>
          </cell>
          <cell r="G412" t="str">
            <v>丰田</v>
          </cell>
          <cell r="H412">
            <v>51</v>
          </cell>
          <cell r="I412">
            <v>50</v>
          </cell>
          <cell r="J412">
            <v>49</v>
          </cell>
          <cell r="K412">
            <v>49</v>
          </cell>
          <cell r="L412">
            <v>48</v>
          </cell>
          <cell r="M412">
            <v>47</v>
          </cell>
        </row>
        <row r="413">
          <cell r="A413" t="str">
            <v>DQ9117F1</v>
          </cell>
          <cell r="B413">
            <v>150</v>
          </cell>
          <cell r="C413">
            <v>43.6777425</v>
          </cell>
          <cell r="D413">
            <v>0</v>
          </cell>
          <cell r="E413">
            <v>43.6777425</v>
          </cell>
          <cell r="F413" t="str">
            <v>调货</v>
          </cell>
          <cell r="G413" t="str">
            <v>铃木阿尔托</v>
          </cell>
          <cell r="H413">
            <v>52</v>
          </cell>
          <cell r="I413">
            <v>52</v>
          </cell>
          <cell r="J413">
            <v>51</v>
          </cell>
          <cell r="K413">
            <v>50</v>
          </cell>
          <cell r="L413">
            <v>49</v>
          </cell>
          <cell r="M413">
            <v>49</v>
          </cell>
        </row>
        <row r="414">
          <cell r="A414" t="str">
            <v>DQ9101</v>
          </cell>
          <cell r="B414">
            <v>149</v>
          </cell>
          <cell r="C414">
            <v>20.5207254275862</v>
          </cell>
          <cell r="D414">
            <v>0</v>
          </cell>
          <cell r="E414">
            <v>20.5207254275862</v>
          </cell>
          <cell r="F414" t="str">
            <v>自制</v>
          </cell>
          <cell r="G414" t="str">
            <v>老索纳塔</v>
          </cell>
          <cell r="H414">
            <v>28</v>
          </cell>
          <cell r="I414">
            <v>27</v>
          </cell>
          <cell r="J414">
            <v>26</v>
          </cell>
          <cell r="K414">
            <v>25</v>
          </cell>
          <cell r="L414">
            <v>24</v>
          </cell>
          <cell r="M414">
            <v>23</v>
          </cell>
        </row>
        <row r="415">
          <cell r="A415" t="str">
            <v>DQ6407A</v>
          </cell>
          <cell r="B415">
            <v>146</v>
          </cell>
          <cell r="C415">
            <v>41.6739116308792</v>
          </cell>
          <cell r="D415">
            <v>-0.76481436912084</v>
          </cell>
          <cell r="E415">
            <v>42.438726</v>
          </cell>
          <cell r="F415" t="str">
            <v>自制</v>
          </cell>
          <cell r="G415" t="str">
            <v>马六2.0L</v>
          </cell>
          <cell r="H415">
            <v>57</v>
          </cell>
          <cell r="I415">
            <v>55</v>
          </cell>
          <cell r="J415">
            <v>53</v>
          </cell>
          <cell r="K415">
            <v>51</v>
          </cell>
          <cell r="L415">
            <v>48</v>
          </cell>
          <cell r="M415">
            <v>46</v>
          </cell>
        </row>
        <row r="416">
          <cell r="A416" t="str">
            <v>DQ9036B2</v>
          </cell>
          <cell r="B416">
            <v>145</v>
          </cell>
          <cell r="C416">
            <v>28.3465006</v>
          </cell>
          <cell r="D416">
            <v>0</v>
          </cell>
          <cell r="E416">
            <v>28.3465006</v>
          </cell>
          <cell r="F416" t="str">
            <v>自制</v>
          </cell>
          <cell r="G416" t="str">
            <v>JEEP（红插）</v>
          </cell>
          <cell r="H416">
            <v>39</v>
          </cell>
          <cell r="I416">
            <v>37</v>
          </cell>
          <cell r="J416">
            <v>36</v>
          </cell>
          <cell r="K416">
            <v>35</v>
          </cell>
          <cell r="L416">
            <v>33</v>
          </cell>
          <cell r="M416">
            <v>32</v>
          </cell>
        </row>
        <row r="417">
          <cell r="A417" t="str">
            <v>DQ9023C1</v>
          </cell>
          <cell r="B417">
            <v>144</v>
          </cell>
          <cell r="C417">
            <v>33.1955202666667</v>
          </cell>
          <cell r="D417">
            <v>0</v>
          </cell>
          <cell r="E417">
            <v>33.1955202666667</v>
          </cell>
          <cell r="F417" t="str">
            <v>自制</v>
          </cell>
          <cell r="G417" t="str">
            <v>新款大众</v>
          </cell>
          <cell r="H417">
            <v>45</v>
          </cell>
          <cell r="I417">
            <v>44</v>
          </cell>
          <cell r="J417">
            <v>42</v>
          </cell>
          <cell r="K417">
            <v>40</v>
          </cell>
          <cell r="L417">
            <v>39</v>
          </cell>
          <cell r="M417">
            <v>37</v>
          </cell>
        </row>
        <row r="418">
          <cell r="A418" t="str">
            <v>DQ9067A1</v>
          </cell>
          <cell r="B418">
            <v>140</v>
          </cell>
          <cell r="C418">
            <v>25.5396526</v>
          </cell>
          <cell r="D418">
            <v>0</v>
          </cell>
          <cell r="E418">
            <v>25.5396526</v>
          </cell>
          <cell r="F418" t="str">
            <v>自制</v>
          </cell>
          <cell r="G418" t="str">
            <v>鑫源 X30L 1.5L/小海狮X30 1.5L</v>
          </cell>
          <cell r="H418">
            <v>35</v>
          </cell>
          <cell r="I418">
            <v>34</v>
          </cell>
          <cell r="J418">
            <v>32</v>
          </cell>
          <cell r="K418">
            <v>31</v>
          </cell>
          <cell r="L418">
            <v>30</v>
          </cell>
          <cell r="M418">
            <v>29</v>
          </cell>
        </row>
        <row r="419">
          <cell r="A419" t="str">
            <v>DQ9211A1</v>
          </cell>
          <cell r="B419">
            <v>136</v>
          </cell>
          <cell r="C419">
            <v>35.5013714</v>
          </cell>
          <cell r="D419">
            <v>0</v>
          </cell>
          <cell r="E419">
            <v>35.5013714</v>
          </cell>
          <cell r="F419" t="str">
            <v>自制</v>
          </cell>
          <cell r="G419" t="str">
            <v>丰田大发</v>
          </cell>
          <cell r="H419">
            <v>48</v>
          </cell>
          <cell r="I419">
            <v>47</v>
          </cell>
          <cell r="J419">
            <v>45</v>
          </cell>
          <cell r="K419">
            <v>43</v>
          </cell>
          <cell r="L419">
            <v>41</v>
          </cell>
          <cell r="M419">
            <v>40</v>
          </cell>
        </row>
        <row r="420">
          <cell r="A420" t="str">
            <v>DQ9156A1</v>
          </cell>
          <cell r="B420">
            <v>131</v>
          </cell>
          <cell r="C420">
            <v>38.1465</v>
          </cell>
          <cell r="D420">
            <v>0</v>
          </cell>
          <cell r="E420">
            <v>38.1465</v>
          </cell>
          <cell r="F420" t="str">
            <v>调货</v>
          </cell>
          <cell r="G420" t="str">
            <v>福特、福克斯</v>
          </cell>
          <cell r="H420">
            <v>46</v>
          </cell>
          <cell r="I420">
            <v>45</v>
          </cell>
          <cell r="J420">
            <v>44</v>
          </cell>
          <cell r="K420">
            <v>44</v>
          </cell>
          <cell r="L420">
            <v>43</v>
          </cell>
          <cell r="M420">
            <v>42</v>
          </cell>
        </row>
        <row r="421">
          <cell r="A421" t="str">
            <v>DQ9021F1</v>
          </cell>
          <cell r="B421">
            <v>130</v>
          </cell>
          <cell r="C421">
            <v>24.2818972</v>
          </cell>
          <cell r="D421">
            <v>0</v>
          </cell>
          <cell r="E421">
            <v>24.2818972</v>
          </cell>
          <cell r="F421" t="str">
            <v>自制</v>
          </cell>
          <cell r="G421" t="str">
            <v>新款奇瑞 1.0L</v>
          </cell>
          <cell r="H421">
            <v>33</v>
          </cell>
          <cell r="I421">
            <v>32</v>
          </cell>
          <cell r="J421">
            <v>31</v>
          </cell>
          <cell r="K421">
            <v>30</v>
          </cell>
          <cell r="L421">
            <v>28</v>
          </cell>
          <cell r="M421">
            <v>27</v>
          </cell>
        </row>
        <row r="422">
          <cell r="A422" t="str">
            <v>DQ9089A1</v>
          </cell>
          <cell r="B422">
            <v>129</v>
          </cell>
          <cell r="C422">
            <v>49.08517425</v>
          </cell>
          <cell r="D422">
            <v>0</v>
          </cell>
          <cell r="E422">
            <v>49.08517425</v>
          </cell>
          <cell r="F422" t="str">
            <v>调货</v>
          </cell>
          <cell r="G422" t="str">
            <v>风神、奕炫</v>
          </cell>
          <cell r="H422">
            <v>59</v>
          </cell>
          <cell r="I422">
            <v>58</v>
          </cell>
          <cell r="J422">
            <v>57</v>
          </cell>
          <cell r="K422">
            <v>56</v>
          </cell>
          <cell r="L422">
            <v>55</v>
          </cell>
          <cell r="M422">
            <v>54</v>
          </cell>
        </row>
        <row r="423">
          <cell r="A423" t="str">
            <v>DQ9017E1</v>
          </cell>
          <cell r="B423">
            <v>122</v>
          </cell>
          <cell r="C423">
            <v>43.68</v>
          </cell>
          <cell r="D423">
            <v>0</v>
          </cell>
          <cell r="E423">
            <v>43.68</v>
          </cell>
          <cell r="F423" t="str">
            <v>调货</v>
          </cell>
          <cell r="G423" t="str">
            <v>沃尔沃</v>
          </cell>
          <cell r="H423">
            <v>52</v>
          </cell>
          <cell r="I423">
            <v>52</v>
          </cell>
          <cell r="J423">
            <v>51</v>
          </cell>
          <cell r="K423">
            <v>50</v>
          </cell>
          <cell r="L423">
            <v>49</v>
          </cell>
          <cell r="M423">
            <v>49</v>
          </cell>
        </row>
        <row r="424">
          <cell r="A424" t="str">
            <v>DQ9005A</v>
          </cell>
          <cell r="B424">
            <v>121</v>
          </cell>
          <cell r="C424">
            <v>16.43257902</v>
          </cell>
          <cell r="D424">
            <v>0</v>
          </cell>
          <cell r="E424">
            <v>16.43257902</v>
          </cell>
          <cell r="F424" t="str">
            <v>自制</v>
          </cell>
          <cell r="G424" t="str">
            <v>江南奥拓</v>
          </cell>
          <cell r="H424">
            <v>23</v>
          </cell>
          <cell r="I424">
            <v>22</v>
          </cell>
          <cell r="J424">
            <v>21</v>
          </cell>
          <cell r="K424">
            <v>20</v>
          </cell>
          <cell r="L424">
            <v>19</v>
          </cell>
          <cell r="M424">
            <v>19</v>
          </cell>
        </row>
        <row r="425">
          <cell r="A425" t="str">
            <v>DQ9077A1</v>
          </cell>
          <cell r="B425">
            <v>120</v>
          </cell>
          <cell r="C425">
            <v>43.76925</v>
          </cell>
          <cell r="D425">
            <v>0</v>
          </cell>
          <cell r="E425">
            <v>43.76925</v>
          </cell>
          <cell r="F425" t="str">
            <v>调货</v>
          </cell>
          <cell r="G425" t="str">
            <v>上汽通用雪佛兰 科沃兹</v>
          </cell>
          <cell r="H425">
            <v>53</v>
          </cell>
          <cell r="I425">
            <v>52</v>
          </cell>
          <cell r="J425">
            <v>51</v>
          </cell>
          <cell r="K425">
            <v>50</v>
          </cell>
          <cell r="L425">
            <v>50</v>
          </cell>
          <cell r="M425">
            <v>49</v>
          </cell>
        </row>
        <row r="426">
          <cell r="A426" t="str">
            <v>DQ9037B1</v>
          </cell>
          <cell r="B426">
            <v>119</v>
          </cell>
          <cell r="C426">
            <v>24.5076032</v>
          </cell>
          <cell r="D426">
            <v>0</v>
          </cell>
          <cell r="E426">
            <v>24.5076032</v>
          </cell>
          <cell r="F426" t="str">
            <v>自制</v>
          </cell>
          <cell r="G426" t="str">
            <v>长城腾翼C30</v>
          </cell>
          <cell r="H426">
            <v>34</v>
          </cell>
          <cell r="I426">
            <v>32</v>
          </cell>
          <cell r="J426">
            <v>31</v>
          </cell>
          <cell r="K426">
            <v>30</v>
          </cell>
          <cell r="L426">
            <v>29</v>
          </cell>
          <cell r="M426">
            <v>27</v>
          </cell>
        </row>
        <row r="427">
          <cell r="A427" t="str">
            <v>DQ9107C1</v>
          </cell>
          <cell r="B427">
            <v>117</v>
          </cell>
          <cell r="C427">
            <v>23.0602107333333</v>
          </cell>
          <cell r="D427">
            <v>0</v>
          </cell>
          <cell r="E427">
            <v>23.0602107333333</v>
          </cell>
          <cell r="F427" t="str">
            <v>自制</v>
          </cell>
          <cell r="G427" t="str">
            <v>一汽森雅S80</v>
          </cell>
          <cell r="H427">
            <v>32</v>
          </cell>
          <cell r="I427">
            <v>30</v>
          </cell>
          <cell r="J427">
            <v>29</v>
          </cell>
          <cell r="K427">
            <v>28</v>
          </cell>
          <cell r="L427">
            <v>27</v>
          </cell>
          <cell r="M427">
            <v>26</v>
          </cell>
        </row>
        <row r="428">
          <cell r="A428" t="str">
            <v>DQ9153A2</v>
          </cell>
          <cell r="B428">
            <v>117</v>
          </cell>
          <cell r="C428">
            <v>22.8985107333333</v>
          </cell>
          <cell r="D428">
            <v>0</v>
          </cell>
          <cell r="E428">
            <v>22.8985107333333</v>
          </cell>
          <cell r="F428" t="str">
            <v>自制</v>
          </cell>
          <cell r="G428" t="str">
            <v>长城 自动挡 H6 2.4L</v>
          </cell>
          <cell r="H428">
            <v>31</v>
          </cell>
          <cell r="I428">
            <v>30</v>
          </cell>
          <cell r="J428">
            <v>29</v>
          </cell>
          <cell r="K428">
            <v>28</v>
          </cell>
          <cell r="L428">
            <v>27</v>
          </cell>
          <cell r="M428">
            <v>26</v>
          </cell>
        </row>
        <row r="429">
          <cell r="A429" t="str">
            <v>DQ9003G4</v>
          </cell>
          <cell r="B429">
            <v>113</v>
          </cell>
          <cell r="C429">
            <v>28.7691052</v>
          </cell>
          <cell r="D429">
            <v>0</v>
          </cell>
          <cell r="E429">
            <v>28.7691052</v>
          </cell>
          <cell r="F429" t="str">
            <v>自制</v>
          </cell>
          <cell r="G429" t="str">
            <v>奇骏2.0L</v>
          </cell>
          <cell r="H429">
            <v>39</v>
          </cell>
          <cell r="I429">
            <v>38</v>
          </cell>
          <cell r="J429">
            <v>36</v>
          </cell>
          <cell r="K429">
            <v>35</v>
          </cell>
          <cell r="L429">
            <v>34</v>
          </cell>
          <cell r="M429">
            <v>32</v>
          </cell>
        </row>
        <row r="430">
          <cell r="A430" t="str">
            <v>DQ9114A</v>
          </cell>
          <cell r="B430">
            <v>112</v>
          </cell>
          <cell r="C430">
            <v>33.8512514855172</v>
          </cell>
          <cell r="D430">
            <v>0</v>
          </cell>
          <cell r="E430">
            <v>33.8512514855172</v>
          </cell>
          <cell r="F430" t="str">
            <v>自制</v>
          </cell>
          <cell r="G430" t="str">
            <v>途锐长杆</v>
          </cell>
          <cell r="H430">
            <v>46</v>
          </cell>
          <cell r="I430">
            <v>45</v>
          </cell>
          <cell r="J430">
            <v>43</v>
          </cell>
          <cell r="K430">
            <v>41</v>
          </cell>
          <cell r="L430">
            <v>39</v>
          </cell>
          <cell r="M430">
            <v>38</v>
          </cell>
        </row>
        <row r="431">
          <cell r="A431" t="str">
            <v>DQ9005B</v>
          </cell>
          <cell r="B431">
            <v>112</v>
          </cell>
          <cell r="C431">
            <v>17.01535902</v>
          </cell>
          <cell r="D431">
            <v>0</v>
          </cell>
          <cell r="E431">
            <v>17.01535902</v>
          </cell>
          <cell r="F431" t="str">
            <v>自制</v>
          </cell>
          <cell r="G431" t="str">
            <v>福特水星03-05</v>
          </cell>
          <cell r="H431">
            <v>23</v>
          </cell>
          <cell r="I431">
            <v>23</v>
          </cell>
          <cell r="J431">
            <v>22</v>
          </cell>
          <cell r="K431">
            <v>21</v>
          </cell>
          <cell r="L431">
            <v>20</v>
          </cell>
          <cell r="M431">
            <v>19</v>
          </cell>
        </row>
        <row r="432">
          <cell r="A432" t="str">
            <v>DQ9007H1</v>
          </cell>
          <cell r="B432">
            <v>111</v>
          </cell>
          <cell r="C432">
            <v>35.2329626</v>
          </cell>
          <cell r="D432">
            <v>0</v>
          </cell>
          <cell r="E432">
            <v>35.2329626</v>
          </cell>
          <cell r="F432" t="str">
            <v>自制</v>
          </cell>
          <cell r="G432" t="str">
            <v>2019 Kia Cadenza 3.3l</v>
          </cell>
          <cell r="H432">
            <v>48</v>
          </cell>
          <cell r="I432">
            <v>46</v>
          </cell>
          <cell r="J432">
            <v>45</v>
          </cell>
          <cell r="K432">
            <v>43</v>
          </cell>
          <cell r="L432">
            <v>41</v>
          </cell>
          <cell r="M432">
            <v>39</v>
          </cell>
        </row>
        <row r="433">
          <cell r="A433" t="str">
            <v>DQ9038A3</v>
          </cell>
          <cell r="B433">
            <v>108</v>
          </cell>
          <cell r="C433">
            <v>24.4516566666667</v>
          </cell>
          <cell r="D433">
            <v>0</v>
          </cell>
          <cell r="E433">
            <v>24.4516566666667</v>
          </cell>
          <cell r="F433" t="str">
            <v>自制</v>
          </cell>
          <cell r="G433" t="str">
            <v>力帆</v>
          </cell>
          <cell r="H433">
            <v>34</v>
          </cell>
          <cell r="I433">
            <v>32</v>
          </cell>
          <cell r="J433">
            <v>31</v>
          </cell>
          <cell r="K433">
            <v>30</v>
          </cell>
          <cell r="L433">
            <v>29</v>
          </cell>
          <cell r="M433">
            <v>27</v>
          </cell>
        </row>
        <row r="434">
          <cell r="A434" t="str">
            <v>DQ9130A1</v>
          </cell>
          <cell r="B434">
            <v>108</v>
          </cell>
          <cell r="C434">
            <v>52.8759</v>
          </cell>
          <cell r="D434">
            <v>0</v>
          </cell>
          <cell r="E434">
            <v>52.8759</v>
          </cell>
          <cell r="F434" t="str">
            <v>调货</v>
          </cell>
          <cell r="G434" t="str">
            <v>福特</v>
          </cell>
          <cell r="H434">
            <v>63</v>
          </cell>
          <cell r="I434">
            <v>62</v>
          </cell>
          <cell r="J434">
            <v>61</v>
          </cell>
          <cell r="K434">
            <v>60</v>
          </cell>
          <cell r="L434">
            <v>60</v>
          </cell>
          <cell r="M434">
            <v>59</v>
          </cell>
        </row>
        <row r="435">
          <cell r="A435" t="str">
            <v>DQ9071A1</v>
          </cell>
          <cell r="B435">
            <v>108</v>
          </cell>
          <cell r="C435">
            <v>34.839</v>
          </cell>
          <cell r="D435">
            <v>0</v>
          </cell>
          <cell r="E435">
            <v>34.839</v>
          </cell>
          <cell r="F435" t="str">
            <v>调货</v>
          </cell>
          <cell r="G435" t="str">
            <v>东风小康C31</v>
          </cell>
          <cell r="H435">
            <v>42</v>
          </cell>
          <cell r="I435">
            <v>41</v>
          </cell>
          <cell r="J435">
            <v>41</v>
          </cell>
          <cell r="K435">
            <v>40</v>
          </cell>
          <cell r="L435">
            <v>40</v>
          </cell>
          <cell r="M435">
            <v>39</v>
          </cell>
        </row>
        <row r="436">
          <cell r="A436" t="str">
            <v>DQ9206A</v>
          </cell>
          <cell r="B436">
            <v>106</v>
          </cell>
          <cell r="C436">
            <v>34.22683</v>
          </cell>
          <cell r="D436">
            <v>0</v>
          </cell>
          <cell r="E436">
            <v>34.22683</v>
          </cell>
          <cell r="F436" t="str">
            <v>自制</v>
          </cell>
          <cell r="G436" t="str">
            <v>三菱兰瑟</v>
          </cell>
          <cell r="H436">
            <v>47</v>
          </cell>
          <cell r="I436">
            <v>45</v>
          </cell>
          <cell r="J436">
            <v>43</v>
          </cell>
          <cell r="K436">
            <v>42</v>
          </cell>
          <cell r="L436">
            <v>40</v>
          </cell>
          <cell r="M436">
            <v>38</v>
          </cell>
        </row>
        <row r="437">
          <cell r="A437" t="str">
            <v>DQ9074A2</v>
          </cell>
          <cell r="B437">
            <v>102</v>
          </cell>
          <cell r="C437">
            <v>45.8827425</v>
          </cell>
          <cell r="D437">
            <v>0</v>
          </cell>
          <cell r="E437">
            <v>45.8827425</v>
          </cell>
          <cell r="F437" t="str">
            <v>调货</v>
          </cell>
          <cell r="G437" t="str">
            <v>东风小康D71</v>
          </cell>
          <cell r="H437">
            <v>55</v>
          </cell>
          <cell r="I437">
            <v>54</v>
          </cell>
          <cell r="J437">
            <v>53</v>
          </cell>
          <cell r="K437">
            <v>52</v>
          </cell>
          <cell r="L437">
            <v>52</v>
          </cell>
          <cell r="M437">
            <v>51</v>
          </cell>
        </row>
        <row r="438">
          <cell r="A438" t="str">
            <v>DQ9128A2</v>
          </cell>
          <cell r="B438">
            <v>100</v>
          </cell>
          <cell r="C438">
            <v>34.3357525333333</v>
          </cell>
          <cell r="D438">
            <v>0</v>
          </cell>
          <cell r="E438">
            <v>34.3357525333333</v>
          </cell>
          <cell r="F438" t="str">
            <v>自制</v>
          </cell>
          <cell r="G438" t="str">
            <v>林荫大道</v>
          </cell>
          <cell r="H438">
            <v>47</v>
          </cell>
          <cell r="I438">
            <v>45</v>
          </cell>
          <cell r="J438">
            <v>43</v>
          </cell>
          <cell r="K438">
            <v>42</v>
          </cell>
          <cell r="L438">
            <v>40</v>
          </cell>
          <cell r="M438">
            <v>38</v>
          </cell>
        </row>
        <row r="439">
          <cell r="A439" t="str">
            <v>DQ6207</v>
          </cell>
          <cell r="B439">
            <v>99</v>
          </cell>
          <cell r="C439">
            <v>97.996759875</v>
          </cell>
          <cell r="D439">
            <v>-0.566740125000005</v>
          </cell>
          <cell r="E439">
            <v>98.5635</v>
          </cell>
          <cell r="F439" t="str">
            <v>调货</v>
          </cell>
          <cell r="G439" t="str">
            <v>圣达菲2.7</v>
          </cell>
          <cell r="H439">
            <v>117</v>
          </cell>
          <cell r="I439">
            <v>115</v>
          </cell>
          <cell r="J439">
            <v>113</v>
          </cell>
          <cell r="K439">
            <v>111</v>
          </cell>
          <cell r="L439">
            <v>110</v>
          </cell>
          <cell r="M439">
            <v>108</v>
          </cell>
        </row>
        <row r="440">
          <cell r="A440" t="str">
            <v>DQ9021A</v>
          </cell>
          <cell r="B440">
            <v>98</v>
          </cell>
          <cell r="C440">
            <v>21.1153393</v>
          </cell>
          <cell r="D440">
            <v>0</v>
          </cell>
          <cell r="E440">
            <v>21.1153393</v>
          </cell>
          <cell r="F440" t="str">
            <v>自制</v>
          </cell>
          <cell r="G440" t="str">
            <v>天津夏利</v>
          </cell>
          <cell r="H440">
            <v>29</v>
          </cell>
          <cell r="I440">
            <v>28</v>
          </cell>
          <cell r="J440">
            <v>27</v>
          </cell>
          <cell r="K440">
            <v>26</v>
          </cell>
          <cell r="L440">
            <v>25</v>
          </cell>
          <cell r="M440">
            <v>24</v>
          </cell>
        </row>
        <row r="441">
          <cell r="A441" t="str">
            <v>DQ9010L1</v>
          </cell>
          <cell r="B441">
            <v>97</v>
          </cell>
          <cell r="C441">
            <v>26.5082906</v>
          </cell>
          <cell r="D441">
            <v>0</v>
          </cell>
          <cell r="E441">
            <v>26.5082906</v>
          </cell>
          <cell r="F441" t="str">
            <v>自制</v>
          </cell>
          <cell r="G441" t="str">
            <v>本田飞度混动2013款</v>
          </cell>
          <cell r="H441">
            <v>36</v>
          </cell>
          <cell r="I441">
            <v>35</v>
          </cell>
          <cell r="J441">
            <v>34</v>
          </cell>
          <cell r="K441">
            <v>32</v>
          </cell>
          <cell r="L441">
            <v>31</v>
          </cell>
          <cell r="M441">
            <v>30</v>
          </cell>
        </row>
        <row r="442">
          <cell r="A442" t="str">
            <v>DQ9050A2</v>
          </cell>
          <cell r="B442">
            <v>96</v>
          </cell>
          <cell r="C442">
            <v>36.1510193489208</v>
          </cell>
          <cell r="D442">
            <v>1.72150554892076</v>
          </cell>
          <cell r="E442">
            <v>34.4295138</v>
          </cell>
          <cell r="F442" t="str">
            <v>自制</v>
          </cell>
          <cell r="G442" t="str">
            <v>三菱欧蓝德2.4L</v>
          </cell>
          <cell r="H442">
            <v>49</v>
          </cell>
          <cell r="I442">
            <v>47</v>
          </cell>
          <cell r="J442">
            <v>46</v>
          </cell>
          <cell r="K442">
            <v>44</v>
          </cell>
          <cell r="L442">
            <v>42</v>
          </cell>
          <cell r="M442">
            <v>40</v>
          </cell>
        </row>
        <row r="443">
          <cell r="A443" t="str">
            <v>DQ6402C1</v>
          </cell>
          <cell r="B443">
            <v>94</v>
          </cell>
          <cell r="C443">
            <v>65.58486</v>
          </cell>
          <cell r="D443">
            <v>0</v>
          </cell>
          <cell r="E443">
            <v>65.58486</v>
          </cell>
          <cell r="F443" t="str">
            <v>自制</v>
          </cell>
          <cell r="G443" t="str">
            <v>斯巴鲁</v>
          </cell>
          <cell r="H443">
            <v>89</v>
          </cell>
          <cell r="I443">
            <v>86</v>
          </cell>
          <cell r="J443">
            <v>82</v>
          </cell>
          <cell r="K443">
            <v>79</v>
          </cell>
          <cell r="L443">
            <v>76</v>
          </cell>
          <cell r="M443">
            <v>73</v>
          </cell>
        </row>
        <row r="444">
          <cell r="A444" t="str">
            <v>DQ4202A1</v>
          </cell>
          <cell r="B444">
            <v>94</v>
          </cell>
          <cell r="C444">
            <v>52.23645</v>
          </cell>
          <cell r="D444">
            <v>0</v>
          </cell>
          <cell r="E444">
            <v>52.23645</v>
          </cell>
          <cell r="F444" t="str">
            <v>调货</v>
          </cell>
          <cell r="G444" t="str">
            <v>丰田SR40</v>
          </cell>
          <cell r="H444">
            <v>63</v>
          </cell>
          <cell r="I444">
            <v>62</v>
          </cell>
          <cell r="J444">
            <v>61</v>
          </cell>
          <cell r="K444">
            <v>60</v>
          </cell>
          <cell r="L444">
            <v>59</v>
          </cell>
          <cell r="M444">
            <v>58</v>
          </cell>
        </row>
        <row r="445">
          <cell r="A445" t="str">
            <v>DQ9003G7</v>
          </cell>
          <cell r="B445">
            <v>92</v>
          </cell>
          <cell r="C445">
            <v>40.3702425</v>
          </cell>
          <cell r="D445">
            <v>0</v>
          </cell>
          <cell r="E445">
            <v>40.3702425</v>
          </cell>
          <cell r="F445" t="str">
            <v>调货</v>
          </cell>
          <cell r="G445" t="str">
            <v>22448-6LBOA</v>
          </cell>
          <cell r="H445">
            <v>49</v>
          </cell>
          <cell r="I445">
            <v>48</v>
          </cell>
          <cell r="J445">
            <v>47</v>
          </cell>
          <cell r="K445">
            <v>46</v>
          </cell>
          <cell r="L445">
            <v>46</v>
          </cell>
          <cell r="M445">
            <v>45</v>
          </cell>
        </row>
        <row r="446">
          <cell r="A446" t="str">
            <v>DQ9033A1</v>
          </cell>
          <cell r="B446">
            <v>90</v>
          </cell>
          <cell r="C446">
            <v>30.7932777333333</v>
          </cell>
          <cell r="D446">
            <v>0</v>
          </cell>
          <cell r="E446">
            <v>30.7932777333333</v>
          </cell>
          <cell r="F446" t="str">
            <v>自制</v>
          </cell>
          <cell r="G446" t="str">
            <v>青年莲花</v>
          </cell>
          <cell r="H446">
            <v>42</v>
          </cell>
          <cell r="I446">
            <v>41</v>
          </cell>
          <cell r="J446">
            <v>39</v>
          </cell>
          <cell r="K446">
            <v>37</v>
          </cell>
          <cell r="L446">
            <v>36</v>
          </cell>
          <cell r="M446">
            <v>34</v>
          </cell>
        </row>
        <row r="447">
          <cell r="A447" t="str">
            <v>DQ6211</v>
          </cell>
          <cell r="B447">
            <v>90</v>
          </cell>
          <cell r="C447">
            <v>61.32</v>
          </cell>
          <cell r="D447">
            <v>0</v>
          </cell>
          <cell r="E447">
            <v>61.32</v>
          </cell>
          <cell r="F447" t="str">
            <v>调货</v>
          </cell>
          <cell r="G447" t="str">
            <v>现代</v>
          </cell>
          <cell r="H447">
            <v>73</v>
          </cell>
          <cell r="I447">
            <v>72</v>
          </cell>
          <cell r="J447">
            <v>71</v>
          </cell>
          <cell r="K447">
            <v>70</v>
          </cell>
          <cell r="L447">
            <v>69</v>
          </cell>
          <cell r="M447">
            <v>68</v>
          </cell>
        </row>
        <row r="448">
          <cell r="A448" t="str">
            <v>DQ9004D2</v>
          </cell>
          <cell r="B448">
            <v>90</v>
          </cell>
          <cell r="C448">
            <v>29.76501</v>
          </cell>
          <cell r="D448">
            <v>0</v>
          </cell>
          <cell r="E448">
            <v>29.76501</v>
          </cell>
          <cell r="F448" t="str">
            <v>自制</v>
          </cell>
          <cell r="G448" t="str">
            <v>尼桑</v>
          </cell>
          <cell r="H448">
            <v>41</v>
          </cell>
          <cell r="I448">
            <v>39</v>
          </cell>
          <cell r="J448">
            <v>38</v>
          </cell>
          <cell r="K448">
            <v>36</v>
          </cell>
          <cell r="L448">
            <v>35</v>
          </cell>
          <cell r="M448">
            <v>33</v>
          </cell>
        </row>
        <row r="449">
          <cell r="A449" t="str">
            <v>DQ9085A1</v>
          </cell>
          <cell r="B449">
            <v>90</v>
          </cell>
          <cell r="C449">
            <v>49.08517425</v>
          </cell>
          <cell r="D449">
            <v>0</v>
          </cell>
          <cell r="E449">
            <v>49.08517425</v>
          </cell>
          <cell r="F449" t="str">
            <v>调货</v>
          </cell>
          <cell r="G449" t="str">
            <v>福特福克斯</v>
          </cell>
          <cell r="H449">
            <v>59</v>
          </cell>
          <cell r="I449">
            <v>58</v>
          </cell>
          <cell r="J449">
            <v>57</v>
          </cell>
          <cell r="K449">
            <v>56</v>
          </cell>
          <cell r="L449">
            <v>55</v>
          </cell>
          <cell r="M449">
            <v>54</v>
          </cell>
        </row>
        <row r="450">
          <cell r="A450" t="str">
            <v>DQ9120A</v>
          </cell>
          <cell r="B450">
            <v>89</v>
          </cell>
          <cell r="C450">
            <v>32.991</v>
          </cell>
          <cell r="D450">
            <v>0</v>
          </cell>
          <cell r="E450">
            <v>32.991</v>
          </cell>
          <cell r="F450" t="str">
            <v>调货</v>
          </cell>
          <cell r="G450" t="str">
            <v>荣威 750 2.5L（黑色铁管）</v>
          </cell>
          <cell r="H450">
            <v>40</v>
          </cell>
          <cell r="I450">
            <v>39</v>
          </cell>
          <cell r="J450">
            <v>38</v>
          </cell>
          <cell r="K450">
            <v>38</v>
          </cell>
          <cell r="L450">
            <v>37</v>
          </cell>
          <cell r="M450">
            <v>37</v>
          </cell>
        </row>
        <row r="451">
          <cell r="A451" t="str">
            <v>DQ6407</v>
          </cell>
          <cell r="B451">
            <v>88</v>
          </cell>
          <cell r="C451">
            <v>41.679100794422</v>
          </cell>
          <cell r="D451">
            <v>-0.53522520557798</v>
          </cell>
          <cell r="E451">
            <v>42.214326</v>
          </cell>
          <cell r="F451" t="str">
            <v>自制</v>
          </cell>
          <cell r="G451" t="str">
            <v>蒙迪欧</v>
          </cell>
          <cell r="H451">
            <v>57</v>
          </cell>
          <cell r="I451">
            <v>55</v>
          </cell>
          <cell r="J451">
            <v>53</v>
          </cell>
          <cell r="K451">
            <v>51</v>
          </cell>
          <cell r="L451">
            <v>48</v>
          </cell>
          <cell r="M451">
            <v>46</v>
          </cell>
        </row>
        <row r="452">
          <cell r="A452" t="str">
            <v>DQ9130B1</v>
          </cell>
          <cell r="B452">
            <v>87</v>
          </cell>
          <cell r="C452">
            <v>52.8759</v>
          </cell>
          <cell r="D452">
            <v>0</v>
          </cell>
          <cell r="E452">
            <v>52.8759</v>
          </cell>
          <cell r="F452" t="str">
            <v>调货</v>
          </cell>
          <cell r="G452" t="str">
            <v>福特猛禽F-150(右排)</v>
          </cell>
          <cell r="H452">
            <v>63</v>
          </cell>
          <cell r="I452">
            <v>62</v>
          </cell>
          <cell r="J452">
            <v>61</v>
          </cell>
          <cell r="K452">
            <v>60</v>
          </cell>
          <cell r="L452">
            <v>60</v>
          </cell>
          <cell r="M452">
            <v>59</v>
          </cell>
        </row>
        <row r="453">
          <cell r="A453" t="str">
            <v>DQ9210A4</v>
          </cell>
          <cell r="B453">
            <v>86</v>
          </cell>
          <cell r="C453">
            <v>22.9688316</v>
          </cell>
          <cell r="D453">
            <v>0</v>
          </cell>
          <cell r="E453">
            <v>22.9688316</v>
          </cell>
          <cell r="F453" t="str">
            <v>自制</v>
          </cell>
          <cell r="G453" t="str">
            <v>比亚迪G3</v>
          </cell>
          <cell r="H453">
            <v>32</v>
          </cell>
          <cell r="I453">
            <v>30</v>
          </cell>
          <cell r="J453">
            <v>29</v>
          </cell>
          <cell r="K453">
            <v>28</v>
          </cell>
          <cell r="L453">
            <v>27</v>
          </cell>
          <cell r="M453">
            <v>26</v>
          </cell>
        </row>
        <row r="454">
          <cell r="A454" t="str">
            <v>DQ9036D1</v>
          </cell>
          <cell r="B454">
            <v>82</v>
          </cell>
          <cell r="C454">
            <v>40.3702425</v>
          </cell>
          <cell r="D454">
            <v>0</v>
          </cell>
          <cell r="E454">
            <v>40.3702425</v>
          </cell>
          <cell r="F454" t="str">
            <v>调货</v>
          </cell>
          <cell r="G454" t="str">
            <v>指南者</v>
          </cell>
          <cell r="H454">
            <v>49</v>
          </cell>
          <cell r="I454">
            <v>48</v>
          </cell>
          <cell r="J454">
            <v>47</v>
          </cell>
          <cell r="K454">
            <v>46</v>
          </cell>
          <cell r="L454">
            <v>46</v>
          </cell>
          <cell r="M454">
            <v>45</v>
          </cell>
        </row>
        <row r="455">
          <cell r="A455" t="str">
            <v>DQ9034A6</v>
          </cell>
          <cell r="B455">
            <v>81</v>
          </cell>
          <cell r="C455">
            <v>37.15425</v>
          </cell>
          <cell r="D455">
            <v>0</v>
          </cell>
          <cell r="E455">
            <v>37.15425</v>
          </cell>
          <cell r="F455" t="str">
            <v>调货</v>
          </cell>
          <cell r="G455" t="str">
            <v>北汽绅宝</v>
          </cell>
          <cell r="H455">
            <v>45</v>
          </cell>
          <cell r="I455">
            <v>44</v>
          </cell>
          <cell r="J455">
            <v>43</v>
          </cell>
          <cell r="K455">
            <v>42</v>
          </cell>
          <cell r="L455">
            <v>42</v>
          </cell>
          <cell r="M455">
            <v>41</v>
          </cell>
        </row>
        <row r="456">
          <cell r="A456" t="str">
            <v>DQ9039F1</v>
          </cell>
          <cell r="B456">
            <v>81</v>
          </cell>
          <cell r="C456">
            <v>25.347586</v>
          </cell>
          <cell r="D456">
            <v>0</v>
          </cell>
          <cell r="E456">
            <v>25.347586</v>
          </cell>
          <cell r="F456" t="str">
            <v>自制</v>
          </cell>
          <cell r="G456" t="str">
            <v>福瑞达M50S 1.4L</v>
          </cell>
          <cell r="H456">
            <v>35</v>
          </cell>
          <cell r="I456">
            <v>33</v>
          </cell>
          <cell r="J456">
            <v>32</v>
          </cell>
          <cell r="K456">
            <v>31</v>
          </cell>
          <cell r="L456">
            <v>30</v>
          </cell>
          <cell r="M456">
            <v>28</v>
          </cell>
        </row>
        <row r="457">
          <cell r="A457" t="str">
            <v>DQ9209K</v>
          </cell>
          <cell r="B457">
            <v>79</v>
          </cell>
          <cell r="C457">
            <v>28.03449</v>
          </cell>
          <cell r="D457">
            <v>0</v>
          </cell>
          <cell r="E457">
            <v>28.03449</v>
          </cell>
          <cell r="F457" t="str">
            <v>自制</v>
          </cell>
          <cell r="G457" t="str">
            <v>新羚羊</v>
          </cell>
          <cell r="H457">
            <v>38</v>
          </cell>
          <cell r="I457">
            <v>37</v>
          </cell>
          <cell r="J457">
            <v>36</v>
          </cell>
          <cell r="K457">
            <v>34</v>
          </cell>
          <cell r="L457">
            <v>33</v>
          </cell>
          <cell r="M457">
            <v>31</v>
          </cell>
        </row>
        <row r="458">
          <cell r="A458" t="str">
            <v>DQ9135B1</v>
          </cell>
          <cell r="B458">
            <v>79</v>
          </cell>
          <cell r="C458">
            <v>38.241</v>
          </cell>
          <cell r="D458">
            <v>0</v>
          </cell>
          <cell r="E458">
            <v>38.241</v>
          </cell>
          <cell r="F458" t="str">
            <v>调货</v>
          </cell>
          <cell r="G458" t="str">
            <v>标致 3.0L</v>
          </cell>
          <cell r="H458">
            <v>46</v>
          </cell>
          <cell r="I458">
            <v>45</v>
          </cell>
          <cell r="J458">
            <v>44</v>
          </cell>
          <cell r="K458">
            <v>44</v>
          </cell>
          <cell r="L458">
            <v>43</v>
          </cell>
          <cell r="M458">
            <v>43</v>
          </cell>
        </row>
        <row r="459">
          <cell r="A459" t="str">
            <v>DQ9402A2</v>
          </cell>
          <cell r="B459">
            <v>78</v>
          </cell>
          <cell r="C459">
            <v>109.995919090909</v>
          </cell>
          <cell r="D459">
            <v>-0.674080909090911</v>
          </cell>
          <cell r="E459">
            <v>110.67</v>
          </cell>
          <cell r="F459" t="str">
            <v>调货</v>
          </cell>
          <cell r="G459" t="str">
            <v>标致2.0L 老款</v>
          </cell>
          <cell r="H459">
            <v>131</v>
          </cell>
          <cell r="I459">
            <v>129</v>
          </cell>
          <cell r="J459">
            <v>127</v>
          </cell>
          <cell r="K459">
            <v>125</v>
          </cell>
          <cell r="L459">
            <v>124</v>
          </cell>
          <cell r="M459">
            <v>121</v>
          </cell>
        </row>
        <row r="460">
          <cell r="A460" t="str">
            <v>DQ6409</v>
          </cell>
          <cell r="B460">
            <v>76</v>
          </cell>
          <cell r="C460">
            <v>152.355</v>
          </cell>
          <cell r="D460">
            <v>0</v>
          </cell>
          <cell r="E460">
            <v>152.355</v>
          </cell>
          <cell r="F460" t="str">
            <v>调货</v>
          </cell>
          <cell r="G460" t="str">
            <v>通用别克陆尊</v>
          </cell>
          <cell r="H460">
            <v>182</v>
          </cell>
          <cell r="I460">
            <v>179</v>
          </cell>
          <cell r="J460">
            <v>176</v>
          </cell>
          <cell r="K460">
            <v>173</v>
          </cell>
          <cell r="L460">
            <v>171</v>
          </cell>
          <cell r="M460">
            <v>168</v>
          </cell>
        </row>
        <row r="461">
          <cell r="A461" t="str">
            <v>DQ9106LR</v>
          </cell>
          <cell r="B461">
            <v>76</v>
          </cell>
          <cell r="C461">
            <v>29.5148005333333</v>
          </cell>
          <cell r="D461">
            <v>0</v>
          </cell>
          <cell r="E461">
            <v>29.5148005333333</v>
          </cell>
          <cell r="F461" t="str">
            <v>自制</v>
          </cell>
          <cell r="G461" t="str">
            <v>波罗 红头</v>
          </cell>
          <cell r="H461">
            <v>40</v>
          </cell>
          <cell r="I461">
            <v>39</v>
          </cell>
          <cell r="J461">
            <v>37</v>
          </cell>
          <cell r="K461">
            <v>36</v>
          </cell>
          <cell r="L461">
            <v>34</v>
          </cell>
          <cell r="M461">
            <v>33</v>
          </cell>
        </row>
        <row r="462">
          <cell r="A462" t="str">
            <v>DQ9063A1</v>
          </cell>
          <cell r="B462">
            <v>75</v>
          </cell>
          <cell r="C462">
            <v>54.79425</v>
          </cell>
          <cell r="D462">
            <v>0</v>
          </cell>
          <cell r="E462">
            <v>54.79425</v>
          </cell>
          <cell r="F462" t="str">
            <v>调货</v>
          </cell>
          <cell r="G462" t="str">
            <v>凯迪拉克 CT6 3.0T</v>
          </cell>
          <cell r="H462">
            <v>66</v>
          </cell>
          <cell r="I462">
            <v>65</v>
          </cell>
          <cell r="J462">
            <v>64</v>
          </cell>
          <cell r="K462">
            <v>62</v>
          </cell>
          <cell r="L462">
            <v>62</v>
          </cell>
          <cell r="M462">
            <v>61</v>
          </cell>
        </row>
        <row r="463">
          <cell r="A463" t="str">
            <v>DQ9080A1</v>
          </cell>
          <cell r="B463">
            <v>75</v>
          </cell>
          <cell r="C463">
            <v>73.4452425</v>
          </cell>
          <cell r="D463">
            <v>0</v>
          </cell>
          <cell r="E463">
            <v>73.4452425</v>
          </cell>
          <cell r="F463" t="str">
            <v>调货</v>
          </cell>
          <cell r="G463" t="str">
            <v>标致308</v>
          </cell>
          <cell r="H463">
            <v>88</v>
          </cell>
          <cell r="I463">
            <v>86</v>
          </cell>
          <cell r="J463">
            <v>85</v>
          </cell>
          <cell r="K463">
            <v>83</v>
          </cell>
          <cell r="L463">
            <v>83</v>
          </cell>
          <cell r="M463">
            <v>81</v>
          </cell>
        </row>
        <row r="464">
          <cell r="A464" t="str">
            <v>DQ9132L1</v>
          </cell>
          <cell r="B464">
            <v>72</v>
          </cell>
          <cell r="C464">
            <v>51.3765</v>
          </cell>
          <cell r="D464">
            <v>0</v>
          </cell>
          <cell r="E464">
            <v>51.3765</v>
          </cell>
          <cell r="F464" t="str">
            <v>调货</v>
          </cell>
          <cell r="G464" t="str">
            <v>大发97204</v>
          </cell>
          <cell r="H464">
            <v>62</v>
          </cell>
          <cell r="I464">
            <v>61</v>
          </cell>
          <cell r="J464">
            <v>60</v>
          </cell>
          <cell r="K464">
            <v>59</v>
          </cell>
          <cell r="L464">
            <v>58</v>
          </cell>
          <cell r="M464">
            <v>57</v>
          </cell>
        </row>
        <row r="465">
          <cell r="A465" t="str">
            <v>DQ1212Y</v>
          </cell>
          <cell r="B465">
            <v>72</v>
          </cell>
          <cell r="C465">
            <v>55.01475</v>
          </cell>
          <cell r="D465">
            <v>0</v>
          </cell>
          <cell r="E465">
            <v>55.01475</v>
          </cell>
          <cell r="F465" t="str">
            <v>调货</v>
          </cell>
          <cell r="G465" t="str">
            <v>标致</v>
          </cell>
          <cell r="H465">
            <v>66</v>
          </cell>
          <cell r="I465">
            <v>65</v>
          </cell>
          <cell r="J465">
            <v>64</v>
          </cell>
          <cell r="K465">
            <v>63</v>
          </cell>
          <cell r="L465">
            <v>62</v>
          </cell>
          <cell r="M465">
            <v>61</v>
          </cell>
        </row>
        <row r="466">
          <cell r="A466" t="str">
            <v>DQ132</v>
          </cell>
          <cell r="B466">
            <v>71</v>
          </cell>
          <cell r="C466">
            <v>26.1975</v>
          </cell>
          <cell r="D466">
            <v>0</v>
          </cell>
          <cell r="E466">
            <v>26.1975</v>
          </cell>
          <cell r="F466" t="str">
            <v>调货</v>
          </cell>
          <cell r="G466" t="str">
            <v>99新秀</v>
          </cell>
          <cell r="H466">
            <v>32</v>
          </cell>
          <cell r="I466">
            <v>31</v>
          </cell>
          <cell r="J466">
            <v>31</v>
          </cell>
          <cell r="K466">
            <v>30</v>
          </cell>
          <cell r="L466">
            <v>30</v>
          </cell>
          <cell r="M466">
            <v>29</v>
          </cell>
        </row>
        <row r="467">
          <cell r="A467" t="str">
            <v>DQ6210</v>
          </cell>
          <cell r="B467">
            <v>70</v>
          </cell>
          <cell r="C467">
            <v>61.698</v>
          </cell>
          <cell r="D467">
            <v>0</v>
          </cell>
          <cell r="E467">
            <v>61.698</v>
          </cell>
          <cell r="F467" t="str">
            <v>调货</v>
          </cell>
          <cell r="G467" t="str">
            <v>千里马1.3L</v>
          </cell>
          <cell r="H467">
            <v>74</v>
          </cell>
          <cell r="I467">
            <v>73</v>
          </cell>
          <cell r="J467">
            <v>71</v>
          </cell>
          <cell r="K467">
            <v>70</v>
          </cell>
          <cell r="L467">
            <v>70</v>
          </cell>
          <cell r="M467">
            <v>68</v>
          </cell>
        </row>
        <row r="468">
          <cell r="A468" t="str">
            <v>DQ9003G3</v>
          </cell>
          <cell r="B468">
            <v>70</v>
          </cell>
          <cell r="C468">
            <v>28.6811052</v>
          </cell>
          <cell r="D468">
            <v>0</v>
          </cell>
          <cell r="E468">
            <v>28.6811052</v>
          </cell>
          <cell r="F468" t="str">
            <v>自制</v>
          </cell>
          <cell r="G468" t="str">
            <v>国外版日产楼兰15-19款/英菲尼迪</v>
          </cell>
          <cell r="H468">
            <v>39</v>
          </cell>
          <cell r="I468">
            <v>38</v>
          </cell>
          <cell r="J468">
            <v>36</v>
          </cell>
          <cell r="K468">
            <v>35</v>
          </cell>
          <cell r="L468">
            <v>33</v>
          </cell>
          <cell r="M468">
            <v>32</v>
          </cell>
        </row>
        <row r="469">
          <cell r="A469" t="str">
            <v>DQ6401B1</v>
          </cell>
          <cell r="B469">
            <v>70</v>
          </cell>
          <cell r="C469">
            <v>63.2835</v>
          </cell>
          <cell r="D469">
            <v>0</v>
          </cell>
          <cell r="E469">
            <v>63.2835</v>
          </cell>
          <cell r="F469" t="str">
            <v>调货</v>
          </cell>
          <cell r="G469" t="str">
            <v>雷诺Dacia</v>
          </cell>
          <cell r="H469">
            <v>76</v>
          </cell>
          <cell r="I469">
            <v>75</v>
          </cell>
          <cell r="J469">
            <v>73</v>
          </cell>
          <cell r="K469">
            <v>72</v>
          </cell>
          <cell r="L469">
            <v>71</v>
          </cell>
          <cell r="M469">
            <v>70</v>
          </cell>
        </row>
        <row r="470">
          <cell r="A470" t="str">
            <v>DQ9210B1</v>
          </cell>
          <cell r="B470">
            <v>69</v>
          </cell>
          <cell r="C470">
            <v>24.7469816</v>
          </cell>
          <cell r="D470">
            <v>0</v>
          </cell>
          <cell r="E470">
            <v>24.7469816</v>
          </cell>
          <cell r="F470" t="str">
            <v>自制</v>
          </cell>
          <cell r="G470" t="str">
            <v>铃木 雨燕1.3L</v>
          </cell>
          <cell r="H470">
            <v>34</v>
          </cell>
          <cell r="I470">
            <v>33</v>
          </cell>
          <cell r="J470">
            <v>31</v>
          </cell>
          <cell r="K470">
            <v>30</v>
          </cell>
          <cell r="L470">
            <v>29</v>
          </cell>
          <cell r="M470">
            <v>28</v>
          </cell>
        </row>
        <row r="471">
          <cell r="A471" t="str">
            <v>DQ9035A4</v>
          </cell>
          <cell r="B471">
            <v>68</v>
          </cell>
          <cell r="C471">
            <v>33.0832989333333</v>
          </cell>
          <cell r="D471">
            <v>0</v>
          </cell>
          <cell r="E471">
            <v>33.0832989333333</v>
          </cell>
          <cell r="F471" t="str">
            <v>自制</v>
          </cell>
          <cell r="G471" t="str">
            <v>长城H7</v>
          </cell>
          <cell r="H471">
            <v>45</v>
          </cell>
          <cell r="I471">
            <v>44</v>
          </cell>
          <cell r="J471">
            <v>42</v>
          </cell>
          <cell r="K471">
            <v>40</v>
          </cell>
          <cell r="L471">
            <v>39</v>
          </cell>
          <cell r="M471">
            <v>37</v>
          </cell>
        </row>
        <row r="472">
          <cell r="A472" t="str">
            <v>DQ9112</v>
          </cell>
          <cell r="B472">
            <v>68</v>
          </cell>
          <cell r="C472">
            <v>43.68</v>
          </cell>
          <cell r="D472">
            <v>0</v>
          </cell>
          <cell r="E472">
            <v>43.68</v>
          </cell>
          <cell r="F472" t="str">
            <v>调货</v>
          </cell>
          <cell r="G472" t="str">
            <v>金杯格瑞斯</v>
          </cell>
          <cell r="H472">
            <v>52</v>
          </cell>
          <cell r="I472">
            <v>52</v>
          </cell>
          <cell r="J472">
            <v>51</v>
          </cell>
          <cell r="K472">
            <v>50</v>
          </cell>
          <cell r="L472">
            <v>49</v>
          </cell>
          <cell r="M472">
            <v>49</v>
          </cell>
        </row>
        <row r="473">
          <cell r="A473" t="str">
            <v>DQ6108B</v>
          </cell>
          <cell r="B473">
            <v>67</v>
          </cell>
          <cell r="C473">
            <v>33.4635</v>
          </cell>
          <cell r="D473">
            <v>0</v>
          </cell>
          <cell r="E473">
            <v>33.4635</v>
          </cell>
          <cell r="F473" t="str">
            <v>调货</v>
          </cell>
          <cell r="G473" t="str">
            <v>丰田</v>
          </cell>
          <cell r="H473">
            <v>40</v>
          </cell>
          <cell r="I473">
            <v>40</v>
          </cell>
          <cell r="J473">
            <v>39</v>
          </cell>
          <cell r="K473">
            <v>38</v>
          </cell>
          <cell r="L473">
            <v>38</v>
          </cell>
          <cell r="M473">
            <v>37</v>
          </cell>
        </row>
        <row r="474">
          <cell r="A474" t="str">
            <v>DQ6408</v>
          </cell>
          <cell r="B474">
            <v>66</v>
          </cell>
          <cell r="C474">
            <v>147.706694330303</v>
          </cell>
          <cell r="D474">
            <v>-6.10303316969687</v>
          </cell>
          <cell r="E474">
            <v>153.8097275</v>
          </cell>
          <cell r="F474" t="str">
            <v>自制</v>
          </cell>
          <cell r="G474" t="str">
            <v>桑塔纳3000</v>
          </cell>
          <cell r="H474">
            <v>200</v>
          </cell>
          <cell r="I474">
            <v>193</v>
          </cell>
          <cell r="J474">
            <v>185</v>
          </cell>
          <cell r="K474">
            <v>178</v>
          </cell>
          <cell r="L474">
            <v>170</v>
          </cell>
          <cell r="M474">
            <v>163</v>
          </cell>
        </row>
        <row r="475">
          <cell r="A475" t="str">
            <v>DQ9091A1</v>
          </cell>
          <cell r="B475">
            <v>66</v>
          </cell>
          <cell r="C475">
            <v>45.77767425</v>
          </cell>
          <cell r="D475">
            <v>0</v>
          </cell>
          <cell r="E475">
            <v>45.77767425</v>
          </cell>
          <cell r="F475" t="str">
            <v>调货</v>
          </cell>
          <cell r="G475" t="str">
            <v>红旗HS5 2.0T</v>
          </cell>
          <cell r="H475">
            <v>55</v>
          </cell>
          <cell r="I475">
            <v>54</v>
          </cell>
          <cell r="J475">
            <v>53</v>
          </cell>
          <cell r="K475">
            <v>52</v>
          </cell>
          <cell r="L475">
            <v>52</v>
          </cell>
          <cell r="M475">
            <v>51</v>
          </cell>
        </row>
        <row r="476">
          <cell r="A476" t="str">
            <v>DQ9206A4</v>
          </cell>
          <cell r="B476">
            <v>65</v>
          </cell>
          <cell r="C476">
            <v>34.303225</v>
          </cell>
          <cell r="D476">
            <v>0</v>
          </cell>
          <cell r="E476">
            <v>34.303225</v>
          </cell>
          <cell r="F476" t="str">
            <v>自制</v>
          </cell>
          <cell r="G476" t="str">
            <v>三菱帕杰罗3.8V6</v>
          </cell>
          <cell r="H476">
            <v>47</v>
          </cell>
          <cell r="I476">
            <v>45</v>
          </cell>
          <cell r="J476">
            <v>43</v>
          </cell>
          <cell r="K476">
            <v>42</v>
          </cell>
          <cell r="L476">
            <v>40</v>
          </cell>
          <cell r="M476">
            <v>38</v>
          </cell>
        </row>
        <row r="477">
          <cell r="A477" t="str">
            <v>DQ9005F</v>
          </cell>
          <cell r="B477">
            <v>64</v>
          </cell>
          <cell r="C477">
            <v>18.873272</v>
          </cell>
          <cell r="D477">
            <v>0</v>
          </cell>
          <cell r="E477">
            <v>18.873272</v>
          </cell>
          <cell r="F477" t="str">
            <v>自制</v>
          </cell>
          <cell r="G477" t="str">
            <v>福特 捷豹</v>
          </cell>
          <cell r="H477">
            <v>26</v>
          </cell>
          <cell r="I477">
            <v>25</v>
          </cell>
          <cell r="J477">
            <v>24</v>
          </cell>
          <cell r="K477">
            <v>23</v>
          </cell>
          <cell r="L477">
            <v>22</v>
          </cell>
          <cell r="M477">
            <v>21</v>
          </cell>
        </row>
        <row r="478">
          <cell r="A478" t="str">
            <v>DQ9034A7</v>
          </cell>
          <cell r="B478">
            <v>62</v>
          </cell>
          <cell r="C478">
            <v>37.15425</v>
          </cell>
          <cell r="D478">
            <v>0</v>
          </cell>
          <cell r="E478">
            <v>37.15425</v>
          </cell>
          <cell r="F478" t="str">
            <v>调货</v>
          </cell>
          <cell r="G478" t="str">
            <v>北汽绅宝</v>
          </cell>
          <cell r="H478">
            <v>45</v>
          </cell>
          <cell r="I478">
            <v>44</v>
          </cell>
          <cell r="J478">
            <v>43</v>
          </cell>
          <cell r="K478">
            <v>42</v>
          </cell>
          <cell r="L478">
            <v>42</v>
          </cell>
          <cell r="M478">
            <v>41</v>
          </cell>
        </row>
        <row r="479">
          <cell r="A479" t="str">
            <v>DQ9030D1</v>
          </cell>
          <cell r="B479">
            <v>62</v>
          </cell>
          <cell r="C479">
            <v>49.08517425</v>
          </cell>
          <cell r="D479">
            <v>0</v>
          </cell>
          <cell r="E479">
            <v>49.08517425</v>
          </cell>
          <cell r="F479" t="str">
            <v>调货</v>
          </cell>
          <cell r="G479" t="str">
            <v>福特/林肯</v>
          </cell>
          <cell r="H479">
            <v>59</v>
          </cell>
          <cell r="I479">
            <v>58</v>
          </cell>
          <cell r="J479">
            <v>57</v>
          </cell>
          <cell r="K479">
            <v>56</v>
          </cell>
          <cell r="L479">
            <v>55</v>
          </cell>
          <cell r="M479">
            <v>54</v>
          </cell>
        </row>
        <row r="480">
          <cell r="A480" t="str">
            <v>DQ9201B</v>
          </cell>
          <cell r="B480">
            <v>58</v>
          </cell>
          <cell r="C480">
            <v>24.46653</v>
          </cell>
          <cell r="D480">
            <v>0</v>
          </cell>
          <cell r="E480">
            <v>24.46653</v>
          </cell>
          <cell r="F480" t="str">
            <v>自制</v>
          </cell>
          <cell r="G480" t="str">
            <v>中华尊驰</v>
          </cell>
          <cell r="H480">
            <v>34</v>
          </cell>
          <cell r="I480">
            <v>32</v>
          </cell>
          <cell r="J480">
            <v>31</v>
          </cell>
          <cell r="K480">
            <v>30</v>
          </cell>
          <cell r="L480">
            <v>29</v>
          </cell>
          <cell r="M480">
            <v>27</v>
          </cell>
        </row>
        <row r="481">
          <cell r="A481" t="str">
            <v>DQ9149B1</v>
          </cell>
          <cell r="B481">
            <v>58</v>
          </cell>
          <cell r="C481">
            <v>59.43</v>
          </cell>
          <cell r="D481">
            <v>0</v>
          </cell>
          <cell r="E481">
            <v>59.43</v>
          </cell>
          <cell r="F481" t="str">
            <v>调货</v>
          </cell>
          <cell r="G481" t="str">
            <v>沃尔沃S80</v>
          </cell>
          <cell r="H481">
            <v>71</v>
          </cell>
          <cell r="I481">
            <v>70</v>
          </cell>
          <cell r="J481">
            <v>69</v>
          </cell>
          <cell r="K481">
            <v>68</v>
          </cell>
          <cell r="L481">
            <v>67</v>
          </cell>
          <cell r="M481">
            <v>66</v>
          </cell>
        </row>
        <row r="482">
          <cell r="A482" t="str">
            <v>DQ6492</v>
          </cell>
          <cell r="B482">
            <v>57</v>
          </cell>
          <cell r="C482">
            <v>49.4674456782519</v>
          </cell>
          <cell r="D482">
            <v>-3.65125765508138</v>
          </cell>
          <cell r="E482">
            <v>53.1187033333333</v>
          </cell>
          <cell r="F482" t="str">
            <v>自制</v>
          </cell>
          <cell r="G482" t="str">
            <v>奇瑞多点</v>
          </cell>
          <cell r="H482">
            <v>67</v>
          </cell>
          <cell r="I482">
            <v>65</v>
          </cell>
          <cell r="J482">
            <v>62</v>
          </cell>
          <cell r="K482">
            <v>60</v>
          </cell>
          <cell r="L482">
            <v>57</v>
          </cell>
          <cell r="M482">
            <v>55</v>
          </cell>
        </row>
        <row r="483">
          <cell r="A483" t="str">
            <v>DQ6106A</v>
          </cell>
          <cell r="B483">
            <v>56</v>
          </cell>
          <cell r="C483">
            <v>25.7973045</v>
          </cell>
          <cell r="D483">
            <v>0</v>
          </cell>
          <cell r="E483">
            <v>25.7973045</v>
          </cell>
          <cell r="F483" t="str">
            <v>自制</v>
          </cell>
          <cell r="G483" t="str">
            <v>猎豹（化油器）</v>
          </cell>
          <cell r="H483">
            <v>35</v>
          </cell>
          <cell r="I483">
            <v>34</v>
          </cell>
          <cell r="J483">
            <v>33</v>
          </cell>
          <cell r="K483">
            <v>31</v>
          </cell>
          <cell r="L483">
            <v>30</v>
          </cell>
          <cell r="M483">
            <v>29</v>
          </cell>
        </row>
        <row r="484">
          <cell r="A484" t="str">
            <v>DQ9101AR</v>
          </cell>
          <cell r="B484">
            <v>54</v>
          </cell>
          <cell r="C484">
            <v>18.8849431609195</v>
          </cell>
          <cell r="D484">
            <v>0</v>
          </cell>
          <cell r="E484">
            <v>18.8849431609195</v>
          </cell>
          <cell r="F484" t="str">
            <v>自制</v>
          </cell>
          <cell r="G484" t="str">
            <v>伊兰特 VVT 圆头</v>
          </cell>
          <cell r="H484">
            <v>26</v>
          </cell>
          <cell r="I484">
            <v>25</v>
          </cell>
          <cell r="J484">
            <v>24</v>
          </cell>
          <cell r="K484">
            <v>23</v>
          </cell>
          <cell r="L484">
            <v>22</v>
          </cell>
          <cell r="M484">
            <v>21</v>
          </cell>
        </row>
        <row r="485">
          <cell r="A485" t="str">
            <v>DQ9025B1</v>
          </cell>
          <cell r="B485">
            <v>53</v>
          </cell>
          <cell r="C485">
            <v>40.37355</v>
          </cell>
          <cell r="D485">
            <v>0</v>
          </cell>
          <cell r="E485">
            <v>40.37355</v>
          </cell>
          <cell r="F485" t="str">
            <v>调货</v>
          </cell>
          <cell r="G485" t="str">
            <v>奔驰S320/ML350</v>
          </cell>
          <cell r="H485">
            <v>49</v>
          </cell>
          <cell r="I485">
            <v>48</v>
          </cell>
          <cell r="J485">
            <v>47</v>
          </cell>
          <cell r="K485">
            <v>46</v>
          </cell>
          <cell r="L485">
            <v>46</v>
          </cell>
          <cell r="M485">
            <v>45</v>
          </cell>
        </row>
        <row r="486">
          <cell r="A486" t="str">
            <v>DQ6201</v>
          </cell>
          <cell r="B486">
            <v>52</v>
          </cell>
          <cell r="C486">
            <v>24.6331195</v>
          </cell>
          <cell r="D486">
            <v>0</v>
          </cell>
          <cell r="E486">
            <v>24.6331195</v>
          </cell>
          <cell r="F486" t="str">
            <v>自制</v>
          </cell>
          <cell r="G486" t="str">
            <v>金杯单点</v>
          </cell>
          <cell r="H486">
            <v>34</v>
          </cell>
          <cell r="I486">
            <v>33</v>
          </cell>
          <cell r="J486">
            <v>31</v>
          </cell>
          <cell r="K486">
            <v>30</v>
          </cell>
          <cell r="L486">
            <v>29</v>
          </cell>
          <cell r="M486">
            <v>28</v>
          </cell>
        </row>
        <row r="487">
          <cell r="A487" t="str">
            <v>DQ9034A5</v>
          </cell>
          <cell r="B487">
            <v>50</v>
          </cell>
          <cell r="C487">
            <v>37.15425</v>
          </cell>
          <cell r="D487">
            <v>0</v>
          </cell>
          <cell r="E487">
            <v>37.15425</v>
          </cell>
          <cell r="F487" t="str">
            <v>调货</v>
          </cell>
          <cell r="G487" t="str">
            <v>北汽绅宝</v>
          </cell>
          <cell r="H487">
            <v>45</v>
          </cell>
          <cell r="I487">
            <v>44</v>
          </cell>
          <cell r="J487">
            <v>43</v>
          </cell>
          <cell r="K487">
            <v>42</v>
          </cell>
          <cell r="L487">
            <v>42</v>
          </cell>
          <cell r="M487">
            <v>41</v>
          </cell>
        </row>
        <row r="488">
          <cell r="A488" t="str">
            <v>DQ9101L1</v>
          </cell>
          <cell r="B488">
            <v>50</v>
          </cell>
          <cell r="C488">
            <v>20.8617565</v>
          </cell>
          <cell r="D488">
            <v>0</v>
          </cell>
          <cell r="E488">
            <v>20.8617565</v>
          </cell>
          <cell r="F488" t="str">
            <v>自制</v>
          </cell>
          <cell r="G488" t="str">
            <v>起亚LPI</v>
          </cell>
          <cell r="H488">
            <v>29</v>
          </cell>
          <cell r="I488">
            <v>28</v>
          </cell>
          <cell r="J488">
            <v>27</v>
          </cell>
          <cell r="K488">
            <v>26</v>
          </cell>
          <cell r="L488">
            <v>24</v>
          </cell>
          <cell r="M488">
            <v>23</v>
          </cell>
        </row>
        <row r="489">
          <cell r="A489" t="str">
            <v>DQ9402A4</v>
          </cell>
          <cell r="B489">
            <v>49</v>
          </cell>
          <cell r="C489">
            <v>97.008975</v>
          </cell>
          <cell r="D489">
            <v>0</v>
          </cell>
          <cell r="E489">
            <v>97.008975</v>
          </cell>
          <cell r="F489" t="str">
            <v>调货</v>
          </cell>
          <cell r="G489" t="str">
            <v>标致 206 1.4L（黑插）</v>
          </cell>
          <cell r="H489">
            <v>116</v>
          </cell>
          <cell r="I489">
            <v>114</v>
          </cell>
          <cell r="J489">
            <v>112</v>
          </cell>
          <cell r="K489">
            <v>110</v>
          </cell>
          <cell r="L489">
            <v>109</v>
          </cell>
          <cell r="M489">
            <v>107</v>
          </cell>
        </row>
        <row r="490">
          <cell r="A490" t="str">
            <v>DQ9025D1</v>
          </cell>
          <cell r="B490">
            <v>49</v>
          </cell>
          <cell r="C490">
            <v>59.20425</v>
          </cell>
          <cell r="D490">
            <v>0</v>
          </cell>
          <cell r="E490">
            <v>59.20425</v>
          </cell>
          <cell r="F490" t="str">
            <v>调货</v>
          </cell>
          <cell r="G490" t="str">
            <v>奔驰C200K(W203) 2.0T</v>
          </cell>
          <cell r="H490">
            <v>71</v>
          </cell>
          <cell r="I490">
            <v>70</v>
          </cell>
          <cell r="J490">
            <v>69</v>
          </cell>
          <cell r="K490">
            <v>67</v>
          </cell>
          <cell r="L490">
            <v>67</v>
          </cell>
          <cell r="M490">
            <v>66</v>
          </cell>
        </row>
        <row r="491">
          <cell r="A491" t="str">
            <v>DQ9081A2</v>
          </cell>
          <cell r="B491">
            <v>46</v>
          </cell>
          <cell r="C491">
            <v>25.7675506</v>
          </cell>
          <cell r="D491">
            <v>0</v>
          </cell>
          <cell r="E491">
            <v>25.7675506</v>
          </cell>
          <cell r="F491" t="str">
            <v>自制</v>
          </cell>
          <cell r="G491" t="str">
            <v>哈弗M6</v>
          </cell>
          <cell r="H491">
            <v>35</v>
          </cell>
          <cell r="I491">
            <v>34</v>
          </cell>
          <cell r="J491">
            <v>33</v>
          </cell>
          <cell r="K491">
            <v>31</v>
          </cell>
          <cell r="L491">
            <v>30</v>
          </cell>
          <cell r="M491">
            <v>29</v>
          </cell>
        </row>
        <row r="492">
          <cell r="A492" t="str">
            <v>DQ9082A1</v>
          </cell>
          <cell r="B492">
            <v>44</v>
          </cell>
          <cell r="C492">
            <v>40.3702425</v>
          </cell>
          <cell r="D492">
            <v>0</v>
          </cell>
          <cell r="E492">
            <v>40.3702425</v>
          </cell>
          <cell r="F492" t="str">
            <v>调货</v>
          </cell>
          <cell r="G492" t="str">
            <v>凯马</v>
          </cell>
          <cell r="H492">
            <v>49</v>
          </cell>
          <cell r="I492">
            <v>48</v>
          </cell>
          <cell r="J492">
            <v>47</v>
          </cell>
          <cell r="K492">
            <v>46</v>
          </cell>
          <cell r="L492">
            <v>46</v>
          </cell>
          <cell r="M492">
            <v>45</v>
          </cell>
        </row>
        <row r="493">
          <cell r="A493" t="str">
            <v>DQ4120A1</v>
          </cell>
          <cell r="B493">
            <v>43</v>
          </cell>
          <cell r="C493">
            <v>51.29017425</v>
          </cell>
          <cell r="D493">
            <v>0</v>
          </cell>
          <cell r="E493">
            <v>51.29017425</v>
          </cell>
          <cell r="F493" t="str">
            <v>调货</v>
          </cell>
          <cell r="G493" t="str">
            <v>雷克萨斯</v>
          </cell>
          <cell r="H493">
            <v>62</v>
          </cell>
          <cell r="I493">
            <v>61</v>
          </cell>
          <cell r="J493">
            <v>59</v>
          </cell>
          <cell r="K493">
            <v>58</v>
          </cell>
          <cell r="L493">
            <v>58</v>
          </cell>
          <cell r="M493">
            <v>57</v>
          </cell>
        </row>
        <row r="494">
          <cell r="A494" t="str">
            <v>DQ9407A</v>
          </cell>
          <cell r="B494">
            <v>42</v>
          </cell>
          <cell r="C494">
            <v>150.2025</v>
          </cell>
          <cell r="D494">
            <v>0</v>
          </cell>
          <cell r="E494">
            <v>150.2025</v>
          </cell>
          <cell r="F494" t="str">
            <v>调货</v>
          </cell>
          <cell r="G494" t="str">
            <v>雪佛兰拉赛蒂1.8</v>
          </cell>
          <cell r="H494">
            <v>179</v>
          </cell>
          <cell r="I494">
            <v>176</v>
          </cell>
          <cell r="J494">
            <v>173</v>
          </cell>
          <cell r="K494">
            <v>170</v>
          </cell>
          <cell r="L494">
            <v>169</v>
          </cell>
          <cell r="M494">
            <v>166</v>
          </cell>
        </row>
        <row r="495">
          <cell r="A495" t="str">
            <v>DQ9155A1</v>
          </cell>
          <cell r="B495">
            <v>42</v>
          </cell>
          <cell r="C495">
            <v>51.3765</v>
          </cell>
          <cell r="D495">
            <v>0</v>
          </cell>
          <cell r="E495">
            <v>51.3765</v>
          </cell>
          <cell r="F495" t="str">
            <v>调货</v>
          </cell>
          <cell r="G495" t="str">
            <v>奇瑞瑞麟G6 2.0T</v>
          </cell>
          <cell r="H495">
            <v>62</v>
          </cell>
          <cell r="I495">
            <v>61</v>
          </cell>
          <cell r="J495">
            <v>60</v>
          </cell>
          <cell r="K495">
            <v>59</v>
          </cell>
          <cell r="L495">
            <v>58</v>
          </cell>
          <cell r="M495">
            <v>57</v>
          </cell>
        </row>
        <row r="496">
          <cell r="A496" t="str">
            <v>DQ9002B2</v>
          </cell>
          <cell r="B496">
            <v>42</v>
          </cell>
          <cell r="C496">
            <v>27.01626444</v>
          </cell>
          <cell r="D496">
            <v>0</v>
          </cell>
          <cell r="E496">
            <v>27.01626444</v>
          </cell>
          <cell r="F496" t="str">
            <v>自制</v>
          </cell>
          <cell r="G496" t="str">
            <v>Mazda 5 / MX5</v>
          </cell>
          <cell r="H496">
            <v>37</v>
          </cell>
          <cell r="I496">
            <v>36</v>
          </cell>
          <cell r="J496">
            <v>34</v>
          </cell>
          <cell r="K496">
            <v>33</v>
          </cell>
          <cell r="L496">
            <v>32</v>
          </cell>
          <cell r="M496">
            <v>30</v>
          </cell>
        </row>
        <row r="497">
          <cell r="A497" t="str">
            <v>DQ6109A</v>
          </cell>
          <cell r="B497">
            <v>41</v>
          </cell>
          <cell r="C497">
            <v>27.1718975</v>
          </cell>
          <cell r="D497">
            <v>0</v>
          </cell>
          <cell r="E497">
            <v>27.1718975</v>
          </cell>
          <cell r="F497" t="str">
            <v>自制</v>
          </cell>
          <cell r="G497" t="str">
            <v>乐驰0.8</v>
          </cell>
          <cell r="H497">
            <v>37</v>
          </cell>
          <cell r="I497">
            <v>36</v>
          </cell>
          <cell r="J497">
            <v>34</v>
          </cell>
          <cell r="K497">
            <v>33</v>
          </cell>
          <cell r="L497">
            <v>32</v>
          </cell>
          <cell r="M497">
            <v>30</v>
          </cell>
        </row>
        <row r="498">
          <cell r="A498" t="str">
            <v>DQ9215C</v>
          </cell>
          <cell r="B498">
            <v>40</v>
          </cell>
          <cell r="C498">
            <v>31.618532</v>
          </cell>
          <cell r="D498">
            <v>0</v>
          </cell>
          <cell r="E498">
            <v>31.618532</v>
          </cell>
          <cell r="F498" t="str">
            <v>自制</v>
          </cell>
          <cell r="G498" t="str">
            <v>长城哈弗 H6/H5 2.0L</v>
          </cell>
          <cell r="H498">
            <v>43</v>
          </cell>
          <cell r="I498">
            <v>42</v>
          </cell>
          <cell r="J498">
            <v>40</v>
          </cell>
          <cell r="K498">
            <v>38</v>
          </cell>
          <cell r="L498">
            <v>37</v>
          </cell>
          <cell r="M498">
            <v>35</v>
          </cell>
        </row>
        <row r="499">
          <cell r="A499" t="str">
            <v>DQ9214A</v>
          </cell>
          <cell r="B499">
            <v>40</v>
          </cell>
          <cell r="C499">
            <v>38.535</v>
          </cell>
          <cell r="D499">
            <v>0</v>
          </cell>
          <cell r="E499">
            <v>38.535</v>
          </cell>
          <cell r="F499" t="str">
            <v>调货</v>
          </cell>
          <cell r="G499" t="str">
            <v>现代</v>
          </cell>
          <cell r="H499">
            <v>46</v>
          </cell>
          <cell r="I499">
            <v>46</v>
          </cell>
          <cell r="J499">
            <v>45</v>
          </cell>
          <cell r="K499">
            <v>44</v>
          </cell>
          <cell r="L499">
            <v>44</v>
          </cell>
          <cell r="M499">
            <v>43</v>
          </cell>
        </row>
        <row r="500">
          <cell r="A500" t="str">
            <v>DQ901881</v>
          </cell>
          <cell r="B500">
            <v>40</v>
          </cell>
          <cell r="C500">
            <v>37.5893529</v>
          </cell>
          <cell r="D500">
            <v>0</v>
          </cell>
          <cell r="E500">
            <v>37.5893529</v>
          </cell>
          <cell r="F500" t="str">
            <v>自制</v>
          </cell>
          <cell r="G500" t="str">
            <v>丰田Aygo2014-2016</v>
          </cell>
          <cell r="H500">
            <v>51</v>
          </cell>
          <cell r="I500">
            <v>49</v>
          </cell>
          <cell r="J500">
            <v>47</v>
          </cell>
          <cell r="K500">
            <v>46</v>
          </cell>
          <cell r="L500">
            <v>44</v>
          </cell>
          <cell r="M500">
            <v>42</v>
          </cell>
        </row>
        <row r="501">
          <cell r="A501" t="str">
            <v>DQ9097A1</v>
          </cell>
          <cell r="B501">
            <v>40</v>
          </cell>
          <cell r="C501">
            <v>35.85517425</v>
          </cell>
          <cell r="D501">
            <v>0</v>
          </cell>
          <cell r="E501">
            <v>35.85517425</v>
          </cell>
          <cell r="F501" t="str">
            <v>调货</v>
          </cell>
          <cell r="G501" t="str">
            <v>奇瑞E3</v>
          </cell>
          <cell r="H501">
            <v>43</v>
          </cell>
          <cell r="I501">
            <v>42</v>
          </cell>
          <cell r="J501">
            <v>42</v>
          </cell>
          <cell r="K501">
            <v>41</v>
          </cell>
          <cell r="L501">
            <v>41</v>
          </cell>
          <cell r="M501">
            <v>40</v>
          </cell>
        </row>
        <row r="502">
          <cell r="A502" t="str">
            <v>DQ6403</v>
          </cell>
          <cell r="B502">
            <v>39</v>
          </cell>
          <cell r="C502">
            <v>113.085</v>
          </cell>
          <cell r="D502">
            <v>0</v>
          </cell>
          <cell r="E502">
            <v>113.085</v>
          </cell>
          <cell r="F502" t="str">
            <v>调货</v>
          </cell>
          <cell r="G502" t="str">
            <v>斯巴鲁</v>
          </cell>
          <cell r="H502">
            <v>135</v>
          </cell>
          <cell r="I502">
            <v>133</v>
          </cell>
          <cell r="J502">
            <v>131</v>
          </cell>
          <cell r="K502">
            <v>128</v>
          </cell>
          <cell r="L502">
            <v>127</v>
          </cell>
          <cell r="M502">
            <v>125</v>
          </cell>
        </row>
        <row r="503">
          <cell r="A503" t="str">
            <v>DQ9078A1</v>
          </cell>
          <cell r="B503">
            <v>39</v>
          </cell>
          <cell r="C503">
            <v>49.1715</v>
          </cell>
          <cell r="D503">
            <v>0</v>
          </cell>
          <cell r="E503">
            <v>49.1715</v>
          </cell>
          <cell r="F503" t="str">
            <v>调货</v>
          </cell>
          <cell r="G503" t="str">
            <v>海马8S 1.6T</v>
          </cell>
          <cell r="H503">
            <v>59</v>
          </cell>
          <cell r="I503">
            <v>58</v>
          </cell>
          <cell r="J503">
            <v>57</v>
          </cell>
          <cell r="K503">
            <v>56</v>
          </cell>
          <cell r="L503">
            <v>56</v>
          </cell>
          <cell r="M503">
            <v>55</v>
          </cell>
        </row>
        <row r="504">
          <cell r="A504" t="str">
            <v>DQ9209C</v>
          </cell>
          <cell r="B504">
            <v>35</v>
          </cell>
          <cell r="C504">
            <v>25.486703</v>
          </cell>
          <cell r="D504">
            <v>0</v>
          </cell>
          <cell r="E504">
            <v>25.486703</v>
          </cell>
          <cell r="F504" t="str">
            <v>自制</v>
          </cell>
          <cell r="G504" t="str">
            <v>比亚迪483</v>
          </cell>
          <cell r="H504">
            <v>35</v>
          </cell>
          <cell r="I504">
            <v>34</v>
          </cell>
          <cell r="J504">
            <v>32</v>
          </cell>
          <cell r="K504">
            <v>31</v>
          </cell>
          <cell r="L504">
            <v>30</v>
          </cell>
          <cell r="M504">
            <v>29</v>
          </cell>
        </row>
        <row r="505">
          <cell r="A505" t="str">
            <v>DQ9008B1</v>
          </cell>
          <cell r="B505">
            <v>35</v>
          </cell>
          <cell r="C505">
            <v>44.541</v>
          </cell>
          <cell r="D505">
            <v>0</v>
          </cell>
          <cell r="E505">
            <v>44.541</v>
          </cell>
          <cell r="F505" t="str">
            <v>调货</v>
          </cell>
          <cell r="G505" t="str">
            <v>三菱蓝瑟08-12  2.0L</v>
          </cell>
          <cell r="H505">
            <v>54</v>
          </cell>
          <cell r="I505">
            <v>53</v>
          </cell>
          <cell r="J505">
            <v>52</v>
          </cell>
          <cell r="K505">
            <v>51</v>
          </cell>
          <cell r="L505">
            <v>50</v>
          </cell>
          <cell r="M505">
            <v>49</v>
          </cell>
        </row>
        <row r="506">
          <cell r="A506" t="str">
            <v>DQ9406B1</v>
          </cell>
          <cell r="B506">
            <v>34</v>
          </cell>
          <cell r="C506">
            <v>120.8025</v>
          </cell>
          <cell r="D506">
            <v>0</v>
          </cell>
          <cell r="E506">
            <v>120.8025</v>
          </cell>
          <cell r="F506" t="str">
            <v>调货</v>
          </cell>
          <cell r="G506" t="str">
            <v>欧宝10458316</v>
          </cell>
          <cell r="H506">
            <v>144</v>
          </cell>
          <cell r="I506">
            <v>142</v>
          </cell>
          <cell r="J506">
            <v>139</v>
          </cell>
          <cell r="K506">
            <v>137</v>
          </cell>
          <cell r="L506">
            <v>136</v>
          </cell>
          <cell r="M506">
            <v>133</v>
          </cell>
        </row>
        <row r="507">
          <cell r="A507" t="str">
            <v>DQ6203</v>
          </cell>
          <cell r="B507">
            <v>34</v>
          </cell>
          <cell r="C507">
            <v>102.165</v>
          </cell>
          <cell r="D507">
            <v>0</v>
          </cell>
          <cell r="E507">
            <v>102.165</v>
          </cell>
          <cell r="F507" t="str">
            <v>调货</v>
          </cell>
          <cell r="G507" t="str">
            <v>特拉卡途胜2.7</v>
          </cell>
          <cell r="H507">
            <v>122</v>
          </cell>
          <cell r="I507">
            <v>120</v>
          </cell>
          <cell r="J507">
            <v>118</v>
          </cell>
          <cell r="K507">
            <v>116</v>
          </cell>
          <cell r="L507">
            <v>115</v>
          </cell>
          <cell r="M507">
            <v>113</v>
          </cell>
        </row>
        <row r="508">
          <cell r="A508" t="str">
            <v>DQ6110</v>
          </cell>
          <cell r="B508">
            <v>33</v>
          </cell>
          <cell r="C508">
            <v>46.3463041666667</v>
          </cell>
          <cell r="D508">
            <v>0</v>
          </cell>
          <cell r="E508">
            <v>46.3463041666667</v>
          </cell>
          <cell r="F508" t="str">
            <v>自制</v>
          </cell>
          <cell r="G508" t="str">
            <v>红旗世纪星</v>
          </cell>
          <cell r="H508">
            <v>63</v>
          </cell>
          <cell r="I508">
            <v>61</v>
          </cell>
          <cell r="J508">
            <v>58</v>
          </cell>
          <cell r="K508">
            <v>56</v>
          </cell>
          <cell r="L508">
            <v>54</v>
          </cell>
          <cell r="M508">
            <v>51</v>
          </cell>
        </row>
        <row r="509">
          <cell r="A509" t="str">
            <v>DQ9405</v>
          </cell>
          <cell r="B509">
            <v>30</v>
          </cell>
          <cell r="C509">
            <v>131.3025</v>
          </cell>
          <cell r="D509">
            <v>0</v>
          </cell>
          <cell r="E509">
            <v>131.3025</v>
          </cell>
          <cell r="F509" t="str">
            <v>调货</v>
          </cell>
          <cell r="G509" t="str">
            <v>欧宝</v>
          </cell>
          <cell r="H509">
            <v>157</v>
          </cell>
          <cell r="I509">
            <v>154</v>
          </cell>
          <cell r="J509">
            <v>151</v>
          </cell>
          <cell r="K509">
            <v>149</v>
          </cell>
          <cell r="L509">
            <v>148</v>
          </cell>
          <cell r="M509">
            <v>145</v>
          </cell>
        </row>
        <row r="510">
          <cell r="A510" t="str">
            <v>DQ4108A1</v>
          </cell>
          <cell r="B510">
            <v>30</v>
          </cell>
          <cell r="C510">
            <v>46.14789375</v>
          </cell>
          <cell r="D510">
            <v>0</v>
          </cell>
          <cell r="E510">
            <v>46.14789375</v>
          </cell>
          <cell r="F510" t="str">
            <v>调货</v>
          </cell>
          <cell r="G510" t="str">
            <v>雪佛兰罗德</v>
          </cell>
          <cell r="H510">
            <v>55</v>
          </cell>
          <cell r="I510">
            <v>54</v>
          </cell>
          <cell r="J510">
            <v>54</v>
          </cell>
          <cell r="K510">
            <v>53</v>
          </cell>
          <cell r="L510">
            <v>52</v>
          </cell>
          <cell r="M510">
            <v>51</v>
          </cell>
        </row>
        <row r="511">
          <cell r="A511" t="str">
            <v>DQ4110A1</v>
          </cell>
          <cell r="B511">
            <v>30</v>
          </cell>
          <cell r="C511">
            <v>46.14789375</v>
          </cell>
          <cell r="D511">
            <v>0</v>
          </cell>
          <cell r="E511">
            <v>46.14789375</v>
          </cell>
          <cell r="F511" t="str">
            <v>调货</v>
          </cell>
          <cell r="G511" t="str">
            <v>雪佛兰英帕拉</v>
          </cell>
          <cell r="H511">
            <v>55</v>
          </cell>
          <cell r="I511">
            <v>54</v>
          </cell>
          <cell r="J511">
            <v>54</v>
          </cell>
          <cell r="K511">
            <v>53</v>
          </cell>
          <cell r="L511">
            <v>52</v>
          </cell>
          <cell r="M511">
            <v>51</v>
          </cell>
        </row>
        <row r="512">
          <cell r="A512" t="str">
            <v>DQ9017B1</v>
          </cell>
          <cell r="B512">
            <v>28</v>
          </cell>
          <cell r="C512">
            <v>34.7434593975575</v>
          </cell>
          <cell r="D512">
            <v>0.501067744224233</v>
          </cell>
          <cell r="E512">
            <v>34.2423916533333</v>
          </cell>
          <cell r="F512" t="str">
            <v>自制</v>
          </cell>
          <cell r="G512" t="str">
            <v>沃尔沃 S80 (长杆)</v>
          </cell>
          <cell r="H512">
            <v>47</v>
          </cell>
          <cell r="I512">
            <v>46</v>
          </cell>
          <cell r="J512">
            <v>44</v>
          </cell>
          <cell r="K512">
            <v>42</v>
          </cell>
          <cell r="L512">
            <v>40</v>
          </cell>
          <cell r="M512">
            <v>39</v>
          </cell>
        </row>
        <row r="513">
          <cell r="A513" t="str">
            <v>DQ4102B1</v>
          </cell>
          <cell r="B513">
            <v>26</v>
          </cell>
          <cell r="C513">
            <v>32.65605</v>
          </cell>
          <cell r="D513">
            <v>0</v>
          </cell>
          <cell r="E513">
            <v>32.65605</v>
          </cell>
          <cell r="F513" t="str">
            <v>调货</v>
          </cell>
          <cell r="G513" t="str">
            <v>日产帕拉丁</v>
          </cell>
          <cell r="H513">
            <v>39</v>
          </cell>
          <cell r="I513">
            <v>39</v>
          </cell>
          <cell r="J513">
            <v>38</v>
          </cell>
          <cell r="K513">
            <v>37</v>
          </cell>
          <cell r="L513">
            <v>37</v>
          </cell>
          <cell r="M513">
            <v>36</v>
          </cell>
        </row>
        <row r="514">
          <cell r="A514" t="str">
            <v>DQ9139A1</v>
          </cell>
          <cell r="B514">
            <v>25</v>
          </cell>
          <cell r="C514">
            <v>33.22283132</v>
          </cell>
          <cell r="D514">
            <v>0</v>
          </cell>
          <cell r="E514">
            <v>33.22283132</v>
          </cell>
          <cell r="F514" t="str">
            <v>自制</v>
          </cell>
          <cell r="G514" t="str">
            <v>丰田大发HijetAtrai2010</v>
          </cell>
          <cell r="H514">
            <v>45</v>
          </cell>
          <cell r="I514">
            <v>44</v>
          </cell>
          <cell r="J514">
            <v>42</v>
          </cell>
          <cell r="K514">
            <v>40</v>
          </cell>
          <cell r="L514">
            <v>39</v>
          </cell>
          <cell r="M514">
            <v>37</v>
          </cell>
        </row>
        <row r="515">
          <cell r="A515" t="str">
            <v>DQ134A</v>
          </cell>
          <cell r="B515">
            <v>24</v>
          </cell>
          <cell r="C515">
            <v>49.5705</v>
          </cell>
          <cell r="D515">
            <v>0</v>
          </cell>
          <cell r="E515">
            <v>49.5705</v>
          </cell>
          <cell r="F515" t="str">
            <v>调货</v>
          </cell>
          <cell r="G515" t="str">
            <v>05款大插口蒙迪欧</v>
          </cell>
          <cell r="H515">
            <v>59</v>
          </cell>
          <cell r="I515">
            <v>58</v>
          </cell>
          <cell r="J515">
            <v>58</v>
          </cell>
          <cell r="K515">
            <v>57</v>
          </cell>
          <cell r="L515">
            <v>56</v>
          </cell>
          <cell r="M515">
            <v>55</v>
          </cell>
        </row>
        <row r="516">
          <cell r="A516" t="str">
            <v>DQ132A</v>
          </cell>
          <cell r="B516">
            <v>22</v>
          </cell>
          <cell r="C516">
            <v>26.1765</v>
          </cell>
          <cell r="D516">
            <v>0</v>
          </cell>
          <cell r="E516">
            <v>26.1765</v>
          </cell>
          <cell r="F516" t="str">
            <v>调货</v>
          </cell>
          <cell r="G516" t="str">
            <v>奇瑞QQ1.1</v>
          </cell>
          <cell r="H516">
            <v>32</v>
          </cell>
          <cell r="I516">
            <v>31</v>
          </cell>
          <cell r="J516">
            <v>31</v>
          </cell>
          <cell r="K516">
            <v>30</v>
          </cell>
          <cell r="L516">
            <v>30</v>
          </cell>
          <cell r="M516">
            <v>29</v>
          </cell>
        </row>
        <row r="517">
          <cell r="A517" t="str">
            <v>DQ6205</v>
          </cell>
          <cell r="B517">
            <v>21</v>
          </cell>
          <cell r="C517">
            <v>147.273225</v>
          </cell>
          <cell r="D517">
            <v>0</v>
          </cell>
          <cell r="E517">
            <v>147.273225</v>
          </cell>
          <cell r="F517" t="str">
            <v>自制</v>
          </cell>
          <cell r="G517" t="str">
            <v>帕萨特2.8</v>
          </cell>
          <cell r="H517">
            <v>199</v>
          </cell>
          <cell r="I517">
            <v>192</v>
          </cell>
          <cell r="J517">
            <v>185</v>
          </cell>
          <cell r="K517">
            <v>177</v>
          </cell>
          <cell r="L517">
            <v>170</v>
          </cell>
          <cell r="M517">
            <v>163</v>
          </cell>
        </row>
        <row r="518">
          <cell r="A518" t="str">
            <v>DQ9017D1</v>
          </cell>
          <cell r="B518">
            <v>21</v>
          </cell>
          <cell r="C518">
            <v>41.58</v>
          </cell>
          <cell r="D518">
            <v>0</v>
          </cell>
          <cell r="E518">
            <v>41.58</v>
          </cell>
          <cell r="F518" t="str">
            <v>调货</v>
          </cell>
          <cell r="G518" t="str">
            <v>沃尔沃</v>
          </cell>
          <cell r="H518">
            <v>50</v>
          </cell>
          <cell r="I518">
            <v>49</v>
          </cell>
          <cell r="J518">
            <v>48</v>
          </cell>
          <cell r="K518">
            <v>47</v>
          </cell>
          <cell r="L518">
            <v>47</v>
          </cell>
          <cell r="M518">
            <v>46</v>
          </cell>
        </row>
        <row r="519">
          <cell r="A519" t="str">
            <v>DQ4401A1</v>
          </cell>
          <cell r="B519">
            <v>20</v>
          </cell>
          <cell r="C519">
            <v>69.78825</v>
          </cell>
          <cell r="D519">
            <v>0</v>
          </cell>
          <cell r="E519">
            <v>69.78825</v>
          </cell>
          <cell r="F519" t="str">
            <v>调货</v>
          </cell>
          <cell r="G519" t="str">
            <v>ATOS  1.0L</v>
          </cell>
          <cell r="H519">
            <v>84</v>
          </cell>
          <cell r="I519">
            <v>82</v>
          </cell>
          <cell r="J519">
            <v>81</v>
          </cell>
          <cell r="K519">
            <v>79</v>
          </cell>
          <cell r="L519">
            <v>79</v>
          </cell>
          <cell r="M519">
            <v>77</v>
          </cell>
        </row>
        <row r="520">
          <cell r="A520" t="str">
            <v>DQ4401B1</v>
          </cell>
          <cell r="B520">
            <v>20</v>
          </cell>
          <cell r="C520">
            <v>69.78825</v>
          </cell>
          <cell r="D520">
            <v>0</v>
          </cell>
          <cell r="E520">
            <v>69.78825</v>
          </cell>
          <cell r="F520" t="str">
            <v>调货</v>
          </cell>
          <cell r="G520" t="str">
            <v>AT0SL41.0L</v>
          </cell>
          <cell r="H520">
            <v>84</v>
          </cell>
          <cell r="I520">
            <v>82</v>
          </cell>
          <cell r="J520">
            <v>81</v>
          </cell>
          <cell r="K520">
            <v>79</v>
          </cell>
          <cell r="L520">
            <v>79</v>
          </cell>
          <cell r="M520">
            <v>77</v>
          </cell>
        </row>
        <row r="521">
          <cell r="A521" t="str">
            <v>DQ4119A1</v>
          </cell>
          <cell r="B521">
            <v>20</v>
          </cell>
          <cell r="C521">
            <v>34.75267425</v>
          </cell>
          <cell r="D521">
            <v>0</v>
          </cell>
          <cell r="E521">
            <v>34.75267425</v>
          </cell>
          <cell r="F521" t="str">
            <v>调货</v>
          </cell>
          <cell r="G521" t="str">
            <v>马自达MX-3</v>
          </cell>
          <cell r="H521">
            <v>42</v>
          </cell>
          <cell r="I521">
            <v>41</v>
          </cell>
          <cell r="J521">
            <v>40</v>
          </cell>
          <cell r="K521">
            <v>40</v>
          </cell>
          <cell r="L521">
            <v>39</v>
          </cell>
          <cell r="M521">
            <v>39</v>
          </cell>
        </row>
        <row r="522">
          <cell r="A522" t="str">
            <v>DQ4101A1</v>
          </cell>
          <cell r="B522">
            <v>19</v>
          </cell>
          <cell r="C522">
            <v>46.227825</v>
          </cell>
          <cell r="D522">
            <v>0</v>
          </cell>
          <cell r="E522">
            <v>46.227825</v>
          </cell>
          <cell r="F522" t="str">
            <v>调货</v>
          </cell>
          <cell r="G522" t="str">
            <v>奔驰MB100</v>
          </cell>
          <cell r="H522">
            <v>56</v>
          </cell>
          <cell r="I522">
            <v>55</v>
          </cell>
          <cell r="J522">
            <v>54</v>
          </cell>
          <cell r="K522">
            <v>53</v>
          </cell>
          <cell r="L522">
            <v>52</v>
          </cell>
          <cell r="M522">
            <v>51</v>
          </cell>
        </row>
        <row r="523">
          <cell r="A523" t="str">
            <v>DQ9206A3</v>
          </cell>
          <cell r="B523">
            <v>19</v>
          </cell>
          <cell r="C523">
            <v>33.501325</v>
          </cell>
          <cell r="D523">
            <v>0</v>
          </cell>
          <cell r="E523">
            <v>33.501325</v>
          </cell>
          <cell r="F523" t="str">
            <v>自制</v>
          </cell>
          <cell r="G523" t="str">
            <v>中华大空</v>
          </cell>
          <cell r="H523">
            <v>46</v>
          </cell>
          <cell r="I523">
            <v>44</v>
          </cell>
          <cell r="J523">
            <v>42</v>
          </cell>
          <cell r="K523">
            <v>41</v>
          </cell>
          <cell r="L523">
            <v>39</v>
          </cell>
          <cell r="M523">
            <v>37</v>
          </cell>
        </row>
        <row r="524">
          <cell r="A524" t="str">
            <v>DQ9011A1</v>
          </cell>
          <cell r="B524">
            <v>18</v>
          </cell>
          <cell r="C524">
            <v>47.07675</v>
          </cell>
          <cell r="D524">
            <v>0</v>
          </cell>
          <cell r="E524">
            <v>47.07675</v>
          </cell>
          <cell r="F524" t="str">
            <v>调货</v>
          </cell>
          <cell r="G524" t="str">
            <v>丰田特锐</v>
          </cell>
          <cell r="H524">
            <v>57</v>
          </cell>
          <cell r="I524">
            <v>56</v>
          </cell>
          <cell r="J524">
            <v>55</v>
          </cell>
          <cell r="K524">
            <v>54</v>
          </cell>
          <cell r="L524">
            <v>53</v>
          </cell>
          <cell r="M524">
            <v>52</v>
          </cell>
        </row>
        <row r="525">
          <cell r="A525" t="str">
            <v>DQ9023A</v>
          </cell>
          <cell r="B525">
            <v>17</v>
          </cell>
          <cell r="C525">
            <v>31.6093334666667</v>
          </cell>
          <cell r="D525">
            <v>0</v>
          </cell>
          <cell r="E525">
            <v>31.6093334666667</v>
          </cell>
          <cell r="F525" t="str">
            <v>自制</v>
          </cell>
          <cell r="G525" t="str">
            <v>新桑塔纳</v>
          </cell>
          <cell r="H525">
            <v>43</v>
          </cell>
          <cell r="I525">
            <v>42</v>
          </cell>
          <cell r="J525">
            <v>40</v>
          </cell>
          <cell r="K525">
            <v>38</v>
          </cell>
          <cell r="L525">
            <v>37</v>
          </cell>
          <cell r="M525">
            <v>35</v>
          </cell>
        </row>
        <row r="526">
          <cell r="A526" t="str">
            <v>DQ9101T</v>
          </cell>
          <cell r="B526">
            <v>17</v>
          </cell>
          <cell r="C526">
            <v>22.3505244942529</v>
          </cell>
          <cell r="D526">
            <v>0</v>
          </cell>
          <cell r="E526">
            <v>22.3505244942529</v>
          </cell>
          <cell r="F526" t="str">
            <v>自制</v>
          </cell>
          <cell r="G526" t="str">
            <v>27301-37410</v>
          </cell>
          <cell r="H526">
            <v>31</v>
          </cell>
          <cell r="I526">
            <v>30</v>
          </cell>
          <cell r="J526">
            <v>28</v>
          </cell>
          <cell r="K526">
            <v>27</v>
          </cell>
          <cell r="L526">
            <v>26</v>
          </cell>
          <cell r="M526">
            <v>25</v>
          </cell>
        </row>
        <row r="527">
          <cell r="A527" t="str">
            <v>DQ6106</v>
          </cell>
          <cell r="B527">
            <v>16</v>
          </cell>
          <cell r="C527">
            <v>37.8939495</v>
          </cell>
          <cell r="D527">
            <v>0</v>
          </cell>
          <cell r="E527">
            <v>37.8939495</v>
          </cell>
          <cell r="F527" t="str">
            <v>自制</v>
          </cell>
          <cell r="G527" t="str">
            <v>三菱猎豹V31</v>
          </cell>
          <cell r="H527">
            <v>52</v>
          </cell>
          <cell r="I527">
            <v>50</v>
          </cell>
          <cell r="J527">
            <v>48</v>
          </cell>
          <cell r="K527">
            <v>46</v>
          </cell>
          <cell r="L527">
            <v>44</v>
          </cell>
          <cell r="M527">
            <v>42</v>
          </cell>
        </row>
        <row r="528">
          <cell r="A528" t="str">
            <v>DQ9002E1</v>
          </cell>
          <cell r="B528">
            <v>16</v>
          </cell>
          <cell r="C528">
            <v>41.601</v>
          </cell>
          <cell r="D528">
            <v>0</v>
          </cell>
          <cell r="E528">
            <v>41.601</v>
          </cell>
          <cell r="F528" t="str">
            <v>调货</v>
          </cell>
          <cell r="G528" t="str">
            <v>马自达</v>
          </cell>
          <cell r="H528">
            <v>50</v>
          </cell>
          <cell r="I528">
            <v>49</v>
          </cell>
          <cell r="J528">
            <v>48</v>
          </cell>
          <cell r="K528">
            <v>48</v>
          </cell>
          <cell r="L528">
            <v>47</v>
          </cell>
          <cell r="M528">
            <v>46</v>
          </cell>
        </row>
        <row r="529">
          <cell r="A529" t="str">
            <v>DQ9214</v>
          </cell>
          <cell r="B529">
            <v>16</v>
          </cell>
          <cell r="C529">
            <v>38.535</v>
          </cell>
          <cell r="D529">
            <v>0</v>
          </cell>
          <cell r="E529">
            <v>38.535</v>
          </cell>
          <cell r="F529" t="str">
            <v>调货</v>
          </cell>
          <cell r="G529" t="str">
            <v>现代蓝杆</v>
          </cell>
          <cell r="H529">
            <v>46</v>
          </cell>
          <cell r="I529">
            <v>46</v>
          </cell>
          <cell r="J529">
            <v>45</v>
          </cell>
          <cell r="K529">
            <v>44</v>
          </cell>
          <cell r="L529">
            <v>44</v>
          </cell>
          <cell r="M529">
            <v>43</v>
          </cell>
        </row>
        <row r="530">
          <cell r="A530" t="str">
            <v>DQ9136A1</v>
          </cell>
          <cell r="B530">
            <v>16</v>
          </cell>
          <cell r="C530">
            <v>43.659</v>
          </cell>
          <cell r="D530">
            <v>0</v>
          </cell>
          <cell r="E530">
            <v>43.659</v>
          </cell>
          <cell r="F530" t="str">
            <v>调货</v>
          </cell>
          <cell r="G530" t="str">
            <v>新SM5 LPG</v>
          </cell>
          <cell r="H530">
            <v>52</v>
          </cell>
          <cell r="I530">
            <v>52</v>
          </cell>
          <cell r="J530">
            <v>51</v>
          </cell>
          <cell r="K530">
            <v>50</v>
          </cell>
          <cell r="L530">
            <v>49</v>
          </cell>
          <cell r="M530">
            <v>49</v>
          </cell>
        </row>
        <row r="531">
          <cell r="A531" t="str">
            <v>DQ4109A1</v>
          </cell>
          <cell r="B531">
            <v>16</v>
          </cell>
          <cell r="C531">
            <v>52.80975</v>
          </cell>
          <cell r="D531">
            <v>0</v>
          </cell>
          <cell r="E531">
            <v>52.80975</v>
          </cell>
          <cell r="F531" t="str">
            <v>调货</v>
          </cell>
          <cell r="G531" t="str">
            <v>雪佛兰</v>
          </cell>
          <cell r="H531">
            <v>63</v>
          </cell>
          <cell r="I531">
            <v>62</v>
          </cell>
          <cell r="J531">
            <v>61</v>
          </cell>
          <cell r="K531">
            <v>60</v>
          </cell>
          <cell r="L531">
            <v>60</v>
          </cell>
          <cell r="M531">
            <v>59</v>
          </cell>
        </row>
        <row r="532">
          <cell r="A532" t="str">
            <v>DQ133B</v>
          </cell>
          <cell r="B532">
            <v>15</v>
          </cell>
          <cell r="C532">
            <v>43.1466440330207</v>
          </cell>
          <cell r="D532">
            <v>-1.44141596697929</v>
          </cell>
          <cell r="E532">
            <v>44.58806</v>
          </cell>
          <cell r="F532" t="str">
            <v>自制</v>
          </cell>
          <cell r="G532" t="str">
            <v>菲亚特1.3L</v>
          </cell>
          <cell r="H532">
            <v>59</v>
          </cell>
          <cell r="I532">
            <v>57</v>
          </cell>
          <cell r="J532">
            <v>54</v>
          </cell>
          <cell r="K532">
            <v>52</v>
          </cell>
          <cell r="L532">
            <v>50</v>
          </cell>
          <cell r="M532">
            <v>48</v>
          </cell>
        </row>
        <row r="533">
          <cell r="A533" t="str">
            <v>DQ9005C</v>
          </cell>
          <cell r="B533">
            <v>12</v>
          </cell>
          <cell r="C533">
            <v>15.85246102</v>
          </cell>
          <cell r="D533">
            <v>0</v>
          </cell>
          <cell r="E533">
            <v>15.85246102</v>
          </cell>
          <cell r="F533" t="str">
            <v>自制</v>
          </cell>
          <cell r="G533" t="str">
            <v>捷豹</v>
          </cell>
          <cell r="H533">
            <v>22</v>
          </cell>
          <cell r="I533">
            <v>21</v>
          </cell>
          <cell r="J533">
            <v>20</v>
          </cell>
          <cell r="K533">
            <v>20</v>
          </cell>
          <cell r="L533">
            <v>19</v>
          </cell>
          <cell r="M533">
            <v>18</v>
          </cell>
        </row>
        <row r="534">
          <cell r="A534" t="str">
            <v>DQ9014</v>
          </cell>
          <cell r="B534">
            <v>12</v>
          </cell>
          <cell r="C534">
            <v>48.93</v>
          </cell>
          <cell r="D534">
            <v>0</v>
          </cell>
          <cell r="E534">
            <v>48.93</v>
          </cell>
          <cell r="F534" t="str">
            <v>调货</v>
          </cell>
          <cell r="G534" t="str">
            <v>奥迪200</v>
          </cell>
          <cell r="H534">
            <v>59</v>
          </cell>
          <cell r="I534">
            <v>58</v>
          </cell>
          <cell r="J534">
            <v>57</v>
          </cell>
          <cell r="K534">
            <v>56</v>
          </cell>
          <cell r="L534">
            <v>55</v>
          </cell>
          <cell r="M534">
            <v>54</v>
          </cell>
        </row>
        <row r="535">
          <cell r="A535" t="str">
            <v>DQ9029A2</v>
          </cell>
          <cell r="B535">
            <v>10</v>
          </cell>
          <cell r="C535">
            <v>41.9976375</v>
          </cell>
          <cell r="D535">
            <v>0.312637499999998</v>
          </cell>
          <cell r="E535">
            <v>41.685</v>
          </cell>
          <cell r="F535" t="str">
            <v>调货</v>
          </cell>
          <cell r="G535" t="str">
            <v>宝马E36/E46</v>
          </cell>
          <cell r="H535">
            <v>50</v>
          </cell>
          <cell r="I535">
            <v>50</v>
          </cell>
          <cell r="J535">
            <v>49</v>
          </cell>
          <cell r="K535">
            <v>48</v>
          </cell>
          <cell r="L535">
            <v>48</v>
          </cell>
          <cell r="M535">
            <v>47</v>
          </cell>
        </row>
        <row r="536">
          <cell r="A536" t="str">
            <v>DQ133</v>
          </cell>
          <cell r="B536">
            <v>10</v>
          </cell>
          <cell r="C536">
            <v>59.657136</v>
          </cell>
          <cell r="D536">
            <v>0</v>
          </cell>
          <cell r="E536">
            <v>59.657136</v>
          </cell>
          <cell r="F536" t="str">
            <v>自制</v>
          </cell>
          <cell r="G536" t="str">
            <v>五菱之光摩托罗拉</v>
          </cell>
          <cell r="H536">
            <v>81</v>
          </cell>
          <cell r="I536">
            <v>78</v>
          </cell>
          <cell r="J536">
            <v>75</v>
          </cell>
          <cell r="K536">
            <v>72</v>
          </cell>
          <cell r="L536">
            <v>69</v>
          </cell>
          <cell r="M536">
            <v>66</v>
          </cell>
        </row>
        <row r="537">
          <cell r="A537" t="str">
            <v>DQ9024</v>
          </cell>
          <cell r="B537">
            <v>10</v>
          </cell>
          <cell r="C537">
            <v>64.785</v>
          </cell>
          <cell r="D537">
            <v>0</v>
          </cell>
          <cell r="E537">
            <v>64.785</v>
          </cell>
          <cell r="F537" t="str">
            <v>调货</v>
          </cell>
          <cell r="G537" t="str">
            <v>竞技  骑兵</v>
          </cell>
          <cell r="H537">
            <v>78</v>
          </cell>
          <cell r="I537">
            <v>76</v>
          </cell>
          <cell r="J537">
            <v>75</v>
          </cell>
          <cell r="K537">
            <v>74</v>
          </cell>
          <cell r="L537">
            <v>73</v>
          </cell>
          <cell r="M537">
            <v>72</v>
          </cell>
        </row>
        <row r="538">
          <cell r="A538" t="str">
            <v>DQ4301A1</v>
          </cell>
          <cell r="B538">
            <v>10</v>
          </cell>
          <cell r="C538">
            <v>74.19825</v>
          </cell>
          <cell r="D538">
            <v>0</v>
          </cell>
          <cell r="E538">
            <v>74.19825</v>
          </cell>
          <cell r="F538" t="str">
            <v>调货</v>
          </cell>
          <cell r="G538" t="str">
            <v>斯帕克0.8L</v>
          </cell>
          <cell r="H538">
            <v>89</v>
          </cell>
          <cell r="I538">
            <v>87</v>
          </cell>
          <cell r="J538">
            <v>86</v>
          </cell>
          <cell r="K538">
            <v>84</v>
          </cell>
          <cell r="L538">
            <v>84</v>
          </cell>
          <cell r="M538">
            <v>82</v>
          </cell>
        </row>
        <row r="539">
          <cell r="A539" t="str">
            <v>DQ6401</v>
          </cell>
          <cell r="B539">
            <v>10</v>
          </cell>
          <cell r="C539">
            <v>87.60465</v>
          </cell>
          <cell r="D539">
            <v>0</v>
          </cell>
          <cell r="E539">
            <v>87.60465</v>
          </cell>
          <cell r="F539" t="str">
            <v>调货</v>
          </cell>
          <cell r="G539" t="str">
            <v>雷诺（三孔）</v>
          </cell>
          <cell r="H539">
            <v>105</v>
          </cell>
          <cell r="I539">
            <v>103</v>
          </cell>
          <cell r="J539">
            <v>101</v>
          </cell>
          <cell r="K539">
            <v>99</v>
          </cell>
          <cell r="L539">
            <v>99</v>
          </cell>
          <cell r="M539">
            <v>97</v>
          </cell>
        </row>
        <row r="540">
          <cell r="A540" t="str">
            <v>DQ9103K1</v>
          </cell>
          <cell r="B540">
            <v>10</v>
          </cell>
          <cell r="C540">
            <v>55.54395</v>
          </cell>
          <cell r="D540">
            <v>0</v>
          </cell>
          <cell r="E540">
            <v>55.54395</v>
          </cell>
          <cell r="F540" t="str">
            <v>调货</v>
          </cell>
          <cell r="G540" t="str">
            <v>大众福克斯</v>
          </cell>
          <cell r="H540">
            <v>67</v>
          </cell>
          <cell r="I540">
            <v>65</v>
          </cell>
          <cell r="J540">
            <v>64</v>
          </cell>
          <cell r="K540">
            <v>63</v>
          </cell>
          <cell r="L540">
            <v>63</v>
          </cell>
          <cell r="M540">
            <v>62</v>
          </cell>
        </row>
        <row r="541">
          <cell r="A541" t="str">
            <v>DQ9088A1</v>
          </cell>
          <cell r="B541">
            <v>10</v>
          </cell>
          <cell r="C541">
            <v>40.26517425</v>
          </cell>
          <cell r="D541">
            <v>0</v>
          </cell>
          <cell r="E541">
            <v>40.26517425</v>
          </cell>
          <cell r="F541" t="str">
            <v>调货</v>
          </cell>
          <cell r="G541" t="str">
            <v>雷诺二针</v>
          </cell>
          <cell r="H541">
            <v>48</v>
          </cell>
          <cell r="I541">
            <v>48</v>
          </cell>
          <cell r="J541">
            <v>47</v>
          </cell>
          <cell r="K541">
            <v>46</v>
          </cell>
          <cell r="L541">
            <v>46</v>
          </cell>
          <cell r="M541">
            <v>45</v>
          </cell>
        </row>
        <row r="542">
          <cell r="A542" t="str">
            <v>DQ9209A2</v>
          </cell>
          <cell r="B542">
            <v>9</v>
          </cell>
          <cell r="C542">
            <v>25.125903</v>
          </cell>
          <cell r="D542">
            <v>0</v>
          </cell>
          <cell r="E542">
            <v>25.125903</v>
          </cell>
          <cell r="F542" t="str">
            <v>自制</v>
          </cell>
          <cell r="G542" t="str">
            <v>哈飞民意6370/6391/M100</v>
          </cell>
          <cell r="H542">
            <v>34</v>
          </cell>
          <cell r="I542">
            <v>33</v>
          </cell>
          <cell r="J542">
            <v>32</v>
          </cell>
          <cell r="K542">
            <v>31</v>
          </cell>
          <cell r="L542">
            <v>29</v>
          </cell>
          <cell r="M542">
            <v>28</v>
          </cell>
        </row>
        <row r="543">
          <cell r="A543" t="str">
            <v>DQ4608A1</v>
          </cell>
          <cell r="B543">
            <v>8</v>
          </cell>
          <cell r="C543">
            <v>112.035</v>
          </cell>
          <cell r="D543">
            <v>0</v>
          </cell>
          <cell r="E543">
            <v>112.035</v>
          </cell>
          <cell r="F543" t="str">
            <v>调货</v>
          </cell>
          <cell r="G543" t="str">
            <v>圣达菲2.7L</v>
          </cell>
          <cell r="H543">
            <v>134</v>
          </cell>
          <cell r="I543">
            <v>132</v>
          </cell>
          <cell r="J543">
            <v>129</v>
          </cell>
          <cell r="K543">
            <v>127</v>
          </cell>
          <cell r="L543">
            <v>126</v>
          </cell>
          <cell r="M543">
            <v>124</v>
          </cell>
        </row>
        <row r="544">
          <cell r="A544" t="str">
            <v>DQ9025A2</v>
          </cell>
          <cell r="B544">
            <v>8</v>
          </cell>
          <cell r="C544">
            <v>36.09852276404</v>
          </cell>
          <cell r="D544">
            <v>1.90697495737332</v>
          </cell>
          <cell r="E544">
            <v>34.1915478066667</v>
          </cell>
          <cell r="F544" t="str">
            <v>自制</v>
          </cell>
          <cell r="G544" t="str">
            <v>奔驰AMG Coupe</v>
          </cell>
          <cell r="H544">
            <v>49</v>
          </cell>
          <cell r="I544">
            <v>47</v>
          </cell>
          <cell r="J544">
            <v>46</v>
          </cell>
          <cell r="K544">
            <v>44</v>
          </cell>
          <cell r="L544">
            <v>42</v>
          </cell>
          <cell r="M544">
            <v>40</v>
          </cell>
        </row>
        <row r="545">
          <cell r="A545" t="str">
            <v>DQ9001B1</v>
          </cell>
          <cell r="B545">
            <v>8</v>
          </cell>
          <cell r="C545">
            <v>24.5654145</v>
          </cell>
          <cell r="D545">
            <v>0</v>
          </cell>
          <cell r="E545">
            <v>24.5654145</v>
          </cell>
          <cell r="F545" t="str">
            <v>自制</v>
          </cell>
          <cell r="G545" t="str">
            <v>拉达格兰塔</v>
          </cell>
          <cell r="H545">
            <v>34</v>
          </cell>
          <cell r="I545">
            <v>32</v>
          </cell>
          <cell r="J545">
            <v>31</v>
          </cell>
          <cell r="K545">
            <v>30</v>
          </cell>
          <cell r="L545">
            <v>29</v>
          </cell>
          <cell r="M545">
            <v>28</v>
          </cell>
        </row>
        <row r="546">
          <cell r="A546" t="str">
            <v>DQ9086A1</v>
          </cell>
          <cell r="B546">
            <v>8</v>
          </cell>
          <cell r="C546">
            <v>36.95767425</v>
          </cell>
          <cell r="D546">
            <v>0</v>
          </cell>
          <cell r="E546">
            <v>36.95767425</v>
          </cell>
          <cell r="F546" t="str">
            <v>调货</v>
          </cell>
          <cell r="G546" t="str">
            <v>金杯 蒂阿兹</v>
          </cell>
          <cell r="H546">
            <v>44</v>
          </cell>
          <cell r="I546">
            <v>44</v>
          </cell>
          <cell r="J546">
            <v>43</v>
          </cell>
          <cell r="K546">
            <v>42</v>
          </cell>
          <cell r="L546">
            <v>42</v>
          </cell>
          <cell r="M546">
            <v>41</v>
          </cell>
        </row>
        <row r="547">
          <cell r="A547" t="str">
            <v>DQ126</v>
          </cell>
          <cell r="B547">
            <v>7</v>
          </cell>
          <cell r="C547">
            <v>25.2490095</v>
          </cell>
          <cell r="D547">
            <v>0</v>
          </cell>
          <cell r="E547">
            <v>25.2490095</v>
          </cell>
          <cell r="F547" t="str">
            <v>自制</v>
          </cell>
          <cell r="G547" t="str">
            <v>北京切诺基</v>
          </cell>
          <cell r="H547">
            <v>35</v>
          </cell>
          <cell r="I547">
            <v>33</v>
          </cell>
          <cell r="J547">
            <v>32</v>
          </cell>
          <cell r="K547">
            <v>31</v>
          </cell>
          <cell r="L547">
            <v>30</v>
          </cell>
          <cell r="M547">
            <v>28</v>
          </cell>
        </row>
        <row r="548">
          <cell r="A548" t="str">
            <v>DQ9402B1</v>
          </cell>
          <cell r="B548">
            <v>7</v>
          </cell>
          <cell r="C548">
            <v>143.380125</v>
          </cell>
          <cell r="D548">
            <v>0</v>
          </cell>
          <cell r="E548">
            <v>143.380125</v>
          </cell>
          <cell r="F548" t="str">
            <v>调货</v>
          </cell>
          <cell r="G548" t="str">
            <v>标致</v>
          </cell>
          <cell r="H548">
            <v>171</v>
          </cell>
          <cell r="I548">
            <v>168</v>
          </cell>
          <cell r="J548">
            <v>165</v>
          </cell>
          <cell r="K548">
            <v>163</v>
          </cell>
          <cell r="L548">
            <v>161</v>
          </cell>
          <cell r="M548">
            <v>158</v>
          </cell>
        </row>
        <row r="549">
          <cell r="A549" t="str">
            <v>DQ9033B1</v>
          </cell>
          <cell r="B549">
            <v>6</v>
          </cell>
          <cell r="C549">
            <v>31.7409135833333</v>
          </cell>
          <cell r="D549">
            <v>0</v>
          </cell>
          <cell r="E549">
            <v>31.7409135833333</v>
          </cell>
          <cell r="F549" t="str">
            <v>自制</v>
          </cell>
          <cell r="G549" t="str">
            <v>宝腾 艾索拉</v>
          </cell>
          <cell r="H549">
            <v>43</v>
          </cell>
          <cell r="I549">
            <v>42</v>
          </cell>
          <cell r="J549">
            <v>40</v>
          </cell>
          <cell r="K549">
            <v>39</v>
          </cell>
          <cell r="L549">
            <v>37</v>
          </cell>
          <cell r="M549">
            <v>35</v>
          </cell>
        </row>
        <row r="550">
          <cell r="A550" t="str">
            <v>DQ4402A1</v>
          </cell>
          <cell r="B550">
            <v>6</v>
          </cell>
          <cell r="C550">
            <v>69.237</v>
          </cell>
          <cell r="D550">
            <v>0</v>
          </cell>
          <cell r="E550">
            <v>69.237</v>
          </cell>
          <cell r="F550" t="str">
            <v>调货</v>
          </cell>
          <cell r="G550" t="str">
            <v>起亚EIO L4</v>
          </cell>
          <cell r="H550">
            <v>83</v>
          </cell>
          <cell r="I550">
            <v>82</v>
          </cell>
          <cell r="J550">
            <v>80</v>
          </cell>
          <cell r="K550">
            <v>79</v>
          </cell>
          <cell r="L550">
            <v>78</v>
          </cell>
          <cell r="M550">
            <v>77</v>
          </cell>
        </row>
        <row r="551">
          <cell r="A551" t="str">
            <v>DQ9104</v>
          </cell>
          <cell r="B551">
            <v>5</v>
          </cell>
          <cell r="C551">
            <v>24.4824978666667</v>
          </cell>
          <cell r="D551">
            <v>0</v>
          </cell>
          <cell r="E551">
            <v>24.4824978666667</v>
          </cell>
          <cell r="F551" t="str">
            <v>自制</v>
          </cell>
          <cell r="G551" t="str">
            <v>日系雷诺</v>
          </cell>
          <cell r="H551">
            <v>34</v>
          </cell>
          <cell r="I551">
            <v>32</v>
          </cell>
          <cell r="J551">
            <v>31</v>
          </cell>
          <cell r="K551">
            <v>30</v>
          </cell>
          <cell r="L551">
            <v>29</v>
          </cell>
          <cell r="M551">
            <v>27</v>
          </cell>
        </row>
        <row r="552">
          <cell r="A552" t="str">
            <v>DQ9003H4</v>
          </cell>
          <cell r="B552">
            <v>4</v>
          </cell>
          <cell r="C552">
            <v>28.8986852</v>
          </cell>
          <cell r="D552">
            <v>0</v>
          </cell>
          <cell r="E552">
            <v>28.8986852</v>
          </cell>
          <cell r="F552" t="str">
            <v>自制</v>
          </cell>
          <cell r="G552" t="str">
            <v>尼桑GTR3.8 V6</v>
          </cell>
          <cell r="H552">
            <v>40</v>
          </cell>
          <cell r="I552">
            <v>38</v>
          </cell>
          <cell r="J552">
            <v>37</v>
          </cell>
          <cell r="K552">
            <v>35</v>
          </cell>
          <cell r="L552">
            <v>34</v>
          </cell>
          <cell r="M552">
            <v>32</v>
          </cell>
        </row>
        <row r="553">
          <cell r="A553" t="str">
            <v>DQ9030B1</v>
          </cell>
          <cell r="B553">
            <v>4</v>
          </cell>
          <cell r="C553">
            <v>54.59767425</v>
          </cell>
          <cell r="D553">
            <v>0</v>
          </cell>
          <cell r="E553">
            <v>54.59767425</v>
          </cell>
          <cell r="F553" t="str">
            <v>调货</v>
          </cell>
          <cell r="G553" t="str">
            <v>福特蒙迪欧致胜2.0T</v>
          </cell>
          <cell r="H553">
            <v>65</v>
          </cell>
          <cell r="I553">
            <v>64</v>
          </cell>
          <cell r="J553">
            <v>63</v>
          </cell>
          <cell r="K553">
            <v>62</v>
          </cell>
          <cell r="L553">
            <v>62</v>
          </cell>
          <cell r="M553">
            <v>61</v>
          </cell>
        </row>
        <row r="554">
          <cell r="A554" t="str">
            <v>DQ9204B</v>
          </cell>
          <cell r="B554">
            <v>2</v>
          </cell>
          <cell r="C554">
            <v>45.97425</v>
          </cell>
          <cell r="D554">
            <v>0</v>
          </cell>
          <cell r="E554">
            <v>45.97425</v>
          </cell>
          <cell r="F554" t="str">
            <v>调货</v>
          </cell>
          <cell r="G554" t="str">
            <v>起亚欧菲莱斯3.5</v>
          </cell>
          <cell r="H554">
            <v>55</v>
          </cell>
          <cell r="I554">
            <v>54</v>
          </cell>
          <cell r="J554">
            <v>53</v>
          </cell>
          <cell r="K554">
            <v>52</v>
          </cell>
          <cell r="L554">
            <v>52</v>
          </cell>
          <cell r="M554">
            <v>51</v>
          </cell>
        </row>
        <row r="555">
          <cell r="A555" t="str">
            <v>DQ4201B1</v>
          </cell>
          <cell r="B555">
            <v>1</v>
          </cell>
          <cell r="C555">
            <v>60.8265</v>
          </cell>
          <cell r="D555">
            <v>0</v>
          </cell>
          <cell r="E555">
            <v>60.8265</v>
          </cell>
          <cell r="F555" t="str">
            <v>调货</v>
          </cell>
          <cell r="G555" t="str">
            <v>奔驰S320</v>
          </cell>
          <cell r="H555">
            <v>73</v>
          </cell>
          <cell r="I555">
            <v>72</v>
          </cell>
          <cell r="J555">
            <v>70</v>
          </cell>
          <cell r="K555">
            <v>69</v>
          </cell>
          <cell r="L555">
            <v>69</v>
          </cell>
          <cell r="M555">
            <v>67</v>
          </cell>
        </row>
        <row r="556">
          <cell r="A556" t="str">
            <v>DQ9005Q</v>
          </cell>
          <cell r="B556">
            <v>0</v>
          </cell>
          <cell r="C556">
            <v>17.742633722</v>
          </cell>
          <cell r="D556">
            <v>0</v>
          </cell>
          <cell r="E556">
            <v>17.742633722</v>
          </cell>
          <cell r="F556" t="str">
            <v>自制</v>
          </cell>
          <cell r="G556" t="str">
            <v>福特神探</v>
          </cell>
          <cell r="H556">
            <v>24</v>
          </cell>
          <cell r="I556">
            <v>24</v>
          </cell>
          <cell r="J556">
            <v>23</v>
          </cell>
          <cell r="K556">
            <v>22</v>
          </cell>
          <cell r="L556">
            <v>21</v>
          </cell>
          <cell r="M556">
            <v>20</v>
          </cell>
        </row>
        <row r="557">
          <cell r="A557" t="str">
            <v>DQ9132A1</v>
          </cell>
          <cell r="B557">
            <v>0</v>
          </cell>
          <cell r="C557">
            <v>32.94721676</v>
          </cell>
          <cell r="D557">
            <v>0</v>
          </cell>
          <cell r="E557">
            <v>32.94721676</v>
          </cell>
          <cell r="F557" t="str">
            <v>自制</v>
          </cell>
          <cell r="G557" t="str">
            <v>进口森雅</v>
          </cell>
          <cell r="H557">
            <v>45</v>
          </cell>
          <cell r="I557">
            <v>43</v>
          </cell>
          <cell r="J557">
            <v>42</v>
          </cell>
          <cell r="K557">
            <v>40</v>
          </cell>
          <cell r="L557">
            <v>38</v>
          </cell>
          <cell r="M557">
            <v>37</v>
          </cell>
        </row>
        <row r="558">
          <cell r="A558" t="str">
            <v>DQ9217C</v>
          </cell>
          <cell r="B558">
            <v>0</v>
          </cell>
          <cell r="C558">
            <v>54.79425</v>
          </cell>
          <cell r="D558">
            <v>0</v>
          </cell>
          <cell r="E558">
            <v>54.79425</v>
          </cell>
          <cell r="F558" t="str">
            <v>调货</v>
          </cell>
          <cell r="G558" t="str">
            <v>马自达Protege 1.6L</v>
          </cell>
          <cell r="H558">
            <v>66</v>
          </cell>
          <cell r="I558">
            <v>65</v>
          </cell>
          <cell r="J558">
            <v>64</v>
          </cell>
          <cell r="K558">
            <v>62</v>
          </cell>
          <cell r="L558">
            <v>62</v>
          </cell>
          <cell r="M558">
            <v>61</v>
          </cell>
        </row>
        <row r="559">
          <cell r="A559" t="str">
            <v>DQ4102A1</v>
          </cell>
          <cell r="B559">
            <v>0</v>
          </cell>
          <cell r="C559">
            <v>32.65605</v>
          </cell>
          <cell r="D559">
            <v>0</v>
          </cell>
          <cell r="E559">
            <v>32.65605</v>
          </cell>
          <cell r="F559" t="str">
            <v>调货</v>
          </cell>
          <cell r="G559" t="str">
            <v>本田思域</v>
          </cell>
          <cell r="H559">
            <v>39</v>
          </cell>
          <cell r="I559">
            <v>39</v>
          </cell>
          <cell r="J559">
            <v>38</v>
          </cell>
          <cell r="K559">
            <v>37</v>
          </cell>
          <cell r="L559">
            <v>37</v>
          </cell>
          <cell r="M559">
            <v>36</v>
          </cell>
        </row>
        <row r="560">
          <cell r="A560" t="str">
            <v>DQ6108C</v>
          </cell>
          <cell r="B560">
            <v>0</v>
          </cell>
          <cell r="C560">
            <v>40.8135</v>
          </cell>
          <cell r="D560">
            <v>0</v>
          </cell>
          <cell r="E560">
            <v>40.8135</v>
          </cell>
          <cell r="F560" t="str">
            <v>调货</v>
          </cell>
          <cell r="G560" t="str">
            <v>丰田</v>
          </cell>
          <cell r="H560">
            <v>49</v>
          </cell>
          <cell r="I560">
            <v>48</v>
          </cell>
          <cell r="J560">
            <v>47</v>
          </cell>
          <cell r="K560">
            <v>47</v>
          </cell>
          <cell r="L560">
            <v>46</v>
          </cell>
          <cell r="M560">
            <v>45</v>
          </cell>
        </row>
        <row r="561">
          <cell r="A561" t="str">
            <v>DQ9005M1</v>
          </cell>
          <cell r="B561">
            <v>0</v>
          </cell>
          <cell r="C561">
            <v>24.9123</v>
          </cell>
          <cell r="D561">
            <v>0</v>
          </cell>
          <cell r="E561">
            <v>24.9123</v>
          </cell>
          <cell r="F561" t="str">
            <v>调货</v>
          </cell>
          <cell r="G561" t="str">
            <v>福特96-99</v>
          </cell>
          <cell r="H561">
            <v>30</v>
          </cell>
          <cell r="I561">
            <v>30</v>
          </cell>
          <cell r="J561">
            <v>29</v>
          </cell>
          <cell r="K561">
            <v>29</v>
          </cell>
          <cell r="L561">
            <v>28</v>
          </cell>
          <cell r="M561">
            <v>28</v>
          </cell>
        </row>
        <row r="562">
          <cell r="A562" t="str">
            <v>DQ9007J1</v>
          </cell>
          <cell r="B562">
            <v>0</v>
          </cell>
          <cell r="C562">
            <v>34.4120326</v>
          </cell>
          <cell r="D562">
            <v>0</v>
          </cell>
          <cell r="E562">
            <v>34.4120326</v>
          </cell>
          <cell r="F562" t="str">
            <v>自制</v>
          </cell>
          <cell r="G562" t="str">
            <v>现代3L030</v>
          </cell>
          <cell r="H562">
            <v>47</v>
          </cell>
          <cell r="I562">
            <v>45</v>
          </cell>
          <cell r="J562">
            <v>44</v>
          </cell>
          <cell r="K562">
            <v>42</v>
          </cell>
          <cell r="L562">
            <v>40</v>
          </cell>
          <cell r="M562">
            <v>38</v>
          </cell>
        </row>
        <row r="563">
          <cell r="A563" t="str">
            <v>DQ9034A3</v>
          </cell>
          <cell r="B563">
            <v>0</v>
          </cell>
          <cell r="C563">
            <v>27.350128</v>
          </cell>
          <cell r="D563">
            <v>0</v>
          </cell>
          <cell r="E563">
            <v>27.350128</v>
          </cell>
          <cell r="F563" t="str">
            <v>自制</v>
          </cell>
          <cell r="G563" t="str">
            <v>纳智捷TT26S</v>
          </cell>
          <cell r="H563">
            <v>37</v>
          </cell>
          <cell r="I563">
            <v>36</v>
          </cell>
          <cell r="J563">
            <v>35</v>
          </cell>
          <cell r="K563">
            <v>33</v>
          </cell>
          <cell r="L563">
            <v>32</v>
          </cell>
          <cell r="M563">
            <v>31</v>
          </cell>
        </row>
        <row r="564">
          <cell r="A564" t="str">
            <v>DQ9062A4</v>
          </cell>
          <cell r="B564">
            <v>0</v>
          </cell>
          <cell r="C564">
            <v>43.659</v>
          </cell>
          <cell r="D564">
            <v>0</v>
          </cell>
          <cell r="E564">
            <v>43.659</v>
          </cell>
          <cell r="F564" t="str">
            <v>调货</v>
          </cell>
          <cell r="G564" t="str">
            <v>瑞迈2.0T</v>
          </cell>
          <cell r="H564">
            <v>52</v>
          </cell>
          <cell r="I564">
            <v>52</v>
          </cell>
          <cell r="J564">
            <v>51</v>
          </cell>
          <cell r="K564">
            <v>50</v>
          </cell>
          <cell r="L564">
            <v>49</v>
          </cell>
          <cell r="M564">
            <v>49</v>
          </cell>
        </row>
        <row r="565">
          <cell r="A565" t="str">
            <v>DQ9111</v>
          </cell>
          <cell r="B565">
            <v>0</v>
          </cell>
          <cell r="C565">
            <v>31.5315</v>
          </cell>
          <cell r="D565">
            <v>0</v>
          </cell>
          <cell r="E565">
            <v>31.5315</v>
          </cell>
          <cell r="F565" t="str">
            <v>调货</v>
          </cell>
          <cell r="G565" t="str">
            <v>拉达笔式</v>
          </cell>
          <cell r="H565">
            <v>38</v>
          </cell>
          <cell r="I565">
            <v>37</v>
          </cell>
          <cell r="J565">
            <v>37</v>
          </cell>
          <cell r="K565">
            <v>36</v>
          </cell>
          <cell r="L565">
            <v>36</v>
          </cell>
          <cell r="M565">
            <v>35</v>
          </cell>
        </row>
        <row r="566">
          <cell r="A566" t="str">
            <v>DQ9128B1</v>
          </cell>
          <cell r="B566">
            <v>0</v>
          </cell>
          <cell r="C566">
            <v>57.33</v>
          </cell>
          <cell r="D566">
            <v>0</v>
          </cell>
          <cell r="E566">
            <v>57.33</v>
          </cell>
          <cell r="F566" t="str">
            <v>调货</v>
          </cell>
          <cell r="G566" t="str">
            <v>别克卢赛恩</v>
          </cell>
          <cell r="H566">
            <v>69</v>
          </cell>
          <cell r="I566">
            <v>68</v>
          </cell>
          <cell r="J566">
            <v>66</v>
          </cell>
          <cell r="K566">
            <v>65</v>
          </cell>
          <cell r="L566">
            <v>65</v>
          </cell>
          <cell r="M566">
            <v>64</v>
          </cell>
        </row>
        <row r="567">
          <cell r="A567" t="str">
            <v>DQ9201D</v>
          </cell>
          <cell r="B567">
            <v>0</v>
          </cell>
          <cell r="C567">
            <v>32.235</v>
          </cell>
          <cell r="D567">
            <v>0</v>
          </cell>
          <cell r="E567">
            <v>32.235</v>
          </cell>
          <cell r="F567" t="str">
            <v>调货</v>
          </cell>
          <cell r="G567" t="str">
            <v>长安奔奔</v>
          </cell>
          <cell r="H567">
            <v>39</v>
          </cell>
          <cell r="I567">
            <v>38</v>
          </cell>
          <cell r="J567">
            <v>38</v>
          </cell>
          <cell r="K567">
            <v>37</v>
          </cell>
          <cell r="L567">
            <v>37</v>
          </cell>
          <cell r="M567">
            <v>36</v>
          </cell>
        </row>
        <row r="568">
          <cell r="A568" t="str">
            <v>DQ9109J1</v>
          </cell>
          <cell r="B568">
            <v>0</v>
          </cell>
          <cell r="C568">
            <v>45.864</v>
          </cell>
          <cell r="D568">
            <v>0</v>
          </cell>
          <cell r="E568">
            <v>45.864</v>
          </cell>
          <cell r="F568" t="str">
            <v>调货</v>
          </cell>
          <cell r="G568" t="str">
            <v>本田 LIFE 2009</v>
          </cell>
          <cell r="H568">
            <v>55</v>
          </cell>
          <cell r="I568">
            <v>54</v>
          </cell>
          <cell r="J568">
            <v>53</v>
          </cell>
          <cell r="K568">
            <v>52</v>
          </cell>
          <cell r="L568">
            <v>52</v>
          </cell>
          <cell r="M568">
            <v>51</v>
          </cell>
        </row>
        <row r="569">
          <cell r="A569" t="str">
            <v>DQ9005S1</v>
          </cell>
          <cell r="B569">
            <v>0</v>
          </cell>
          <cell r="C569">
            <v>26.4659252</v>
          </cell>
          <cell r="D569">
            <v>0</v>
          </cell>
          <cell r="E569">
            <v>26.4659252</v>
          </cell>
          <cell r="F569" t="str">
            <v>自制</v>
          </cell>
          <cell r="G569" t="str">
            <v>福特嘉年华</v>
          </cell>
          <cell r="H569">
            <v>36</v>
          </cell>
          <cell r="I569">
            <v>35</v>
          </cell>
          <cell r="J569">
            <v>34</v>
          </cell>
          <cell r="K569">
            <v>32</v>
          </cell>
          <cell r="L569">
            <v>31</v>
          </cell>
          <cell r="M569">
            <v>30</v>
          </cell>
        </row>
        <row r="570">
          <cell r="A570" t="str">
            <v>DQ4103A1</v>
          </cell>
          <cell r="B570">
            <v>0</v>
          </cell>
          <cell r="C570">
            <v>51.70725</v>
          </cell>
          <cell r="D570">
            <v>0</v>
          </cell>
          <cell r="E570">
            <v>51.70725</v>
          </cell>
          <cell r="F570" t="str">
            <v>调货</v>
          </cell>
          <cell r="G570" t="str">
            <v>三菱96-03</v>
          </cell>
          <cell r="H570">
            <v>62</v>
          </cell>
          <cell r="I570">
            <v>61</v>
          </cell>
          <cell r="J570">
            <v>60</v>
          </cell>
          <cell r="K570">
            <v>59</v>
          </cell>
          <cell r="L570">
            <v>58</v>
          </cell>
          <cell r="M570">
            <v>57</v>
          </cell>
        </row>
        <row r="571">
          <cell r="A571" t="str">
            <v>DQ6601A1</v>
          </cell>
          <cell r="B571">
            <v>0</v>
          </cell>
          <cell r="C571">
            <v>173.42325</v>
          </cell>
          <cell r="D571">
            <v>0</v>
          </cell>
          <cell r="E571">
            <v>173.42325</v>
          </cell>
          <cell r="F571" t="str">
            <v>调货</v>
          </cell>
          <cell r="G571" t="str">
            <v>大切诺基4.0L</v>
          </cell>
          <cell r="H571">
            <v>207</v>
          </cell>
          <cell r="I571">
            <v>203</v>
          </cell>
          <cell r="J571">
            <v>200</v>
          </cell>
          <cell r="K571">
            <v>196</v>
          </cell>
          <cell r="L571">
            <v>195</v>
          </cell>
          <cell r="M571">
            <v>191</v>
          </cell>
        </row>
        <row r="572">
          <cell r="A572" t="str">
            <v>DQ9117E1</v>
          </cell>
          <cell r="B572">
            <v>0</v>
          </cell>
          <cell r="C572">
            <v>41.25555</v>
          </cell>
          <cell r="D572">
            <v>0</v>
          </cell>
          <cell r="E572">
            <v>41.25555</v>
          </cell>
          <cell r="F572" t="str">
            <v>调货</v>
          </cell>
          <cell r="G572" t="str">
            <v>铃木</v>
          </cell>
          <cell r="H572">
            <v>50</v>
          </cell>
          <cell r="I572">
            <v>49</v>
          </cell>
          <cell r="J572">
            <v>48</v>
          </cell>
          <cell r="K572">
            <v>47</v>
          </cell>
          <cell r="L572">
            <v>47</v>
          </cell>
          <cell r="M572">
            <v>46</v>
          </cell>
        </row>
        <row r="573">
          <cell r="A573" t="str">
            <v>DQ9159A1</v>
          </cell>
          <cell r="B573">
            <v>0</v>
          </cell>
          <cell r="C573">
            <v>40.3515</v>
          </cell>
          <cell r="D573">
            <v>0</v>
          </cell>
          <cell r="E573">
            <v>40.3515</v>
          </cell>
          <cell r="F573" t="str">
            <v>调货</v>
          </cell>
          <cell r="G573" t="str">
            <v>三星SM5</v>
          </cell>
          <cell r="H573">
            <v>49</v>
          </cell>
          <cell r="I573">
            <v>48</v>
          </cell>
          <cell r="J573">
            <v>47</v>
          </cell>
          <cell r="K573">
            <v>46</v>
          </cell>
          <cell r="L573">
            <v>46</v>
          </cell>
          <cell r="M573">
            <v>45</v>
          </cell>
        </row>
        <row r="574">
          <cell r="A574" t="str">
            <v>DQ4103B1</v>
          </cell>
          <cell r="B574">
            <v>0</v>
          </cell>
          <cell r="C574">
            <v>40.3702425</v>
          </cell>
          <cell r="D574">
            <v>0</v>
          </cell>
          <cell r="E574">
            <v>40.3702425</v>
          </cell>
          <cell r="F574" t="str">
            <v>调货</v>
          </cell>
          <cell r="G574" t="str">
            <v>尼桑B13</v>
          </cell>
          <cell r="H574">
            <v>49</v>
          </cell>
          <cell r="I574">
            <v>48</v>
          </cell>
          <cell r="J574">
            <v>47</v>
          </cell>
          <cell r="K574">
            <v>46</v>
          </cell>
          <cell r="L574">
            <v>46</v>
          </cell>
          <cell r="M574">
            <v>45</v>
          </cell>
        </row>
        <row r="575">
          <cell r="A575" t="str">
            <v>DQ4104A1</v>
          </cell>
          <cell r="B575">
            <v>0</v>
          </cell>
          <cell r="C575">
            <v>41.4727425</v>
          </cell>
          <cell r="D575">
            <v>0</v>
          </cell>
          <cell r="E575">
            <v>41.4727425</v>
          </cell>
          <cell r="F575" t="str">
            <v>调货</v>
          </cell>
          <cell r="G575" t="str">
            <v>本田EF2</v>
          </cell>
          <cell r="H575">
            <v>50</v>
          </cell>
          <cell r="I575">
            <v>49</v>
          </cell>
          <cell r="J575">
            <v>48</v>
          </cell>
          <cell r="K575">
            <v>47</v>
          </cell>
          <cell r="L575">
            <v>47</v>
          </cell>
          <cell r="M575">
            <v>46</v>
          </cell>
        </row>
        <row r="576">
          <cell r="A576" t="str">
            <v>DQ4106A1</v>
          </cell>
          <cell r="B576">
            <v>0</v>
          </cell>
          <cell r="C576">
            <v>34.631784</v>
          </cell>
          <cell r="D576">
            <v>0</v>
          </cell>
          <cell r="E576">
            <v>34.631784</v>
          </cell>
          <cell r="F576" t="str">
            <v>自制</v>
          </cell>
          <cell r="G576">
            <v>12713668</v>
          </cell>
          <cell r="H576">
            <v>47</v>
          </cell>
          <cell r="I576">
            <v>46</v>
          </cell>
          <cell r="J576">
            <v>44</v>
          </cell>
          <cell r="K576">
            <v>42</v>
          </cell>
          <cell r="L576">
            <v>40</v>
          </cell>
          <cell r="M576">
            <v>39</v>
          </cell>
        </row>
        <row r="577">
          <cell r="A577" t="str">
            <v>DQ9084A1</v>
          </cell>
          <cell r="B577">
            <v>0</v>
          </cell>
          <cell r="C577">
            <v>37.6429151957789</v>
          </cell>
          <cell r="D577">
            <v>1.8288951957789</v>
          </cell>
          <cell r="E577">
            <v>35.81402</v>
          </cell>
          <cell r="F577" t="str">
            <v>自制</v>
          </cell>
          <cell r="G577" t="str">
            <v>比亚迪秦PLUS</v>
          </cell>
          <cell r="H577">
            <v>51</v>
          </cell>
          <cell r="I577">
            <v>49</v>
          </cell>
          <cell r="J577">
            <v>48</v>
          </cell>
          <cell r="K577">
            <v>46</v>
          </cell>
          <cell r="L577">
            <v>44</v>
          </cell>
          <cell r="M577">
            <v>42</v>
          </cell>
        </row>
      </sheetData>
      <sheetData sheetId="6">
        <row r="1">
          <cell r="A1" t="str">
            <v>对外型号</v>
          </cell>
          <cell r="B1" t="str">
            <v>2025年销量</v>
          </cell>
          <cell r="C1" t="str">
            <v>定价用本60315</v>
          </cell>
          <cell r="D1" t="str">
            <v>增加</v>
          </cell>
          <cell r="E1" t="str">
            <v>中未本60301</v>
          </cell>
          <cell r="F1" t="str">
            <v>新属性</v>
          </cell>
          <cell r="G1" t="str">
            <v>通用名</v>
          </cell>
          <cell r="H1" t="str">
            <v>NP中未60315</v>
          </cell>
          <cell r="I1" t="str">
            <v>LP中未60315</v>
          </cell>
          <cell r="J1" t="str">
            <v>SLP中未60315</v>
          </cell>
          <cell r="K1" t="str">
            <v>2S中未60315</v>
          </cell>
          <cell r="L1" t="str">
            <v>3S中未60315</v>
          </cell>
          <cell r="M1" t="str">
            <v>4S中未60315</v>
          </cell>
        </row>
        <row r="2">
          <cell r="A2" t="str">
            <v>DQ910852</v>
          </cell>
          <cell r="B2">
            <v>102127</v>
          </cell>
          <cell r="C2">
            <v>25.22088541</v>
          </cell>
          <cell r="D2">
            <v>0</v>
          </cell>
          <cell r="E2">
            <v>25.22088541</v>
          </cell>
          <cell r="F2" t="str">
            <v>自制</v>
          </cell>
          <cell r="G2" t="str">
            <v>丰田卡罗拉</v>
          </cell>
          <cell r="H2">
            <v>35</v>
          </cell>
          <cell r="I2">
            <v>33</v>
          </cell>
          <cell r="J2">
            <v>32</v>
          </cell>
          <cell r="K2">
            <v>31</v>
          </cell>
          <cell r="L2">
            <v>30</v>
          </cell>
          <cell r="M2">
            <v>28</v>
          </cell>
        </row>
        <row r="3">
          <cell r="A3" t="str">
            <v>DQ9101B1</v>
          </cell>
          <cell r="B3">
            <v>68787</v>
          </cell>
          <cell r="C3">
            <v>15.6313275688011</v>
          </cell>
          <cell r="D3">
            <v>-0.890976606198853</v>
          </cell>
          <cell r="E3">
            <v>16.522304175</v>
          </cell>
          <cell r="F3" t="str">
            <v>自制</v>
          </cell>
          <cell r="G3" t="str">
            <v>伽玛发动机</v>
          </cell>
          <cell r="H3">
            <v>22</v>
          </cell>
          <cell r="I3">
            <v>21</v>
          </cell>
          <cell r="J3">
            <v>20</v>
          </cell>
          <cell r="K3">
            <v>19</v>
          </cell>
          <cell r="L3">
            <v>18</v>
          </cell>
          <cell r="M3">
            <v>18</v>
          </cell>
        </row>
        <row r="4">
          <cell r="A4" t="str">
            <v>DQ910848</v>
          </cell>
          <cell r="B4">
            <v>59649</v>
          </cell>
          <cell r="C4">
            <v>24.142356554</v>
          </cell>
          <cell r="D4">
            <v>0</v>
          </cell>
          <cell r="E4">
            <v>24.142356554</v>
          </cell>
          <cell r="F4" t="str">
            <v>自制</v>
          </cell>
          <cell r="G4" t="str">
            <v>丰田02248</v>
          </cell>
          <cell r="H4">
            <v>33</v>
          </cell>
          <cell r="I4">
            <v>32</v>
          </cell>
          <cell r="J4">
            <v>31</v>
          </cell>
          <cell r="K4">
            <v>29</v>
          </cell>
          <cell r="L4">
            <v>28</v>
          </cell>
          <cell r="M4">
            <v>27</v>
          </cell>
        </row>
        <row r="5">
          <cell r="A5" t="str">
            <v>DQ910840</v>
          </cell>
          <cell r="B5">
            <v>57082</v>
          </cell>
          <cell r="C5">
            <v>24.411856554</v>
          </cell>
          <cell r="D5">
            <v>0</v>
          </cell>
          <cell r="E5">
            <v>24.411856554</v>
          </cell>
          <cell r="F5" t="str">
            <v>自制</v>
          </cell>
          <cell r="G5" t="str">
            <v>丰田02240</v>
          </cell>
          <cell r="H5">
            <v>33</v>
          </cell>
          <cell r="I5">
            <v>32</v>
          </cell>
          <cell r="J5">
            <v>31</v>
          </cell>
          <cell r="K5">
            <v>30</v>
          </cell>
          <cell r="L5">
            <v>29</v>
          </cell>
          <cell r="M5">
            <v>27</v>
          </cell>
        </row>
        <row r="6">
          <cell r="A6" t="str">
            <v>DQ9106L</v>
          </cell>
          <cell r="B6">
            <v>55969</v>
          </cell>
          <cell r="C6">
            <v>27.2187421066667</v>
          </cell>
          <cell r="D6">
            <v>0</v>
          </cell>
          <cell r="E6">
            <v>27.2187421066667</v>
          </cell>
          <cell r="F6" t="str">
            <v>自制</v>
          </cell>
          <cell r="G6" t="str">
            <v>波罗</v>
          </cell>
          <cell r="H6">
            <v>37</v>
          </cell>
          <cell r="I6">
            <v>36</v>
          </cell>
          <cell r="J6">
            <v>35</v>
          </cell>
          <cell r="K6">
            <v>33</v>
          </cell>
          <cell r="L6">
            <v>32</v>
          </cell>
          <cell r="M6">
            <v>30</v>
          </cell>
        </row>
        <row r="7">
          <cell r="A7" t="str">
            <v>DQ9003H2</v>
          </cell>
          <cell r="B7">
            <v>50616</v>
          </cell>
          <cell r="C7">
            <v>23.90723291</v>
          </cell>
          <cell r="D7">
            <v>0</v>
          </cell>
          <cell r="E7">
            <v>23.90723291</v>
          </cell>
          <cell r="F7" t="str">
            <v>自制</v>
          </cell>
          <cell r="G7" t="str">
            <v>尼桑</v>
          </cell>
          <cell r="H7">
            <v>33</v>
          </cell>
          <cell r="I7">
            <v>32</v>
          </cell>
          <cell r="J7">
            <v>30</v>
          </cell>
          <cell r="K7">
            <v>29</v>
          </cell>
          <cell r="L7">
            <v>28</v>
          </cell>
          <cell r="M7">
            <v>27</v>
          </cell>
        </row>
        <row r="8">
          <cell r="A8" t="str">
            <v>DQ9103A</v>
          </cell>
          <cell r="B8">
            <v>44310</v>
          </cell>
          <cell r="C8">
            <v>28.94030087</v>
          </cell>
          <cell r="D8">
            <v>0</v>
          </cell>
          <cell r="E8">
            <v>28.94030087</v>
          </cell>
          <cell r="F8" t="str">
            <v>自制</v>
          </cell>
          <cell r="G8" t="str">
            <v>奥迪C6</v>
          </cell>
          <cell r="H8">
            <v>40</v>
          </cell>
          <cell r="I8">
            <v>38</v>
          </cell>
          <cell r="J8">
            <v>37</v>
          </cell>
          <cell r="K8">
            <v>35</v>
          </cell>
          <cell r="L8">
            <v>34</v>
          </cell>
          <cell r="M8">
            <v>32</v>
          </cell>
        </row>
        <row r="9">
          <cell r="A9" t="str">
            <v>DQ9110A</v>
          </cell>
          <cell r="B9">
            <v>34817</v>
          </cell>
          <cell r="C9">
            <v>24.2468728233333</v>
          </cell>
          <cell r="D9">
            <v>0</v>
          </cell>
          <cell r="E9">
            <v>24.2468728233333</v>
          </cell>
          <cell r="F9" t="str">
            <v>自制</v>
          </cell>
          <cell r="G9" t="str">
            <v>宝马博世款</v>
          </cell>
          <cell r="H9">
            <v>33</v>
          </cell>
          <cell r="I9">
            <v>32</v>
          </cell>
          <cell r="J9">
            <v>31</v>
          </cell>
          <cell r="K9">
            <v>30</v>
          </cell>
          <cell r="L9">
            <v>28</v>
          </cell>
          <cell r="M9">
            <v>27</v>
          </cell>
        </row>
        <row r="10">
          <cell r="A10" t="str">
            <v>DQ910839</v>
          </cell>
          <cell r="B10">
            <v>34454</v>
          </cell>
          <cell r="C10">
            <v>24.209151854</v>
          </cell>
          <cell r="D10">
            <v>0</v>
          </cell>
          <cell r="E10">
            <v>24.209151854</v>
          </cell>
          <cell r="F10" t="str">
            <v>自制</v>
          </cell>
          <cell r="G10" t="str">
            <v>丰田02239</v>
          </cell>
          <cell r="H10">
            <v>33</v>
          </cell>
          <cell r="I10">
            <v>32</v>
          </cell>
          <cell r="J10">
            <v>31</v>
          </cell>
          <cell r="K10">
            <v>30</v>
          </cell>
          <cell r="L10">
            <v>28</v>
          </cell>
          <cell r="M10">
            <v>27</v>
          </cell>
        </row>
        <row r="11">
          <cell r="A11" t="str">
            <v>DQ9115A</v>
          </cell>
          <cell r="B11">
            <v>29979</v>
          </cell>
          <cell r="C11">
            <v>16.4494460609439</v>
          </cell>
          <cell r="D11">
            <v>-0.105433905722779</v>
          </cell>
          <cell r="E11">
            <v>16.5548799666667</v>
          </cell>
          <cell r="F11" t="str">
            <v>自制</v>
          </cell>
          <cell r="G11" t="str">
            <v>4A9</v>
          </cell>
          <cell r="H11">
            <v>23</v>
          </cell>
          <cell r="I11">
            <v>22</v>
          </cell>
          <cell r="J11">
            <v>21</v>
          </cell>
          <cell r="K11">
            <v>20</v>
          </cell>
          <cell r="L11">
            <v>19</v>
          </cell>
          <cell r="M11">
            <v>19</v>
          </cell>
        </row>
        <row r="12">
          <cell r="A12" t="str">
            <v>DQ9110C</v>
          </cell>
          <cell r="B12">
            <v>26011</v>
          </cell>
          <cell r="C12">
            <v>25.8255793</v>
          </cell>
          <cell r="D12">
            <v>0</v>
          </cell>
          <cell r="E12">
            <v>25.8255793</v>
          </cell>
          <cell r="F12" t="str">
            <v>自制</v>
          </cell>
          <cell r="G12" t="str">
            <v>宝马德尔福款</v>
          </cell>
          <cell r="H12">
            <v>35</v>
          </cell>
          <cell r="I12">
            <v>34</v>
          </cell>
          <cell r="J12">
            <v>33</v>
          </cell>
          <cell r="K12">
            <v>31</v>
          </cell>
          <cell r="L12">
            <v>30</v>
          </cell>
          <cell r="M12">
            <v>29</v>
          </cell>
        </row>
        <row r="13">
          <cell r="A13" t="str">
            <v>DQ9012</v>
          </cell>
          <cell r="B13">
            <v>25879</v>
          </cell>
          <cell r="C13">
            <v>28.97340831</v>
          </cell>
          <cell r="D13">
            <v>0</v>
          </cell>
          <cell r="E13">
            <v>28.97340831</v>
          </cell>
          <cell r="F13" t="str">
            <v>自制</v>
          </cell>
          <cell r="G13" t="str">
            <v>骐达</v>
          </cell>
          <cell r="H13">
            <v>40</v>
          </cell>
          <cell r="I13">
            <v>38</v>
          </cell>
          <cell r="J13">
            <v>37</v>
          </cell>
          <cell r="K13">
            <v>35</v>
          </cell>
          <cell r="L13">
            <v>34</v>
          </cell>
          <cell r="M13">
            <v>32</v>
          </cell>
        </row>
        <row r="14">
          <cell r="A14" t="str">
            <v>DQ910844</v>
          </cell>
          <cell r="B14">
            <v>24839</v>
          </cell>
          <cell r="C14">
            <v>24.179490354</v>
          </cell>
          <cell r="D14">
            <v>0</v>
          </cell>
          <cell r="E14">
            <v>24.179490354</v>
          </cell>
          <cell r="F14" t="str">
            <v>自制</v>
          </cell>
          <cell r="G14" t="str">
            <v>丰田02244</v>
          </cell>
          <cell r="H14">
            <v>33</v>
          </cell>
          <cell r="I14">
            <v>32</v>
          </cell>
          <cell r="J14">
            <v>31</v>
          </cell>
          <cell r="K14">
            <v>30</v>
          </cell>
          <cell r="L14">
            <v>28</v>
          </cell>
          <cell r="M14">
            <v>27</v>
          </cell>
        </row>
        <row r="15">
          <cell r="A15" t="str">
            <v>DQ9003H1</v>
          </cell>
          <cell r="B15">
            <v>24084</v>
          </cell>
          <cell r="C15">
            <v>24.633249718</v>
          </cell>
          <cell r="D15">
            <v>0</v>
          </cell>
          <cell r="E15">
            <v>24.633249718</v>
          </cell>
          <cell r="F15" t="str">
            <v>自制</v>
          </cell>
          <cell r="G15" t="str">
            <v>尼桑</v>
          </cell>
          <cell r="H15">
            <v>34</v>
          </cell>
          <cell r="I15">
            <v>33</v>
          </cell>
          <cell r="J15">
            <v>31</v>
          </cell>
          <cell r="K15">
            <v>30</v>
          </cell>
          <cell r="L15">
            <v>29</v>
          </cell>
          <cell r="M15">
            <v>28</v>
          </cell>
        </row>
        <row r="16">
          <cell r="A16" t="str">
            <v>DQ9101D</v>
          </cell>
          <cell r="B16">
            <v>23954</v>
          </cell>
          <cell r="C16">
            <v>17.5013257273259</v>
          </cell>
          <cell r="D16">
            <v>-0.376243719340837</v>
          </cell>
          <cell r="E16">
            <v>17.8775694466667</v>
          </cell>
          <cell r="F16" t="str">
            <v>自制</v>
          </cell>
          <cell r="G16" t="str">
            <v>12款智跑 12款IX35 K5</v>
          </cell>
          <cell r="H16">
            <v>24</v>
          </cell>
          <cell r="I16">
            <v>23</v>
          </cell>
          <cell r="J16">
            <v>22</v>
          </cell>
          <cell r="K16">
            <v>22</v>
          </cell>
          <cell r="L16">
            <v>21</v>
          </cell>
          <cell r="M16">
            <v>20</v>
          </cell>
        </row>
        <row r="17">
          <cell r="A17" t="str">
            <v>DQ9117D2</v>
          </cell>
          <cell r="B17">
            <v>21699</v>
          </cell>
          <cell r="C17">
            <v>27.51958235</v>
          </cell>
          <cell r="D17">
            <v>0</v>
          </cell>
          <cell r="E17">
            <v>27.51958235</v>
          </cell>
          <cell r="F17" t="str">
            <v>自制</v>
          </cell>
          <cell r="G17" t="str">
            <v>铃木SX4 2012 2.0L；铃木 快捷（进口）1.3</v>
          </cell>
          <cell r="H17">
            <v>38</v>
          </cell>
          <cell r="I17">
            <v>36</v>
          </cell>
          <cell r="J17">
            <v>35</v>
          </cell>
          <cell r="K17">
            <v>34</v>
          </cell>
          <cell r="L17">
            <v>32</v>
          </cell>
          <cell r="M17">
            <v>31</v>
          </cell>
        </row>
        <row r="18">
          <cell r="A18" t="str">
            <v>DQ9219A</v>
          </cell>
          <cell r="B18">
            <v>20887</v>
          </cell>
          <cell r="C18">
            <v>19.383169575</v>
          </cell>
          <cell r="D18">
            <v>0</v>
          </cell>
          <cell r="E18">
            <v>19.383169575</v>
          </cell>
          <cell r="F18" t="str">
            <v>自制</v>
          </cell>
          <cell r="G18" t="str">
            <v>哈弗H6 1.5T</v>
          </cell>
          <cell r="H18">
            <v>27</v>
          </cell>
          <cell r="I18">
            <v>26</v>
          </cell>
          <cell r="J18">
            <v>25</v>
          </cell>
          <cell r="K18">
            <v>24</v>
          </cell>
          <cell r="L18">
            <v>23</v>
          </cell>
          <cell r="M18">
            <v>22</v>
          </cell>
        </row>
        <row r="19">
          <cell r="A19" t="str">
            <v>DQ9003H3</v>
          </cell>
          <cell r="B19">
            <v>20603</v>
          </cell>
          <cell r="C19">
            <v>24.753699718</v>
          </cell>
          <cell r="D19">
            <v>0</v>
          </cell>
          <cell r="E19">
            <v>24.753699718</v>
          </cell>
          <cell r="F19" t="str">
            <v>自制</v>
          </cell>
          <cell r="G19" t="str">
            <v>尼桑</v>
          </cell>
          <cell r="H19">
            <v>34</v>
          </cell>
          <cell r="I19">
            <v>33</v>
          </cell>
          <cell r="J19">
            <v>31</v>
          </cell>
          <cell r="K19">
            <v>30</v>
          </cell>
          <cell r="L19">
            <v>29</v>
          </cell>
          <cell r="M19">
            <v>28</v>
          </cell>
        </row>
        <row r="20">
          <cell r="A20" t="str">
            <v>DQ9101Q</v>
          </cell>
          <cell r="B20">
            <v>20241</v>
          </cell>
          <cell r="C20">
            <v>17.53017604</v>
          </cell>
          <cell r="D20">
            <v>0</v>
          </cell>
          <cell r="E20">
            <v>17.53017604</v>
          </cell>
          <cell r="F20" t="str">
            <v>自制</v>
          </cell>
          <cell r="G20" t="str">
            <v>现代飞思</v>
          </cell>
          <cell r="H20">
            <v>24</v>
          </cell>
          <cell r="I20">
            <v>23</v>
          </cell>
          <cell r="J20">
            <v>22</v>
          </cell>
          <cell r="K20">
            <v>22</v>
          </cell>
          <cell r="L20">
            <v>21</v>
          </cell>
          <cell r="M20">
            <v>20</v>
          </cell>
        </row>
        <row r="21">
          <cell r="A21" t="str">
            <v>DQ910850</v>
          </cell>
          <cell r="B21">
            <v>19458</v>
          </cell>
          <cell r="C21">
            <v>24.561487354</v>
          </cell>
          <cell r="D21">
            <v>0</v>
          </cell>
          <cell r="E21">
            <v>24.561487354</v>
          </cell>
          <cell r="F21" t="str">
            <v>自制</v>
          </cell>
          <cell r="G21" t="str">
            <v>丰田02250</v>
          </cell>
          <cell r="H21">
            <v>34</v>
          </cell>
          <cell r="I21">
            <v>32</v>
          </cell>
          <cell r="J21">
            <v>31</v>
          </cell>
          <cell r="K21">
            <v>30</v>
          </cell>
          <cell r="L21">
            <v>29</v>
          </cell>
          <cell r="M21">
            <v>28</v>
          </cell>
        </row>
        <row r="22">
          <cell r="A22" t="str">
            <v>DQ9109S</v>
          </cell>
          <cell r="B22">
            <v>18917</v>
          </cell>
          <cell r="C22">
            <v>26.5126897133333</v>
          </cell>
          <cell r="D22">
            <v>0</v>
          </cell>
          <cell r="E22">
            <v>26.5126897133333</v>
          </cell>
          <cell r="F22" t="str">
            <v>自制</v>
          </cell>
          <cell r="G22" t="str">
            <v>思域1.8</v>
          </cell>
          <cell r="H22">
            <v>36</v>
          </cell>
          <cell r="I22">
            <v>35</v>
          </cell>
          <cell r="J22">
            <v>34</v>
          </cell>
          <cell r="K22">
            <v>32</v>
          </cell>
          <cell r="L22">
            <v>31</v>
          </cell>
          <cell r="M22">
            <v>30</v>
          </cell>
        </row>
        <row r="23">
          <cell r="A23" t="str">
            <v>DQ9103AR</v>
          </cell>
          <cell r="B23">
            <v>16941</v>
          </cell>
          <cell r="C23">
            <v>29.78372587</v>
          </cell>
          <cell r="D23">
            <v>0</v>
          </cell>
          <cell r="E23">
            <v>29.78372587</v>
          </cell>
          <cell r="F23" t="str">
            <v>自制</v>
          </cell>
          <cell r="G23" t="str">
            <v>奥迪A6红头</v>
          </cell>
          <cell r="H23">
            <v>41</v>
          </cell>
          <cell r="I23">
            <v>39</v>
          </cell>
          <cell r="J23">
            <v>38</v>
          </cell>
          <cell r="K23">
            <v>36</v>
          </cell>
          <cell r="L23">
            <v>35</v>
          </cell>
          <cell r="M23">
            <v>33</v>
          </cell>
        </row>
        <row r="24">
          <cell r="A24" t="str">
            <v>DQ9023</v>
          </cell>
          <cell r="B24">
            <v>16299</v>
          </cell>
          <cell r="C24">
            <v>29.0491572933333</v>
          </cell>
          <cell r="D24">
            <v>0</v>
          </cell>
          <cell r="E24">
            <v>29.0491572933333</v>
          </cell>
          <cell r="F24" t="str">
            <v>自制</v>
          </cell>
          <cell r="G24" t="str">
            <v>新桑塔纳</v>
          </cell>
          <cell r="H24">
            <v>40</v>
          </cell>
          <cell r="I24">
            <v>38</v>
          </cell>
          <cell r="J24">
            <v>37</v>
          </cell>
          <cell r="K24">
            <v>35</v>
          </cell>
          <cell r="L24">
            <v>34</v>
          </cell>
          <cell r="M24">
            <v>32</v>
          </cell>
        </row>
        <row r="25">
          <cell r="A25" t="str">
            <v>DQ9036C1</v>
          </cell>
          <cell r="B25">
            <v>15337</v>
          </cell>
          <cell r="C25">
            <v>20.44761631</v>
          </cell>
          <cell r="D25">
            <v>0</v>
          </cell>
          <cell r="E25">
            <v>20.44761631</v>
          </cell>
          <cell r="F25" t="str">
            <v>自制</v>
          </cell>
          <cell r="G25" t="str">
            <v>克莱斯勒 道奇 Jeep Ram 大众</v>
          </cell>
          <cell r="H25">
            <v>28</v>
          </cell>
          <cell r="I25">
            <v>27</v>
          </cell>
          <cell r="J25">
            <v>26</v>
          </cell>
          <cell r="K25">
            <v>25</v>
          </cell>
          <cell r="L25">
            <v>24</v>
          </cell>
          <cell r="M25">
            <v>23</v>
          </cell>
        </row>
        <row r="26">
          <cell r="A26" t="str">
            <v>DQ910851</v>
          </cell>
          <cell r="B26">
            <v>15227</v>
          </cell>
          <cell r="C26">
            <v>25.92457541</v>
          </cell>
          <cell r="D26">
            <v>0</v>
          </cell>
          <cell r="E26">
            <v>25.92457541</v>
          </cell>
          <cell r="F26" t="str">
            <v>自制</v>
          </cell>
          <cell r="G26" t="str">
            <v>丰田02251</v>
          </cell>
          <cell r="H26">
            <v>35</v>
          </cell>
          <cell r="I26">
            <v>34</v>
          </cell>
          <cell r="J26">
            <v>33</v>
          </cell>
          <cell r="K26">
            <v>32</v>
          </cell>
          <cell r="L26">
            <v>30</v>
          </cell>
          <cell r="M26">
            <v>29</v>
          </cell>
        </row>
        <row r="27">
          <cell r="A27" t="str">
            <v>DQ9119</v>
          </cell>
          <cell r="B27">
            <v>14968</v>
          </cell>
          <cell r="C27">
            <v>21.90254319</v>
          </cell>
          <cell r="D27">
            <v>0</v>
          </cell>
          <cell r="E27">
            <v>21.90254319</v>
          </cell>
          <cell r="F27" t="str">
            <v>自制</v>
          </cell>
          <cell r="G27" t="str">
            <v>五菱宏光B15</v>
          </cell>
          <cell r="H27">
            <v>30</v>
          </cell>
          <cell r="I27">
            <v>29</v>
          </cell>
          <cell r="J27">
            <v>28</v>
          </cell>
          <cell r="K27">
            <v>27</v>
          </cell>
          <cell r="L27">
            <v>26</v>
          </cell>
          <cell r="M27">
            <v>25</v>
          </cell>
        </row>
        <row r="28">
          <cell r="A28" t="str">
            <v>DQ9003B</v>
          </cell>
          <cell r="B28">
            <v>14842</v>
          </cell>
          <cell r="C28">
            <v>26.812173718</v>
          </cell>
          <cell r="D28">
            <v>0</v>
          </cell>
          <cell r="E28">
            <v>26.812173718</v>
          </cell>
          <cell r="F28" t="str">
            <v>自制</v>
          </cell>
          <cell r="G28" t="str">
            <v>天籁侧插</v>
          </cell>
          <cell r="H28">
            <v>37</v>
          </cell>
          <cell r="I28">
            <v>35</v>
          </cell>
          <cell r="J28">
            <v>34</v>
          </cell>
          <cell r="K28">
            <v>33</v>
          </cell>
          <cell r="L28">
            <v>31</v>
          </cell>
          <cell r="M28">
            <v>30</v>
          </cell>
        </row>
        <row r="29">
          <cell r="A29" t="str">
            <v>DQ910830</v>
          </cell>
          <cell r="B29">
            <v>13648</v>
          </cell>
          <cell r="C29">
            <v>24.522140354</v>
          </cell>
          <cell r="D29">
            <v>0</v>
          </cell>
          <cell r="E29">
            <v>24.522140354</v>
          </cell>
          <cell r="F29" t="str">
            <v>自制</v>
          </cell>
          <cell r="G29" t="str">
            <v>丰田02230</v>
          </cell>
          <cell r="H29">
            <v>34</v>
          </cell>
          <cell r="I29">
            <v>32</v>
          </cell>
          <cell r="J29">
            <v>31</v>
          </cell>
          <cell r="K29">
            <v>30</v>
          </cell>
          <cell r="L29">
            <v>29</v>
          </cell>
          <cell r="M29">
            <v>27</v>
          </cell>
        </row>
        <row r="30">
          <cell r="A30" t="str">
            <v>DQ9101F</v>
          </cell>
          <cell r="B30">
            <v>13633</v>
          </cell>
          <cell r="C30">
            <v>16.94000835</v>
          </cell>
          <cell r="D30">
            <v>0</v>
          </cell>
          <cell r="E30">
            <v>16.94000835</v>
          </cell>
          <cell r="F30" t="str">
            <v>自制</v>
          </cell>
          <cell r="G30" t="str">
            <v>索兰托 K5</v>
          </cell>
          <cell r="H30">
            <v>23</v>
          </cell>
          <cell r="I30">
            <v>23</v>
          </cell>
          <cell r="J30">
            <v>22</v>
          </cell>
          <cell r="K30">
            <v>21</v>
          </cell>
          <cell r="L30">
            <v>20</v>
          </cell>
          <cell r="M30">
            <v>19</v>
          </cell>
        </row>
        <row r="31">
          <cell r="A31" t="str">
            <v>DQ9016E1</v>
          </cell>
          <cell r="B31">
            <v>13013</v>
          </cell>
          <cell r="C31">
            <v>33.1628898444811</v>
          </cell>
          <cell r="D31">
            <v>0.368937004481118</v>
          </cell>
          <cell r="E31">
            <v>32.79395284</v>
          </cell>
          <cell r="F31" t="str">
            <v>自制</v>
          </cell>
          <cell r="G31" t="str">
            <v>凯迪拉克2.0T（进口）</v>
          </cell>
          <cell r="H31">
            <v>45</v>
          </cell>
          <cell r="I31">
            <v>44</v>
          </cell>
          <cell r="J31">
            <v>42</v>
          </cell>
          <cell r="K31">
            <v>40</v>
          </cell>
          <cell r="L31">
            <v>39</v>
          </cell>
          <cell r="M31">
            <v>37</v>
          </cell>
        </row>
        <row r="32">
          <cell r="A32" t="str">
            <v>DQ9107B</v>
          </cell>
          <cell r="B32">
            <v>12542</v>
          </cell>
          <cell r="C32">
            <v>17.6779905966667</v>
          </cell>
          <cell r="D32">
            <v>0</v>
          </cell>
          <cell r="E32">
            <v>17.6779905966667</v>
          </cell>
          <cell r="F32" t="str">
            <v>自制</v>
          </cell>
          <cell r="G32" t="str">
            <v>东风小康</v>
          </cell>
          <cell r="H32">
            <v>24</v>
          </cell>
          <cell r="I32">
            <v>23</v>
          </cell>
          <cell r="J32">
            <v>23</v>
          </cell>
          <cell r="K32">
            <v>22</v>
          </cell>
          <cell r="L32">
            <v>21</v>
          </cell>
          <cell r="M32">
            <v>20</v>
          </cell>
        </row>
        <row r="33">
          <cell r="A33" t="str">
            <v>DQ9101A</v>
          </cell>
          <cell r="B33">
            <v>11761</v>
          </cell>
          <cell r="C33">
            <v>15.6734311452618</v>
          </cell>
          <cell r="D33">
            <v>-0.645521457611841</v>
          </cell>
          <cell r="E33">
            <v>16.3189526028736</v>
          </cell>
          <cell r="F33" t="str">
            <v>自制</v>
          </cell>
          <cell r="G33" t="str">
            <v>伊兰特 VVT 圆头</v>
          </cell>
          <cell r="H33">
            <v>22</v>
          </cell>
          <cell r="I33">
            <v>21</v>
          </cell>
          <cell r="J33">
            <v>20</v>
          </cell>
          <cell r="K33">
            <v>19</v>
          </cell>
          <cell r="L33">
            <v>19</v>
          </cell>
          <cell r="M33">
            <v>18</v>
          </cell>
        </row>
        <row r="34">
          <cell r="A34" t="str">
            <v>DQ910855</v>
          </cell>
          <cell r="B34">
            <v>11435</v>
          </cell>
          <cell r="C34">
            <v>25.817290554</v>
          </cell>
          <cell r="D34">
            <v>0</v>
          </cell>
          <cell r="E34">
            <v>25.817290554</v>
          </cell>
          <cell r="F34" t="str">
            <v>自制</v>
          </cell>
          <cell r="G34" t="str">
            <v>丰田02255</v>
          </cell>
          <cell r="H34">
            <v>35</v>
          </cell>
          <cell r="I34">
            <v>34</v>
          </cell>
          <cell r="J34">
            <v>33</v>
          </cell>
          <cell r="K34">
            <v>31</v>
          </cell>
          <cell r="L34">
            <v>30</v>
          </cell>
          <cell r="M34">
            <v>29</v>
          </cell>
        </row>
        <row r="35">
          <cell r="A35" t="str">
            <v>DQ9007A1</v>
          </cell>
          <cell r="B35">
            <v>10957</v>
          </cell>
          <cell r="C35">
            <v>32.21178147</v>
          </cell>
          <cell r="D35">
            <v>0</v>
          </cell>
          <cell r="E35">
            <v>32.21178147</v>
          </cell>
          <cell r="F35" t="str">
            <v>自制</v>
          </cell>
          <cell r="G35" t="str">
            <v>索纳塔九代</v>
          </cell>
          <cell r="H35">
            <v>44</v>
          </cell>
          <cell r="I35">
            <v>42</v>
          </cell>
          <cell r="J35">
            <v>41</v>
          </cell>
          <cell r="K35">
            <v>39</v>
          </cell>
          <cell r="L35">
            <v>38</v>
          </cell>
          <cell r="M35">
            <v>36</v>
          </cell>
        </row>
        <row r="36">
          <cell r="A36" t="str">
            <v>DQ9128A1</v>
          </cell>
          <cell r="B36">
            <v>10803</v>
          </cell>
          <cell r="C36">
            <v>31.9592839066667</v>
          </cell>
          <cell r="D36">
            <v>0</v>
          </cell>
          <cell r="E36">
            <v>31.9592839066667</v>
          </cell>
          <cell r="F36" t="str">
            <v>自制</v>
          </cell>
          <cell r="G36" t="str">
            <v>昂科雷</v>
          </cell>
          <cell r="H36">
            <v>44</v>
          </cell>
          <cell r="I36">
            <v>42</v>
          </cell>
          <cell r="J36">
            <v>40</v>
          </cell>
          <cell r="K36">
            <v>39</v>
          </cell>
          <cell r="L36">
            <v>37</v>
          </cell>
          <cell r="M36">
            <v>36</v>
          </cell>
        </row>
        <row r="37">
          <cell r="A37" t="str">
            <v>DQ9016</v>
          </cell>
          <cell r="B37">
            <v>10077</v>
          </cell>
          <cell r="C37">
            <v>30.3364481066667</v>
          </cell>
          <cell r="D37">
            <v>0</v>
          </cell>
          <cell r="E37">
            <v>30.3364481066667</v>
          </cell>
          <cell r="F37" t="str">
            <v>自制</v>
          </cell>
          <cell r="G37" t="str">
            <v>别克君越</v>
          </cell>
          <cell r="H37">
            <v>41</v>
          </cell>
          <cell r="I37">
            <v>40</v>
          </cell>
          <cell r="J37">
            <v>38</v>
          </cell>
          <cell r="K37">
            <v>37</v>
          </cell>
          <cell r="L37">
            <v>35</v>
          </cell>
          <cell r="M37">
            <v>34</v>
          </cell>
        </row>
        <row r="38">
          <cell r="A38" t="str">
            <v>DQ9003A</v>
          </cell>
          <cell r="B38">
            <v>9775</v>
          </cell>
          <cell r="C38">
            <v>26.042173718</v>
          </cell>
          <cell r="D38">
            <v>0</v>
          </cell>
          <cell r="E38">
            <v>26.042173718</v>
          </cell>
          <cell r="F38" t="str">
            <v>自制</v>
          </cell>
          <cell r="G38" t="str">
            <v>奇骏2.5</v>
          </cell>
          <cell r="H38">
            <v>36</v>
          </cell>
          <cell r="I38">
            <v>34</v>
          </cell>
          <cell r="J38">
            <v>33</v>
          </cell>
          <cell r="K38">
            <v>32</v>
          </cell>
          <cell r="L38">
            <v>30</v>
          </cell>
          <cell r="M38">
            <v>29</v>
          </cell>
        </row>
        <row r="39">
          <cell r="A39" t="str">
            <v>DQ9025A1</v>
          </cell>
          <cell r="B39">
            <v>9357</v>
          </cell>
          <cell r="C39">
            <v>34.1314073161964</v>
          </cell>
          <cell r="D39">
            <v>1.61650289986312</v>
          </cell>
          <cell r="E39">
            <v>32.5149044163333</v>
          </cell>
          <cell r="F39" t="str">
            <v>自制</v>
          </cell>
          <cell r="G39" t="str">
            <v>奔驰GLK350</v>
          </cell>
          <cell r="H39">
            <v>47</v>
          </cell>
          <cell r="I39">
            <v>45</v>
          </cell>
          <cell r="J39">
            <v>43</v>
          </cell>
          <cell r="K39">
            <v>41</v>
          </cell>
          <cell r="L39">
            <v>40</v>
          </cell>
          <cell r="M39">
            <v>38</v>
          </cell>
        </row>
        <row r="40">
          <cell r="A40" t="str">
            <v>DQ9101B</v>
          </cell>
          <cell r="B40">
            <v>8848</v>
          </cell>
          <cell r="C40">
            <v>17.4089891166667</v>
          </cell>
          <cell r="D40">
            <v>0</v>
          </cell>
          <cell r="E40">
            <v>17.4089891166667</v>
          </cell>
          <cell r="F40" t="str">
            <v>自制</v>
          </cell>
          <cell r="G40" t="str">
            <v>伽马圆头</v>
          </cell>
          <cell r="H40">
            <v>24</v>
          </cell>
          <cell r="I40">
            <v>23</v>
          </cell>
          <cell r="J40">
            <v>22</v>
          </cell>
          <cell r="K40">
            <v>21</v>
          </cell>
          <cell r="L40">
            <v>21</v>
          </cell>
          <cell r="M40">
            <v>20</v>
          </cell>
        </row>
        <row r="41">
          <cell r="A41" t="str">
            <v>DQ9130E1</v>
          </cell>
          <cell r="B41">
            <v>8777</v>
          </cell>
          <cell r="C41">
            <v>21.72689838</v>
          </cell>
          <cell r="D41">
            <v>0</v>
          </cell>
          <cell r="E41">
            <v>21.72689838</v>
          </cell>
          <cell r="F41" t="str">
            <v>自制</v>
          </cell>
          <cell r="G41" t="str">
            <v>福特锐界</v>
          </cell>
          <cell r="H41">
            <v>30</v>
          </cell>
          <cell r="I41">
            <v>29</v>
          </cell>
          <cell r="J41">
            <v>28</v>
          </cell>
          <cell r="K41">
            <v>27</v>
          </cell>
          <cell r="L41">
            <v>25</v>
          </cell>
          <cell r="M41">
            <v>24</v>
          </cell>
        </row>
        <row r="42">
          <cell r="A42" t="str">
            <v>DQ9406M</v>
          </cell>
          <cell r="B42">
            <v>8711</v>
          </cell>
          <cell r="C42">
            <v>105.05</v>
          </cell>
          <cell r="D42">
            <v>0</v>
          </cell>
          <cell r="E42">
            <v>105.05</v>
          </cell>
          <cell r="F42" t="str">
            <v>调货</v>
          </cell>
          <cell r="G42" t="str">
            <v>科鲁兹1790</v>
          </cell>
          <cell r="H42">
            <v>126</v>
          </cell>
          <cell r="I42">
            <v>123</v>
          </cell>
          <cell r="J42">
            <v>121</v>
          </cell>
          <cell r="K42">
            <v>119</v>
          </cell>
          <cell r="L42">
            <v>118</v>
          </cell>
          <cell r="M42">
            <v>116</v>
          </cell>
        </row>
        <row r="43">
          <cell r="A43" t="str">
            <v>DQ9117</v>
          </cell>
          <cell r="B43">
            <v>8604</v>
          </cell>
          <cell r="C43">
            <v>20.90070422</v>
          </cell>
          <cell r="D43">
            <v>0</v>
          </cell>
          <cell r="E43">
            <v>20.90070422</v>
          </cell>
          <cell r="F43" t="str">
            <v>自制</v>
          </cell>
          <cell r="G43" t="str">
            <v>北斗星K14（联电系统）</v>
          </cell>
          <cell r="H43">
            <v>29</v>
          </cell>
          <cell r="I43">
            <v>28</v>
          </cell>
          <cell r="J43">
            <v>27</v>
          </cell>
          <cell r="K43">
            <v>26</v>
          </cell>
          <cell r="L43">
            <v>25</v>
          </cell>
          <cell r="M43">
            <v>23</v>
          </cell>
        </row>
        <row r="44">
          <cell r="A44" t="str">
            <v>DQ9109</v>
          </cell>
          <cell r="B44">
            <v>8590</v>
          </cell>
          <cell r="C44">
            <v>26.258317</v>
          </cell>
          <cell r="D44">
            <v>0</v>
          </cell>
          <cell r="E44">
            <v>26.258317</v>
          </cell>
          <cell r="F44" t="str">
            <v>自制</v>
          </cell>
          <cell r="G44" t="str">
            <v>本田7代雅阁</v>
          </cell>
          <cell r="H44">
            <v>36</v>
          </cell>
          <cell r="I44">
            <v>35</v>
          </cell>
          <cell r="J44">
            <v>33</v>
          </cell>
          <cell r="K44">
            <v>32</v>
          </cell>
          <cell r="L44">
            <v>31</v>
          </cell>
          <cell r="M44">
            <v>29</v>
          </cell>
        </row>
        <row r="45">
          <cell r="A45" t="str">
            <v>DQ9101A1</v>
          </cell>
          <cell r="B45">
            <v>8480</v>
          </cell>
          <cell r="C45">
            <v>16.0115995862069</v>
          </cell>
          <cell r="D45">
            <v>0</v>
          </cell>
          <cell r="E45">
            <v>16.0115995862069</v>
          </cell>
          <cell r="F45" t="str">
            <v>自制</v>
          </cell>
          <cell r="G45" t="str">
            <v>27301-26640</v>
          </cell>
          <cell r="H45">
            <v>22</v>
          </cell>
          <cell r="I45">
            <v>21</v>
          </cell>
          <cell r="J45">
            <v>21</v>
          </cell>
          <cell r="K45">
            <v>20</v>
          </cell>
          <cell r="L45">
            <v>19</v>
          </cell>
          <cell r="M45">
            <v>18</v>
          </cell>
        </row>
        <row r="46">
          <cell r="A46" t="str">
            <v>DQ9109C</v>
          </cell>
          <cell r="B46">
            <v>8478</v>
          </cell>
          <cell r="C46">
            <v>26.8718769666667</v>
          </cell>
          <cell r="D46">
            <v>0</v>
          </cell>
          <cell r="E46">
            <v>26.8718769666667</v>
          </cell>
          <cell r="F46" t="str">
            <v>自制</v>
          </cell>
          <cell r="G46" t="str">
            <v>本田讴歌 3.5L</v>
          </cell>
          <cell r="H46">
            <v>37</v>
          </cell>
          <cell r="I46">
            <v>35</v>
          </cell>
          <cell r="J46">
            <v>34</v>
          </cell>
          <cell r="K46">
            <v>33</v>
          </cell>
          <cell r="L46">
            <v>31</v>
          </cell>
          <cell r="M46">
            <v>30</v>
          </cell>
        </row>
        <row r="47">
          <cell r="A47" t="str">
            <v>DQ9132B1</v>
          </cell>
          <cell r="B47">
            <v>8163</v>
          </cell>
          <cell r="C47">
            <v>27.4638967133333</v>
          </cell>
          <cell r="D47">
            <v>0</v>
          </cell>
          <cell r="E47">
            <v>27.4638967133333</v>
          </cell>
          <cell r="F47" t="str">
            <v>自制</v>
          </cell>
          <cell r="G47" t="str">
            <v>丰田大发</v>
          </cell>
          <cell r="H47">
            <v>38</v>
          </cell>
          <cell r="I47">
            <v>36</v>
          </cell>
          <cell r="J47">
            <v>35</v>
          </cell>
          <cell r="K47">
            <v>33</v>
          </cell>
          <cell r="L47">
            <v>32</v>
          </cell>
          <cell r="M47">
            <v>31</v>
          </cell>
        </row>
        <row r="48">
          <cell r="A48" t="str">
            <v>DQ9010B</v>
          </cell>
          <cell r="B48">
            <v>8152</v>
          </cell>
          <cell r="C48">
            <v>24.51412557</v>
          </cell>
          <cell r="D48">
            <v>0</v>
          </cell>
          <cell r="E48">
            <v>24.51412557</v>
          </cell>
          <cell r="F48" t="str">
            <v>自制</v>
          </cell>
          <cell r="G48" t="str">
            <v>飞度1.5（短）</v>
          </cell>
          <cell r="H48">
            <v>34</v>
          </cell>
          <cell r="I48">
            <v>32</v>
          </cell>
          <cell r="J48">
            <v>31</v>
          </cell>
          <cell r="K48">
            <v>30</v>
          </cell>
          <cell r="L48">
            <v>29</v>
          </cell>
          <cell r="M48">
            <v>27</v>
          </cell>
        </row>
        <row r="49">
          <cell r="A49" t="str">
            <v>DQ910834</v>
          </cell>
          <cell r="B49">
            <v>8111</v>
          </cell>
          <cell r="C49">
            <v>24.898790554</v>
          </cell>
          <cell r="D49">
            <v>0</v>
          </cell>
          <cell r="E49">
            <v>24.898790554</v>
          </cell>
          <cell r="F49" t="str">
            <v>自制</v>
          </cell>
          <cell r="G49" t="str">
            <v>丰田02234</v>
          </cell>
          <cell r="H49">
            <v>34</v>
          </cell>
          <cell r="I49">
            <v>33</v>
          </cell>
          <cell r="J49">
            <v>32</v>
          </cell>
          <cell r="K49">
            <v>30</v>
          </cell>
          <cell r="L49">
            <v>29</v>
          </cell>
          <cell r="M49">
            <v>28</v>
          </cell>
        </row>
        <row r="50">
          <cell r="A50" t="str">
            <v>DQ9003G1</v>
          </cell>
          <cell r="B50">
            <v>7870</v>
          </cell>
          <cell r="C50">
            <v>26.80397544</v>
          </cell>
          <cell r="D50">
            <v>0</v>
          </cell>
          <cell r="E50">
            <v>26.80397544</v>
          </cell>
          <cell r="F50" t="str">
            <v>自制</v>
          </cell>
          <cell r="G50" t="str">
            <v>日产逍客</v>
          </cell>
          <cell r="H50">
            <v>37</v>
          </cell>
          <cell r="I50">
            <v>35</v>
          </cell>
          <cell r="J50">
            <v>34</v>
          </cell>
          <cell r="K50">
            <v>33</v>
          </cell>
          <cell r="L50">
            <v>31</v>
          </cell>
          <cell r="M50">
            <v>30</v>
          </cell>
        </row>
        <row r="51">
          <cell r="A51" t="str">
            <v>DQ9010J2</v>
          </cell>
          <cell r="B51">
            <v>7601</v>
          </cell>
          <cell r="C51">
            <v>30.3321640266667</v>
          </cell>
          <cell r="D51">
            <v>0</v>
          </cell>
          <cell r="E51">
            <v>30.3321640266667</v>
          </cell>
          <cell r="F51" t="str">
            <v>自制</v>
          </cell>
          <cell r="G51" t="str">
            <v>本田</v>
          </cell>
          <cell r="H51">
            <v>41</v>
          </cell>
          <cell r="I51">
            <v>40</v>
          </cell>
          <cell r="J51">
            <v>38</v>
          </cell>
          <cell r="K51">
            <v>37</v>
          </cell>
          <cell r="L51">
            <v>35</v>
          </cell>
          <cell r="M51">
            <v>34</v>
          </cell>
        </row>
        <row r="52">
          <cell r="A52" t="str">
            <v>DQ9007B1</v>
          </cell>
          <cell r="B52">
            <v>7245</v>
          </cell>
          <cell r="C52">
            <v>31.68848947</v>
          </cell>
          <cell r="D52">
            <v>0</v>
          </cell>
          <cell r="E52">
            <v>31.68848947</v>
          </cell>
          <cell r="F52" t="str">
            <v>自制</v>
          </cell>
          <cell r="G52" t="str">
            <v>现代索纳塔9 2.0L</v>
          </cell>
          <cell r="H52">
            <v>43</v>
          </cell>
          <cell r="I52">
            <v>42</v>
          </cell>
          <cell r="J52">
            <v>40</v>
          </cell>
          <cell r="K52">
            <v>39</v>
          </cell>
          <cell r="L52">
            <v>37</v>
          </cell>
          <cell r="M52">
            <v>35</v>
          </cell>
        </row>
        <row r="53">
          <cell r="A53" t="str">
            <v>DQ9103D</v>
          </cell>
          <cell r="B53">
            <v>6928</v>
          </cell>
          <cell r="C53">
            <v>28.70461083</v>
          </cell>
          <cell r="D53">
            <v>0</v>
          </cell>
          <cell r="E53">
            <v>28.70461083</v>
          </cell>
          <cell r="F53" t="str">
            <v>自制</v>
          </cell>
          <cell r="G53" t="str">
            <v>帕萨特B5 不铣胶面</v>
          </cell>
          <cell r="H53">
            <v>39</v>
          </cell>
          <cell r="I53">
            <v>38</v>
          </cell>
          <cell r="J53">
            <v>36</v>
          </cell>
          <cell r="K53">
            <v>35</v>
          </cell>
          <cell r="L53">
            <v>34</v>
          </cell>
          <cell r="M53">
            <v>32</v>
          </cell>
        </row>
        <row r="54">
          <cell r="A54" t="str">
            <v>DQ9010F</v>
          </cell>
          <cell r="B54">
            <v>6839</v>
          </cell>
          <cell r="C54">
            <v>23.6552787</v>
          </cell>
          <cell r="D54">
            <v>0</v>
          </cell>
          <cell r="E54">
            <v>23.6552787</v>
          </cell>
          <cell r="F54" t="str">
            <v>自制</v>
          </cell>
          <cell r="G54" t="str">
            <v>新飞度</v>
          </cell>
          <cell r="H54">
            <v>32</v>
          </cell>
          <cell r="I54">
            <v>31</v>
          </cell>
          <cell r="J54">
            <v>30</v>
          </cell>
          <cell r="K54">
            <v>29</v>
          </cell>
          <cell r="L54">
            <v>28</v>
          </cell>
          <cell r="M54">
            <v>27</v>
          </cell>
        </row>
        <row r="55">
          <cell r="A55" t="str">
            <v>DQ9109G1</v>
          </cell>
          <cell r="B55">
            <v>6768</v>
          </cell>
          <cell r="C55">
            <v>26.7381796666667</v>
          </cell>
          <cell r="D55">
            <v>0</v>
          </cell>
          <cell r="E55">
            <v>26.7381796666667</v>
          </cell>
          <cell r="F55" t="str">
            <v>自制</v>
          </cell>
          <cell r="G55" t="str">
            <v>本田 雅阁 3.5L</v>
          </cell>
          <cell r="H55">
            <v>37</v>
          </cell>
          <cell r="I55">
            <v>35</v>
          </cell>
          <cell r="J55">
            <v>34</v>
          </cell>
          <cell r="K55">
            <v>33</v>
          </cell>
          <cell r="L55">
            <v>31</v>
          </cell>
          <cell r="M55">
            <v>30</v>
          </cell>
        </row>
        <row r="56">
          <cell r="A56" t="str">
            <v>DQ9109H1</v>
          </cell>
          <cell r="B56">
            <v>6692</v>
          </cell>
          <cell r="C56">
            <v>26.9970142133333</v>
          </cell>
          <cell r="D56">
            <v>0</v>
          </cell>
          <cell r="E56">
            <v>26.9970142133333</v>
          </cell>
          <cell r="F56" t="str">
            <v>自制</v>
          </cell>
          <cell r="G56" t="str">
            <v>本田 pil0t 13-09</v>
          </cell>
          <cell r="H56">
            <v>37</v>
          </cell>
          <cell r="I56">
            <v>36</v>
          </cell>
          <cell r="J56">
            <v>34</v>
          </cell>
          <cell r="K56">
            <v>33</v>
          </cell>
          <cell r="L56">
            <v>32</v>
          </cell>
          <cell r="M56">
            <v>30</v>
          </cell>
        </row>
        <row r="57">
          <cell r="A57" t="str">
            <v>DQ9401</v>
          </cell>
          <cell r="B57">
            <v>6559</v>
          </cell>
          <cell r="C57">
            <v>28.5230719466667</v>
          </cell>
          <cell r="D57">
            <v>0</v>
          </cell>
          <cell r="E57">
            <v>28.5230719466667</v>
          </cell>
          <cell r="F57" t="str">
            <v>自制</v>
          </cell>
          <cell r="G57" t="str">
            <v>德尔福三代</v>
          </cell>
          <cell r="H57">
            <v>39</v>
          </cell>
          <cell r="I57">
            <v>38</v>
          </cell>
          <cell r="J57">
            <v>36</v>
          </cell>
          <cell r="K57">
            <v>35</v>
          </cell>
          <cell r="L57">
            <v>33</v>
          </cell>
          <cell r="M57">
            <v>32</v>
          </cell>
        </row>
        <row r="58">
          <cell r="A58" t="str">
            <v>DQ9044A1</v>
          </cell>
          <cell r="B58">
            <v>6511</v>
          </cell>
          <cell r="C58">
            <v>22.9103466333333</v>
          </cell>
          <cell r="D58">
            <v>0</v>
          </cell>
          <cell r="E58">
            <v>22.9103466333333</v>
          </cell>
          <cell r="F58" t="str">
            <v>自制</v>
          </cell>
          <cell r="G58" t="str">
            <v>福田</v>
          </cell>
          <cell r="H58">
            <v>31</v>
          </cell>
          <cell r="I58">
            <v>30</v>
          </cell>
          <cell r="J58">
            <v>29</v>
          </cell>
          <cell r="K58">
            <v>28</v>
          </cell>
          <cell r="L58">
            <v>27</v>
          </cell>
          <cell r="M58">
            <v>26</v>
          </cell>
        </row>
        <row r="59">
          <cell r="A59" t="str">
            <v>DQ9109B1</v>
          </cell>
          <cell r="B59">
            <v>6237</v>
          </cell>
          <cell r="C59">
            <v>26.8860815466667</v>
          </cell>
          <cell r="D59">
            <v>0</v>
          </cell>
          <cell r="E59">
            <v>26.8860815466667</v>
          </cell>
          <cell r="F59" t="str">
            <v>自制</v>
          </cell>
          <cell r="G59" t="str">
            <v>本田9代雅阁</v>
          </cell>
          <cell r="H59">
            <v>37</v>
          </cell>
          <cell r="I59">
            <v>35</v>
          </cell>
          <cell r="J59">
            <v>34</v>
          </cell>
          <cell r="K59">
            <v>33</v>
          </cell>
          <cell r="L59">
            <v>31</v>
          </cell>
          <cell r="M59">
            <v>30</v>
          </cell>
        </row>
        <row r="60">
          <cell r="A60" t="str">
            <v>DQ9109A</v>
          </cell>
          <cell r="B60">
            <v>6068</v>
          </cell>
          <cell r="C60">
            <v>26.225867</v>
          </cell>
          <cell r="D60">
            <v>0</v>
          </cell>
          <cell r="E60">
            <v>26.225867</v>
          </cell>
          <cell r="F60" t="str">
            <v>自制</v>
          </cell>
          <cell r="G60" t="str">
            <v>本田8代雅阁</v>
          </cell>
          <cell r="H60">
            <v>36</v>
          </cell>
          <cell r="I60">
            <v>35</v>
          </cell>
          <cell r="J60">
            <v>33</v>
          </cell>
          <cell r="K60">
            <v>32</v>
          </cell>
          <cell r="L60">
            <v>31</v>
          </cell>
          <cell r="M60">
            <v>29</v>
          </cell>
        </row>
        <row r="61">
          <cell r="A61" t="str">
            <v>DQ9021B</v>
          </cell>
          <cell r="B61">
            <v>6063</v>
          </cell>
          <cell r="C61">
            <v>21.40069074</v>
          </cell>
          <cell r="D61">
            <v>0</v>
          </cell>
          <cell r="E61">
            <v>21.40069074</v>
          </cell>
          <cell r="F61" t="str">
            <v>自制</v>
          </cell>
          <cell r="G61" t="str">
            <v>长城胜翼</v>
          </cell>
          <cell r="H61">
            <v>29</v>
          </cell>
          <cell r="I61">
            <v>28</v>
          </cell>
          <cell r="J61">
            <v>27</v>
          </cell>
          <cell r="K61">
            <v>26</v>
          </cell>
          <cell r="L61">
            <v>25</v>
          </cell>
          <cell r="M61">
            <v>24</v>
          </cell>
        </row>
        <row r="62">
          <cell r="A62" t="str">
            <v>DQ9023B</v>
          </cell>
          <cell r="B62">
            <v>6061</v>
          </cell>
          <cell r="C62">
            <v>29.4363572933333</v>
          </cell>
          <cell r="D62">
            <v>0</v>
          </cell>
          <cell r="E62">
            <v>29.4363572933333</v>
          </cell>
          <cell r="F62" t="str">
            <v>自制</v>
          </cell>
          <cell r="G62" t="str">
            <v>奥迪Q5</v>
          </cell>
          <cell r="H62">
            <v>40</v>
          </cell>
          <cell r="I62">
            <v>39</v>
          </cell>
          <cell r="J62">
            <v>37</v>
          </cell>
          <cell r="K62">
            <v>36</v>
          </cell>
          <cell r="L62">
            <v>34</v>
          </cell>
          <cell r="M62">
            <v>33</v>
          </cell>
        </row>
        <row r="63">
          <cell r="A63" t="str">
            <v>DQ9036C102</v>
          </cell>
          <cell r="B63">
            <v>5922</v>
          </cell>
          <cell r="C63">
            <v>21.21266631</v>
          </cell>
          <cell r="D63">
            <v>0</v>
          </cell>
          <cell r="E63">
            <v>21.21266631</v>
          </cell>
          <cell r="F63" t="str">
            <v>自制</v>
          </cell>
          <cell r="G63" t="str">
            <v>克莱斯勒300C 3.6L(带螺丝）</v>
          </cell>
          <cell r="H63">
            <v>29</v>
          </cell>
          <cell r="I63">
            <v>28</v>
          </cell>
          <cell r="J63">
            <v>27</v>
          </cell>
          <cell r="K63">
            <v>26</v>
          </cell>
          <cell r="L63">
            <v>25</v>
          </cell>
          <cell r="M63">
            <v>24</v>
          </cell>
        </row>
        <row r="64">
          <cell r="A64" t="str">
            <v>DQ910846</v>
          </cell>
          <cell r="B64">
            <v>5902</v>
          </cell>
          <cell r="C64">
            <v>25.087892354</v>
          </cell>
          <cell r="D64">
            <v>0</v>
          </cell>
          <cell r="E64">
            <v>25.087892354</v>
          </cell>
          <cell r="F64" t="str">
            <v>自制</v>
          </cell>
          <cell r="G64" t="str">
            <v>丰田02246</v>
          </cell>
          <cell r="H64">
            <v>34</v>
          </cell>
          <cell r="I64">
            <v>33</v>
          </cell>
          <cell r="J64">
            <v>32</v>
          </cell>
          <cell r="K64">
            <v>31</v>
          </cell>
          <cell r="L64">
            <v>29</v>
          </cell>
          <cell r="M64">
            <v>28</v>
          </cell>
        </row>
        <row r="65">
          <cell r="A65" t="str">
            <v>DQ9104F</v>
          </cell>
          <cell r="B65">
            <v>5750</v>
          </cell>
          <cell r="C65">
            <v>21.9785372266667</v>
          </cell>
          <cell r="D65">
            <v>0</v>
          </cell>
          <cell r="E65">
            <v>21.9785372266667</v>
          </cell>
          <cell r="F65" t="str">
            <v>自制</v>
          </cell>
          <cell r="G65" t="str">
            <v>法系雷诺</v>
          </cell>
          <cell r="H65">
            <v>30</v>
          </cell>
          <cell r="I65">
            <v>29</v>
          </cell>
          <cell r="J65">
            <v>28</v>
          </cell>
          <cell r="K65">
            <v>27</v>
          </cell>
          <cell r="L65">
            <v>26</v>
          </cell>
          <cell r="M65">
            <v>25</v>
          </cell>
        </row>
        <row r="66">
          <cell r="A66" t="str">
            <v>DQ9003G2</v>
          </cell>
          <cell r="B66">
            <v>5695</v>
          </cell>
          <cell r="C66">
            <v>26.61697544</v>
          </cell>
          <cell r="D66">
            <v>0</v>
          </cell>
          <cell r="E66">
            <v>26.61697544</v>
          </cell>
          <cell r="F66" t="str">
            <v>自制</v>
          </cell>
          <cell r="G66" t="str">
            <v>日产奇骏2.0</v>
          </cell>
          <cell r="H66">
            <v>36</v>
          </cell>
          <cell r="I66">
            <v>35</v>
          </cell>
          <cell r="J66">
            <v>34</v>
          </cell>
          <cell r="K66">
            <v>32</v>
          </cell>
          <cell r="L66">
            <v>31</v>
          </cell>
          <cell r="M66">
            <v>30</v>
          </cell>
        </row>
        <row r="67">
          <cell r="A67" t="str">
            <v>DQ901808</v>
          </cell>
          <cell r="B67">
            <v>5686</v>
          </cell>
          <cell r="C67">
            <v>31.6762292</v>
          </cell>
          <cell r="D67">
            <v>0</v>
          </cell>
          <cell r="E67">
            <v>31.6762292</v>
          </cell>
          <cell r="F67" t="str">
            <v>自制</v>
          </cell>
          <cell r="G67" t="str">
            <v>卡罗拉1.2T</v>
          </cell>
          <cell r="H67">
            <v>43</v>
          </cell>
          <cell r="I67">
            <v>42</v>
          </cell>
          <cell r="J67">
            <v>40</v>
          </cell>
          <cell r="K67">
            <v>39</v>
          </cell>
          <cell r="L67">
            <v>37</v>
          </cell>
          <cell r="M67">
            <v>35</v>
          </cell>
        </row>
        <row r="68">
          <cell r="A68" t="str">
            <v>DQ9107A</v>
          </cell>
          <cell r="B68">
            <v>5315</v>
          </cell>
          <cell r="C68">
            <v>17.8068005966667</v>
          </cell>
          <cell r="D68">
            <v>0</v>
          </cell>
          <cell r="E68">
            <v>17.8068005966667</v>
          </cell>
          <cell r="F68" t="str">
            <v>自制</v>
          </cell>
          <cell r="G68" t="str">
            <v>北汽威旺</v>
          </cell>
          <cell r="H68">
            <v>25</v>
          </cell>
          <cell r="I68">
            <v>24</v>
          </cell>
          <cell r="J68">
            <v>23</v>
          </cell>
          <cell r="K68">
            <v>22</v>
          </cell>
          <cell r="L68">
            <v>21</v>
          </cell>
          <cell r="M68">
            <v>20</v>
          </cell>
        </row>
        <row r="69">
          <cell r="A69" t="str">
            <v>DQ9038A1</v>
          </cell>
          <cell r="B69">
            <v>5156</v>
          </cell>
          <cell r="C69">
            <v>22.5875593333333</v>
          </cell>
          <cell r="D69">
            <v>0</v>
          </cell>
          <cell r="E69">
            <v>22.5875593333333</v>
          </cell>
          <cell r="F69" t="str">
            <v>自制</v>
          </cell>
          <cell r="G69" t="str">
            <v>宏光B15</v>
          </cell>
          <cell r="H69">
            <v>31</v>
          </cell>
          <cell r="I69">
            <v>30</v>
          </cell>
          <cell r="J69">
            <v>29</v>
          </cell>
          <cell r="K69">
            <v>28</v>
          </cell>
          <cell r="L69">
            <v>26</v>
          </cell>
          <cell r="M69">
            <v>25</v>
          </cell>
        </row>
        <row r="70">
          <cell r="A70" t="str">
            <v>DQ9130F1</v>
          </cell>
          <cell r="B70">
            <v>4904</v>
          </cell>
          <cell r="C70">
            <v>29.27739618</v>
          </cell>
          <cell r="D70">
            <v>0</v>
          </cell>
          <cell r="E70">
            <v>29.27739618</v>
          </cell>
          <cell r="F70" t="str">
            <v>自制</v>
          </cell>
          <cell r="G70" t="str">
            <v>福特金牛</v>
          </cell>
          <cell r="H70">
            <v>40</v>
          </cell>
          <cell r="I70">
            <v>39</v>
          </cell>
          <cell r="J70">
            <v>37</v>
          </cell>
          <cell r="K70">
            <v>36</v>
          </cell>
          <cell r="L70">
            <v>34</v>
          </cell>
          <cell r="M70">
            <v>33</v>
          </cell>
        </row>
        <row r="71">
          <cell r="A71" t="str">
            <v>DQ9116E</v>
          </cell>
          <cell r="B71">
            <v>4803</v>
          </cell>
          <cell r="C71">
            <v>19.83491522</v>
          </cell>
          <cell r="D71">
            <v>0</v>
          </cell>
          <cell r="E71">
            <v>19.83491522</v>
          </cell>
          <cell r="F71" t="str">
            <v>自制</v>
          </cell>
          <cell r="G71" t="str">
            <v>473QE发动机</v>
          </cell>
          <cell r="H71">
            <v>27</v>
          </cell>
          <cell r="I71">
            <v>26</v>
          </cell>
          <cell r="J71">
            <v>25</v>
          </cell>
          <cell r="K71">
            <v>24</v>
          </cell>
          <cell r="L71">
            <v>23</v>
          </cell>
          <cell r="M71">
            <v>22</v>
          </cell>
        </row>
        <row r="72">
          <cell r="A72" t="str">
            <v>DQ9113B2</v>
          </cell>
          <cell r="B72">
            <v>4784</v>
          </cell>
          <cell r="C72">
            <v>29.69868454</v>
          </cell>
          <cell r="D72">
            <v>0</v>
          </cell>
          <cell r="E72">
            <v>29.69868454</v>
          </cell>
          <cell r="F72" t="str">
            <v>自制</v>
          </cell>
          <cell r="G72" t="str">
            <v>三菱劲炫</v>
          </cell>
          <cell r="H72">
            <v>41</v>
          </cell>
          <cell r="I72">
            <v>39</v>
          </cell>
          <cell r="J72">
            <v>38</v>
          </cell>
          <cell r="K72">
            <v>36</v>
          </cell>
          <cell r="L72">
            <v>35</v>
          </cell>
          <cell r="M72">
            <v>33</v>
          </cell>
        </row>
        <row r="73">
          <cell r="A73" t="str">
            <v>DQ129</v>
          </cell>
          <cell r="B73">
            <v>4746</v>
          </cell>
          <cell r="C73">
            <v>38.3297916042157</v>
          </cell>
          <cell r="D73">
            <v>-0.232548395784334</v>
          </cell>
          <cell r="E73">
            <v>38.56234</v>
          </cell>
          <cell r="F73" t="str">
            <v>自制</v>
          </cell>
          <cell r="G73" t="str">
            <v>小红旗</v>
          </cell>
          <cell r="H73">
            <v>52</v>
          </cell>
          <cell r="I73">
            <v>50</v>
          </cell>
          <cell r="J73">
            <v>48</v>
          </cell>
          <cell r="K73">
            <v>46</v>
          </cell>
          <cell r="L73">
            <v>45</v>
          </cell>
          <cell r="M73">
            <v>43</v>
          </cell>
        </row>
        <row r="74">
          <cell r="A74" t="str">
            <v>DQ9230A1</v>
          </cell>
          <cell r="B74">
            <v>4605</v>
          </cell>
          <cell r="C74">
            <v>22.1914437195</v>
          </cell>
          <cell r="D74">
            <v>0</v>
          </cell>
          <cell r="E74">
            <v>22.1914437195</v>
          </cell>
          <cell r="F74" t="str">
            <v>自制</v>
          </cell>
          <cell r="G74" t="str">
            <v>五菱之光 1.2L</v>
          </cell>
          <cell r="H74">
            <v>30</v>
          </cell>
          <cell r="I74">
            <v>29</v>
          </cell>
          <cell r="J74">
            <v>28</v>
          </cell>
          <cell r="K74">
            <v>27</v>
          </cell>
          <cell r="L74">
            <v>26</v>
          </cell>
          <cell r="M74">
            <v>25</v>
          </cell>
        </row>
        <row r="75">
          <cell r="A75" t="str">
            <v>DQ9216B</v>
          </cell>
          <cell r="B75">
            <v>4574</v>
          </cell>
          <cell r="C75">
            <v>21.08913961</v>
          </cell>
          <cell r="D75">
            <v>0</v>
          </cell>
          <cell r="E75">
            <v>21.08913961</v>
          </cell>
          <cell r="F75" t="str">
            <v>自制</v>
          </cell>
          <cell r="G75" t="str">
            <v>荣威350</v>
          </cell>
          <cell r="H75">
            <v>29</v>
          </cell>
          <cell r="I75">
            <v>28</v>
          </cell>
          <cell r="J75">
            <v>27</v>
          </cell>
          <cell r="K75">
            <v>26</v>
          </cell>
          <cell r="L75">
            <v>25</v>
          </cell>
          <cell r="M75">
            <v>24</v>
          </cell>
        </row>
        <row r="76">
          <cell r="A76" t="str">
            <v>DQ9110E1</v>
          </cell>
          <cell r="B76">
            <v>4566</v>
          </cell>
          <cell r="C76">
            <v>26.29327125</v>
          </cell>
          <cell r="D76">
            <v>0</v>
          </cell>
          <cell r="E76">
            <v>26.29327125</v>
          </cell>
          <cell r="F76" t="str">
            <v>自制</v>
          </cell>
          <cell r="G76" t="str">
            <v>标致1.6T</v>
          </cell>
          <cell r="H76">
            <v>36</v>
          </cell>
          <cell r="I76">
            <v>35</v>
          </cell>
          <cell r="J76">
            <v>33</v>
          </cell>
          <cell r="K76">
            <v>32</v>
          </cell>
          <cell r="L76">
            <v>31</v>
          </cell>
          <cell r="M76">
            <v>29</v>
          </cell>
        </row>
        <row r="77">
          <cell r="A77" t="str">
            <v>DQ9032A1</v>
          </cell>
          <cell r="B77">
            <v>4540</v>
          </cell>
          <cell r="C77">
            <v>32.09230156</v>
          </cell>
          <cell r="D77">
            <v>0</v>
          </cell>
          <cell r="E77">
            <v>32.09230156</v>
          </cell>
          <cell r="F77" t="str">
            <v>自制</v>
          </cell>
          <cell r="G77" t="str">
            <v>铃木</v>
          </cell>
          <cell r="H77">
            <v>44</v>
          </cell>
          <cell r="I77">
            <v>42</v>
          </cell>
          <cell r="J77">
            <v>41</v>
          </cell>
          <cell r="K77">
            <v>39</v>
          </cell>
          <cell r="L77">
            <v>37</v>
          </cell>
          <cell r="M77">
            <v>36</v>
          </cell>
        </row>
        <row r="78">
          <cell r="A78" t="str">
            <v>DQ9005D</v>
          </cell>
          <cell r="B78">
            <v>4452</v>
          </cell>
          <cell r="C78">
            <v>15.191504669</v>
          </cell>
          <cell r="D78">
            <v>0</v>
          </cell>
          <cell r="E78">
            <v>15.191504669</v>
          </cell>
          <cell r="F78" t="str">
            <v>自制</v>
          </cell>
          <cell r="G78" t="str">
            <v>福克斯</v>
          </cell>
          <cell r="H78">
            <v>21</v>
          </cell>
          <cell r="I78">
            <v>20</v>
          </cell>
          <cell r="J78">
            <v>19</v>
          </cell>
          <cell r="K78">
            <v>19</v>
          </cell>
          <cell r="L78">
            <v>18</v>
          </cell>
          <cell r="M78">
            <v>17</v>
          </cell>
        </row>
        <row r="79">
          <cell r="A79" t="str">
            <v>DQ9003A3</v>
          </cell>
          <cell r="B79">
            <v>4377</v>
          </cell>
          <cell r="C79">
            <v>26.152173718</v>
          </cell>
          <cell r="D79">
            <v>0</v>
          </cell>
          <cell r="E79">
            <v>26.152173718</v>
          </cell>
          <cell r="F79" t="str">
            <v>自制</v>
          </cell>
          <cell r="G79" t="str">
            <v>天籁 2.0L</v>
          </cell>
          <cell r="H79">
            <v>36</v>
          </cell>
          <cell r="I79">
            <v>34</v>
          </cell>
          <cell r="J79">
            <v>33</v>
          </cell>
          <cell r="K79">
            <v>32</v>
          </cell>
          <cell r="L79">
            <v>31</v>
          </cell>
          <cell r="M79">
            <v>29</v>
          </cell>
        </row>
        <row r="80">
          <cell r="A80" t="str">
            <v>DQ9101K1</v>
          </cell>
          <cell r="B80">
            <v>4352</v>
          </cell>
          <cell r="C80">
            <v>19.1022887266667</v>
          </cell>
          <cell r="D80">
            <v>0</v>
          </cell>
          <cell r="E80">
            <v>19.1022887266667</v>
          </cell>
          <cell r="F80" t="str">
            <v>自制</v>
          </cell>
          <cell r="G80" t="str">
            <v>现代瑞纳</v>
          </cell>
          <cell r="H80">
            <v>26</v>
          </cell>
          <cell r="I80">
            <v>25</v>
          </cell>
          <cell r="J80">
            <v>24</v>
          </cell>
          <cell r="K80">
            <v>23</v>
          </cell>
          <cell r="L80">
            <v>22</v>
          </cell>
          <cell r="M80">
            <v>22</v>
          </cell>
        </row>
        <row r="81">
          <cell r="A81" t="str">
            <v>DQ9010A</v>
          </cell>
          <cell r="B81">
            <v>4307</v>
          </cell>
          <cell r="C81">
            <v>25.90555759</v>
          </cell>
          <cell r="D81">
            <v>0</v>
          </cell>
          <cell r="E81">
            <v>25.90555759</v>
          </cell>
          <cell r="F81" t="str">
            <v>自制</v>
          </cell>
          <cell r="G81" t="str">
            <v>飞度1.3后排</v>
          </cell>
          <cell r="H81">
            <v>35</v>
          </cell>
          <cell r="I81">
            <v>34</v>
          </cell>
          <cell r="J81">
            <v>33</v>
          </cell>
          <cell r="K81">
            <v>32</v>
          </cell>
          <cell r="L81">
            <v>30</v>
          </cell>
          <cell r="M81">
            <v>29</v>
          </cell>
        </row>
        <row r="82">
          <cell r="A82" t="str">
            <v>DQ9021D</v>
          </cell>
          <cell r="B82">
            <v>4280</v>
          </cell>
          <cell r="C82">
            <v>20.81384074</v>
          </cell>
          <cell r="D82">
            <v>0</v>
          </cell>
          <cell r="E82">
            <v>20.81384074</v>
          </cell>
          <cell r="F82" t="str">
            <v>自制</v>
          </cell>
          <cell r="G82" t="str">
            <v>吉利帝豪</v>
          </cell>
          <cell r="H82">
            <v>29</v>
          </cell>
          <cell r="I82">
            <v>28</v>
          </cell>
          <cell r="J82">
            <v>27</v>
          </cell>
          <cell r="K82">
            <v>25</v>
          </cell>
          <cell r="L82">
            <v>24</v>
          </cell>
          <cell r="M82">
            <v>23</v>
          </cell>
        </row>
        <row r="83">
          <cell r="A83" t="str">
            <v>DQ9025C1</v>
          </cell>
          <cell r="B83">
            <v>4253</v>
          </cell>
          <cell r="C83">
            <v>31.0073648358798</v>
          </cell>
          <cell r="D83">
            <v>2.01695261587984</v>
          </cell>
          <cell r="E83">
            <v>28.99041222</v>
          </cell>
          <cell r="F83" t="str">
            <v>自制</v>
          </cell>
          <cell r="G83" t="str">
            <v>奔驰209发动机</v>
          </cell>
          <cell r="H83">
            <v>42</v>
          </cell>
          <cell r="I83">
            <v>41</v>
          </cell>
          <cell r="J83">
            <v>39</v>
          </cell>
          <cell r="K83">
            <v>38</v>
          </cell>
          <cell r="L83">
            <v>36</v>
          </cell>
          <cell r="M83">
            <v>35</v>
          </cell>
        </row>
        <row r="84">
          <cell r="A84" t="str">
            <v>DQ9115</v>
          </cell>
          <cell r="B84">
            <v>3936</v>
          </cell>
          <cell r="C84">
            <v>20.04390843</v>
          </cell>
          <cell r="D84">
            <v>0</v>
          </cell>
          <cell r="E84">
            <v>20.04390843</v>
          </cell>
          <cell r="F84" t="str">
            <v>自制</v>
          </cell>
          <cell r="G84" t="str">
            <v>海马479Q</v>
          </cell>
          <cell r="H84">
            <v>28</v>
          </cell>
          <cell r="I84">
            <v>27</v>
          </cell>
          <cell r="J84">
            <v>26</v>
          </cell>
          <cell r="K84">
            <v>25</v>
          </cell>
          <cell r="L84">
            <v>24</v>
          </cell>
          <cell r="M84">
            <v>23</v>
          </cell>
        </row>
        <row r="85">
          <cell r="A85" t="str">
            <v>DQ6493</v>
          </cell>
          <cell r="B85">
            <v>3902</v>
          </cell>
          <cell r="C85">
            <v>35.821292123564</v>
          </cell>
          <cell r="D85">
            <v>-0.439518836436034</v>
          </cell>
          <cell r="E85">
            <v>36.26081096</v>
          </cell>
          <cell r="F85" t="str">
            <v>自制</v>
          </cell>
          <cell r="G85" t="str">
            <v>德尔福二代</v>
          </cell>
          <cell r="H85">
            <v>49</v>
          </cell>
          <cell r="I85">
            <v>47</v>
          </cell>
          <cell r="J85">
            <v>45</v>
          </cell>
          <cell r="K85">
            <v>43</v>
          </cell>
          <cell r="L85">
            <v>42</v>
          </cell>
          <cell r="M85">
            <v>40</v>
          </cell>
        </row>
        <row r="86">
          <cell r="A86" t="str">
            <v>DQ1212X</v>
          </cell>
          <cell r="B86">
            <v>3836</v>
          </cell>
          <cell r="C86">
            <v>40.5992668127962</v>
          </cell>
          <cell r="D86">
            <v>-1.5290312772038</v>
          </cell>
          <cell r="E86">
            <v>42.12829809</v>
          </cell>
          <cell r="F86" t="str">
            <v>自制</v>
          </cell>
          <cell r="G86" t="str">
            <v>奇瑞风云</v>
          </cell>
          <cell r="H86">
            <v>55</v>
          </cell>
          <cell r="I86">
            <v>53</v>
          </cell>
          <cell r="J86">
            <v>51</v>
          </cell>
          <cell r="K86">
            <v>49</v>
          </cell>
          <cell r="L86">
            <v>47</v>
          </cell>
          <cell r="M86">
            <v>45</v>
          </cell>
        </row>
        <row r="87">
          <cell r="A87" t="str">
            <v>DQ9007C2</v>
          </cell>
          <cell r="B87">
            <v>3733</v>
          </cell>
          <cell r="C87">
            <v>30.6375202557754</v>
          </cell>
          <cell r="D87">
            <v>1.41526081577541</v>
          </cell>
          <cell r="E87">
            <v>29.22225944</v>
          </cell>
          <cell r="F87" t="str">
            <v>自制</v>
          </cell>
          <cell r="G87" t="str">
            <v>索兰托2.0T</v>
          </cell>
          <cell r="H87">
            <v>42</v>
          </cell>
          <cell r="I87">
            <v>40</v>
          </cell>
          <cell r="J87">
            <v>39</v>
          </cell>
          <cell r="K87">
            <v>37</v>
          </cell>
          <cell r="L87">
            <v>36</v>
          </cell>
          <cell r="M87">
            <v>34</v>
          </cell>
        </row>
        <row r="88">
          <cell r="A88" t="str">
            <v>DQ9201C1</v>
          </cell>
          <cell r="B88">
            <v>3633</v>
          </cell>
          <cell r="C88">
            <v>21.5975155</v>
          </cell>
          <cell r="D88">
            <v>0</v>
          </cell>
          <cell r="E88">
            <v>21.5975155</v>
          </cell>
          <cell r="F88" t="str">
            <v>自制</v>
          </cell>
          <cell r="G88" t="str">
            <v>欧诺474</v>
          </cell>
          <cell r="H88">
            <v>30</v>
          </cell>
          <cell r="I88">
            <v>29</v>
          </cell>
          <cell r="J88">
            <v>27</v>
          </cell>
          <cell r="K88">
            <v>26</v>
          </cell>
          <cell r="L88">
            <v>25</v>
          </cell>
          <cell r="M88">
            <v>24</v>
          </cell>
        </row>
        <row r="89">
          <cell r="A89" t="str">
            <v>DQ9039B1</v>
          </cell>
          <cell r="B89">
            <v>3603</v>
          </cell>
          <cell r="C89">
            <v>21.3932580933333</v>
          </cell>
          <cell r="D89">
            <v>0</v>
          </cell>
          <cell r="E89">
            <v>21.3932580933333</v>
          </cell>
          <cell r="F89" t="str">
            <v>自制</v>
          </cell>
          <cell r="G89" t="str">
            <v>宝骏 730</v>
          </cell>
          <cell r="H89">
            <v>29</v>
          </cell>
          <cell r="I89">
            <v>28</v>
          </cell>
          <cell r="J89">
            <v>27</v>
          </cell>
          <cell r="K89">
            <v>26</v>
          </cell>
          <cell r="L89">
            <v>25</v>
          </cell>
          <cell r="M89">
            <v>24</v>
          </cell>
        </row>
        <row r="90">
          <cell r="A90" t="str">
            <v>DQ9002D1</v>
          </cell>
          <cell r="B90">
            <v>3581</v>
          </cell>
          <cell r="C90">
            <v>36.4690056168409</v>
          </cell>
          <cell r="D90">
            <v>0.565802016840876</v>
          </cell>
          <cell r="E90">
            <v>35.9032036</v>
          </cell>
          <cell r="F90" t="str">
            <v>自制</v>
          </cell>
          <cell r="G90" t="str">
            <v>马自达3 昂克赛拉</v>
          </cell>
          <cell r="H90">
            <v>50</v>
          </cell>
          <cell r="I90">
            <v>48</v>
          </cell>
          <cell r="J90">
            <v>46</v>
          </cell>
          <cell r="K90">
            <v>44</v>
          </cell>
          <cell r="L90">
            <v>42</v>
          </cell>
          <cell r="M90">
            <v>41</v>
          </cell>
        </row>
        <row r="91">
          <cell r="A91" t="str">
            <v>DQ9134B1</v>
          </cell>
          <cell r="B91">
            <v>3527</v>
          </cell>
          <cell r="C91">
            <v>33.7190354558691</v>
          </cell>
          <cell r="D91">
            <v>0.867451305869115</v>
          </cell>
          <cell r="E91">
            <v>32.85158415</v>
          </cell>
          <cell r="F91" t="str">
            <v>自制</v>
          </cell>
          <cell r="G91" t="str">
            <v>昂科拉</v>
          </cell>
          <cell r="H91">
            <v>46</v>
          </cell>
          <cell r="I91">
            <v>44</v>
          </cell>
          <cell r="J91">
            <v>43</v>
          </cell>
          <cell r="K91">
            <v>41</v>
          </cell>
          <cell r="L91">
            <v>39</v>
          </cell>
          <cell r="M91">
            <v>38</v>
          </cell>
        </row>
        <row r="92">
          <cell r="A92" t="str">
            <v>DQ9109D1</v>
          </cell>
          <cell r="B92">
            <v>3464</v>
          </cell>
          <cell r="C92">
            <v>27.9305205</v>
          </cell>
          <cell r="D92">
            <v>0</v>
          </cell>
          <cell r="E92">
            <v>27.9305205</v>
          </cell>
          <cell r="F92" t="str">
            <v>自制</v>
          </cell>
          <cell r="G92" t="str">
            <v>2016款 本田CRV 2.4L</v>
          </cell>
          <cell r="H92">
            <v>38</v>
          </cell>
          <cell r="I92">
            <v>37</v>
          </cell>
          <cell r="J92">
            <v>35</v>
          </cell>
          <cell r="K92">
            <v>34</v>
          </cell>
          <cell r="L92">
            <v>33</v>
          </cell>
          <cell r="M92">
            <v>31</v>
          </cell>
        </row>
        <row r="93">
          <cell r="A93" t="str">
            <v>DQ9042A1</v>
          </cell>
          <cell r="B93">
            <v>3409</v>
          </cell>
          <cell r="C93">
            <v>46.83</v>
          </cell>
          <cell r="D93">
            <v>0</v>
          </cell>
          <cell r="E93">
            <v>46.83</v>
          </cell>
          <cell r="F93" t="str">
            <v>调货</v>
          </cell>
          <cell r="G93" t="str">
            <v>江铃 驭胜 S330 1.5T</v>
          </cell>
          <cell r="H93">
            <v>56</v>
          </cell>
          <cell r="I93">
            <v>55</v>
          </cell>
          <cell r="J93">
            <v>54</v>
          </cell>
          <cell r="K93">
            <v>53</v>
          </cell>
          <cell r="L93">
            <v>53</v>
          </cell>
          <cell r="M93">
            <v>52</v>
          </cell>
        </row>
        <row r="94">
          <cell r="A94" t="str">
            <v>DQ9109T</v>
          </cell>
          <cell r="B94">
            <v>3390</v>
          </cell>
          <cell r="C94">
            <v>27.1500022133333</v>
          </cell>
          <cell r="D94">
            <v>0</v>
          </cell>
          <cell r="E94">
            <v>27.1500022133333</v>
          </cell>
          <cell r="F94" t="str">
            <v>自制</v>
          </cell>
          <cell r="G94" t="str">
            <v>本田6代雅阁</v>
          </cell>
          <cell r="H94">
            <v>37</v>
          </cell>
          <cell r="I94">
            <v>36</v>
          </cell>
          <cell r="J94">
            <v>34</v>
          </cell>
          <cell r="K94">
            <v>33</v>
          </cell>
          <cell r="L94">
            <v>32</v>
          </cell>
          <cell r="M94">
            <v>30</v>
          </cell>
        </row>
        <row r="95">
          <cell r="A95" t="str">
            <v>DQ9202</v>
          </cell>
          <cell r="B95">
            <v>3312</v>
          </cell>
          <cell r="C95">
            <v>29.2875385</v>
          </cell>
          <cell r="D95">
            <v>0</v>
          </cell>
          <cell r="E95">
            <v>29.2875385</v>
          </cell>
          <cell r="F95" t="str">
            <v>自制</v>
          </cell>
          <cell r="G95" t="str">
            <v>474三插</v>
          </cell>
          <cell r="H95">
            <v>40</v>
          </cell>
          <cell r="I95">
            <v>39</v>
          </cell>
          <cell r="J95">
            <v>37</v>
          </cell>
          <cell r="K95">
            <v>36</v>
          </cell>
          <cell r="L95">
            <v>34</v>
          </cell>
          <cell r="M95">
            <v>33</v>
          </cell>
        </row>
        <row r="96">
          <cell r="A96" t="str">
            <v>DQ9209A</v>
          </cell>
          <cell r="B96">
            <v>3275</v>
          </cell>
          <cell r="C96">
            <v>21.83888685</v>
          </cell>
          <cell r="D96">
            <v>0</v>
          </cell>
          <cell r="E96">
            <v>21.83888685</v>
          </cell>
          <cell r="F96" t="str">
            <v>自制</v>
          </cell>
          <cell r="G96" t="str">
            <v>哈飞赛马 赛豹 菱帅</v>
          </cell>
          <cell r="H96">
            <v>30</v>
          </cell>
          <cell r="I96">
            <v>29</v>
          </cell>
          <cell r="J96">
            <v>28</v>
          </cell>
          <cell r="K96">
            <v>27</v>
          </cell>
          <cell r="L96">
            <v>26</v>
          </cell>
          <cell r="M96">
            <v>25</v>
          </cell>
        </row>
        <row r="97">
          <cell r="A97" t="str">
            <v>DQ9101B3</v>
          </cell>
          <cell r="B97">
            <v>3199</v>
          </cell>
          <cell r="C97">
            <v>18.1448891166667</v>
          </cell>
          <cell r="D97">
            <v>0</v>
          </cell>
          <cell r="E97">
            <v>18.1448891166667</v>
          </cell>
          <cell r="F97" t="str">
            <v>自制</v>
          </cell>
          <cell r="G97" t="str">
            <v>27301-2B000</v>
          </cell>
          <cell r="H97">
            <v>25</v>
          </cell>
          <cell r="I97">
            <v>24</v>
          </cell>
          <cell r="J97">
            <v>23</v>
          </cell>
          <cell r="K97">
            <v>22</v>
          </cell>
          <cell r="L97">
            <v>21</v>
          </cell>
          <cell r="M97">
            <v>20</v>
          </cell>
        </row>
        <row r="98">
          <cell r="A98" t="str">
            <v>DQ9101C</v>
          </cell>
          <cell r="B98">
            <v>3132</v>
          </cell>
          <cell r="C98">
            <v>16.90645835</v>
          </cell>
          <cell r="D98">
            <v>0</v>
          </cell>
          <cell r="E98">
            <v>16.90645835</v>
          </cell>
          <cell r="F98" t="str">
            <v>自制</v>
          </cell>
          <cell r="G98" t="str">
            <v>现代 全新胜达(进口) 3.0L</v>
          </cell>
          <cell r="H98">
            <v>23</v>
          </cell>
          <cell r="I98">
            <v>22</v>
          </cell>
          <cell r="J98">
            <v>22</v>
          </cell>
          <cell r="K98">
            <v>21</v>
          </cell>
          <cell r="L98">
            <v>20</v>
          </cell>
          <cell r="M98">
            <v>19</v>
          </cell>
        </row>
        <row r="99">
          <cell r="A99" t="str">
            <v>DQ9101E</v>
          </cell>
          <cell r="B99">
            <v>3109</v>
          </cell>
          <cell r="C99">
            <v>16.6639159362069</v>
          </cell>
          <cell r="D99">
            <v>0</v>
          </cell>
          <cell r="E99">
            <v>16.6639159362069</v>
          </cell>
          <cell r="F99" t="str">
            <v>自制</v>
          </cell>
          <cell r="G99" t="str">
            <v>圣达菲2.7L</v>
          </cell>
          <cell r="H99">
            <v>23</v>
          </cell>
          <cell r="I99">
            <v>22</v>
          </cell>
          <cell r="J99">
            <v>21</v>
          </cell>
          <cell r="K99">
            <v>20</v>
          </cell>
          <cell r="L99">
            <v>20</v>
          </cell>
          <cell r="M99">
            <v>19</v>
          </cell>
        </row>
        <row r="100">
          <cell r="A100" t="str">
            <v>DQ9010K1</v>
          </cell>
          <cell r="B100">
            <v>2997</v>
          </cell>
          <cell r="C100">
            <v>29.5839660266667</v>
          </cell>
          <cell r="D100">
            <v>0</v>
          </cell>
          <cell r="E100">
            <v>29.5839660266667</v>
          </cell>
          <cell r="F100" t="str">
            <v>自制</v>
          </cell>
          <cell r="G100" t="str">
            <v>本田 哥瑞（1.5直喷）</v>
          </cell>
          <cell r="H100">
            <v>40</v>
          </cell>
          <cell r="I100">
            <v>39</v>
          </cell>
          <cell r="J100">
            <v>37</v>
          </cell>
          <cell r="K100">
            <v>36</v>
          </cell>
          <cell r="L100">
            <v>35</v>
          </cell>
          <cell r="M100">
            <v>33</v>
          </cell>
        </row>
        <row r="101">
          <cell r="A101" t="str">
            <v>DQ9402</v>
          </cell>
          <cell r="B101">
            <v>2996</v>
          </cell>
          <cell r="C101">
            <v>75.45523029</v>
          </cell>
          <cell r="D101">
            <v>0</v>
          </cell>
          <cell r="E101">
            <v>75.45523029</v>
          </cell>
          <cell r="F101" t="str">
            <v>自制</v>
          </cell>
          <cell r="G101" t="str">
            <v>标致307</v>
          </cell>
          <cell r="H101">
            <v>102</v>
          </cell>
          <cell r="I101">
            <v>99</v>
          </cell>
          <cell r="J101">
            <v>95</v>
          </cell>
          <cell r="K101">
            <v>91</v>
          </cell>
          <cell r="L101">
            <v>87</v>
          </cell>
          <cell r="M101">
            <v>84</v>
          </cell>
        </row>
        <row r="102">
          <cell r="A102" t="str">
            <v>DQ910838</v>
          </cell>
          <cell r="B102">
            <v>2976</v>
          </cell>
          <cell r="C102">
            <v>24.594718354</v>
          </cell>
          <cell r="D102">
            <v>0</v>
          </cell>
          <cell r="E102">
            <v>24.594718354</v>
          </cell>
          <cell r="F102" t="str">
            <v>自制</v>
          </cell>
          <cell r="G102" t="str">
            <v>丰田02238</v>
          </cell>
          <cell r="H102">
            <v>34</v>
          </cell>
          <cell r="I102">
            <v>32</v>
          </cell>
          <cell r="J102">
            <v>31</v>
          </cell>
          <cell r="K102">
            <v>30</v>
          </cell>
          <cell r="L102">
            <v>29</v>
          </cell>
          <cell r="M102">
            <v>28</v>
          </cell>
        </row>
        <row r="103">
          <cell r="A103" t="str">
            <v>DQ9005H</v>
          </cell>
          <cell r="B103">
            <v>2962</v>
          </cell>
          <cell r="C103">
            <v>16.500493669</v>
          </cell>
          <cell r="D103">
            <v>0</v>
          </cell>
          <cell r="E103">
            <v>16.500493669</v>
          </cell>
          <cell r="F103" t="str">
            <v>自制</v>
          </cell>
          <cell r="G103" t="str">
            <v>福特林肯05-08</v>
          </cell>
          <cell r="H103">
            <v>23</v>
          </cell>
          <cell r="I103">
            <v>22</v>
          </cell>
          <cell r="J103">
            <v>21</v>
          </cell>
          <cell r="K103">
            <v>20</v>
          </cell>
          <cell r="L103">
            <v>19</v>
          </cell>
          <cell r="M103">
            <v>19</v>
          </cell>
        </row>
        <row r="104">
          <cell r="A104" t="str">
            <v>DQ9002C1</v>
          </cell>
          <cell r="B104">
            <v>2933</v>
          </cell>
          <cell r="C104">
            <v>24.38078291</v>
          </cell>
          <cell r="D104">
            <v>0</v>
          </cell>
          <cell r="E104">
            <v>24.38078291</v>
          </cell>
          <cell r="F104" t="str">
            <v>自制</v>
          </cell>
          <cell r="G104" t="str">
            <v>马自达3</v>
          </cell>
          <cell r="H104">
            <v>33</v>
          </cell>
          <cell r="I104">
            <v>32</v>
          </cell>
          <cell r="J104">
            <v>31</v>
          </cell>
          <cell r="K104">
            <v>30</v>
          </cell>
          <cell r="L104">
            <v>29</v>
          </cell>
          <cell r="M104">
            <v>27</v>
          </cell>
        </row>
        <row r="105">
          <cell r="A105" t="str">
            <v>DQ9029B1</v>
          </cell>
          <cell r="B105">
            <v>2898</v>
          </cell>
          <cell r="C105">
            <v>26.0026585748386</v>
          </cell>
          <cell r="D105">
            <v>0.481181646505253</v>
          </cell>
          <cell r="E105">
            <v>25.5214769283333</v>
          </cell>
          <cell r="F105" t="str">
            <v>自制</v>
          </cell>
          <cell r="G105" t="str">
            <v>宝马1.5T</v>
          </cell>
          <cell r="H105">
            <v>36</v>
          </cell>
          <cell r="I105">
            <v>34</v>
          </cell>
          <cell r="J105">
            <v>33</v>
          </cell>
          <cell r="K105">
            <v>32</v>
          </cell>
          <cell r="L105">
            <v>30</v>
          </cell>
          <cell r="M105">
            <v>29</v>
          </cell>
        </row>
        <row r="106">
          <cell r="A106" t="str">
            <v>DQ9002</v>
          </cell>
          <cell r="B106">
            <v>2868</v>
          </cell>
          <cell r="C106">
            <v>27.066537718</v>
          </cell>
          <cell r="D106">
            <v>0</v>
          </cell>
          <cell r="E106">
            <v>27.066537718</v>
          </cell>
          <cell r="F106" t="str">
            <v>自制</v>
          </cell>
          <cell r="G106" t="str">
            <v>马六三插</v>
          </cell>
          <cell r="H106">
            <v>37</v>
          </cell>
          <cell r="I106">
            <v>36</v>
          </cell>
          <cell r="J106">
            <v>34</v>
          </cell>
          <cell r="K106">
            <v>33</v>
          </cell>
          <cell r="L106">
            <v>32</v>
          </cell>
          <cell r="M106">
            <v>30</v>
          </cell>
        </row>
        <row r="107">
          <cell r="A107" t="str">
            <v>DQ9219A4</v>
          </cell>
          <cell r="B107">
            <v>2839</v>
          </cell>
          <cell r="C107">
            <v>19.602069575</v>
          </cell>
          <cell r="D107">
            <v>0</v>
          </cell>
          <cell r="E107">
            <v>19.602069575</v>
          </cell>
          <cell r="F107" t="str">
            <v>自制</v>
          </cell>
          <cell r="G107" t="str">
            <v>广汽传祺GS4</v>
          </cell>
          <cell r="H107">
            <v>27</v>
          </cell>
          <cell r="I107">
            <v>26</v>
          </cell>
          <cell r="J107">
            <v>25</v>
          </cell>
          <cell r="K107">
            <v>24</v>
          </cell>
          <cell r="L107">
            <v>23</v>
          </cell>
          <cell r="M107">
            <v>22</v>
          </cell>
        </row>
        <row r="108">
          <cell r="A108" t="str">
            <v>DQ9205</v>
          </cell>
          <cell r="B108">
            <v>2813</v>
          </cell>
          <cell r="C108">
            <v>30.6054914</v>
          </cell>
          <cell r="D108">
            <v>0</v>
          </cell>
          <cell r="E108">
            <v>30.6054914</v>
          </cell>
          <cell r="F108" t="str">
            <v>自制</v>
          </cell>
          <cell r="G108" t="str">
            <v>哈飞赛马1.3</v>
          </cell>
          <cell r="H108">
            <v>42</v>
          </cell>
          <cell r="I108">
            <v>40</v>
          </cell>
          <cell r="J108">
            <v>39</v>
          </cell>
          <cell r="K108">
            <v>37</v>
          </cell>
          <cell r="L108">
            <v>36</v>
          </cell>
          <cell r="M108">
            <v>34</v>
          </cell>
        </row>
        <row r="109">
          <cell r="A109" t="str">
            <v>DQ9010</v>
          </cell>
          <cell r="B109">
            <v>2773</v>
          </cell>
          <cell r="C109">
            <v>25.90555759</v>
          </cell>
          <cell r="D109">
            <v>0</v>
          </cell>
          <cell r="E109">
            <v>25.90555759</v>
          </cell>
          <cell r="F109" t="str">
            <v>自制</v>
          </cell>
          <cell r="G109" t="str">
            <v>飞度1.3前排</v>
          </cell>
          <cell r="H109">
            <v>35</v>
          </cell>
          <cell r="I109">
            <v>34</v>
          </cell>
          <cell r="J109">
            <v>33</v>
          </cell>
          <cell r="K109">
            <v>32</v>
          </cell>
          <cell r="L109">
            <v>30</v>
          </cell>
          <cell r="M109">
            <v>29</v>
          </cell>
        </row>
        <row r="110">
          <cell r="A110" t="str">
            <v>DQ9017F1</v>
          </cell>
          <cell r="B110">
            <v>2750</v>
          </cell>
          <cell r="C110">
            <v>32.5756361788131</v>
          </cell>
          <cell r="D110">
            <v>0.623607608813082</v>
          </cell>
          <cell r="E110">
            <v>31.95202857</v>
          </cell>
          <cell r="F110" t="str">
            <v>自制</v>
          </cell>
          <cell r="G110" t="str">
            <v>沃尔沃S60</v>
          </cell>
          <cell r="H110">
            <v>44</v>
          </cell>
          <cell r="I110">
            <v>43</v>
          </cell>
          <cell r="J110">
            <v>41</v>
          </cell>
          <cell r="K110">
            <v>40</v>
          </cell>
          <cell r="L110">
            <v>38</v>
          </cell>
          <cell r="M110">
            <v>36</v>
          </cell>
        </row>
        <row r="111">
          <cell r="A111" t="str">
            <v>DQ910140</v>
          </cell>
          <cell r="B111">
            <v>2713</v>
          </cell>
          <cell r="C111">
            <v>18.6391182</v>
          </cell>
          <cell r="D111">
            <v>0</v>
          </cell>
          <cell r="E111">
            <v>18.6391182</v>
          </cell>
          <cell r="F111" t="str">
            <v>自制</v>
          </cell>
          <cell r="G111" t="str">
            <v>27301-04000</v>
          </cell>
          <cell r="H111">
            <v>26</v>
          </cell>
          <cell r="I111">
            <v>25</v>
          </cell>
          <cell r="J111">
            <v>24</v>
          </cell>
          <cell r="K111">
            <v>23</v>
          </cell>
          <cell r="L111">
            <v>22</v>
          </cell>
          <cell r="M111">
            <v>21</v>
          </cell>
        </row>
        <row r="112">
          <cell r="A112" t="str">
            <v>DQ9037C2</v>
          </cell>
          <cell r="B112">
            <v>2709</v>
          </cell>
          <cell r="C112">
            <v>29.4218631166667</v>
          </cell>
          <cell r="D112">
            <v>0</v>
          </cell>
          <cell r="E112">
            <v>29.4218631166667</v>
          </cell>
          <cell r="F112" t="str">
            <v>自制</v>
          </cell>
          <cell r="G112" t="str">
            <v>比亚迪476</v>
          </cell>
          <cell r="H112">
            <v>40</v>
          </cell>
          <cell r="I112">
            <v>39</v>
          </cell>
          <cell r="J112">
            <v>37</v>
          </cell>
          <cell r="K112">
            <v>36</v>
          </cell>
          <cell r="L112">
            <v>34</v>
          </cell>
          <cell r="M112">
            <v>33</v>
          </cell>
        </row>
        <row r="113">
          <cell r="A113" t="str">
            <v>DQ1212S</v>
          </cell>
          <cell r="B113">
            <v>2699</v>
          </cell>
          <cell r="C113">
            <v>30.65673578</v>
          </cell>
          <cell r="D113">
            <v>0</v>
          </cell>
          <cell r="E113">
            <v>30.65673578</v>
          </cell>
          <cell r="F113" t="str">
            <v>自制</v>
          </cell>
          <cell r="G113" t="str">
            <v>奇瑞477F发动机</v>
          </cell>
          <cell r="H113">
            <v>42</v>
          </cell>
          <cell r="I113">
            <v>40</v>
          </cell>
          <cell r="J113">
            <v>39</v>
          </cell>
          <cell r="K113">
            <v>37</v>
          </cell>
          <cell r="L113">
            <v>36</v>
          </cell>
          <cell r="M113">
            <v>34</v>
          </cell>
        </row>
        <row r="114">
          <cell r="A114" t="str">
            <v>DQ9036E1</v>
          </cell>
          <cell r="B114">
            <v>2681</v>
          </cell>
          <cell r="C114">
            <v>24.87274724</v>
          </cell>
          <cell r="D114">
            <v>0</v>
          </cell>
          <cell r="E114">
            <v>24.87274724</v>
          </cell>
          <cell r="F114" t="str">
            <v>自制</v>
          </cell>
          <cell r="G114" t="str">
            <v>克莱斯勒大捷龙</v>
          </cell>
          <cell r="H114">
            <v>34</v>
          </cell>
          <cell r="I114">
            <v>33</v>
          </cell>
          <cell r="J114">
            <v>32</v>
          </cell>
          <cell r="K114">
            <v>30</v>
          </cell>
          <cell r="L114">
            <v>29</v>
          </cell>
          <cell r="M114">
            <v>28</v>
          </cell>
        </row>
        <row r="115">
          <cell r="A115" t="str">
            <v>DQ9124A2</v>
          </cell>
          <cell r="B115">
            <v>2678</v>
          </cell>
          <cell r="C115">
            <v>20.9124478466667</v>
          </cell>
          <cell r="D115">
            <v>0</v>
          </cell>
          <cell r="E115">
            <v>20.9124478466667</v>
          </cell>
          <cell r="F115" t="str">
            <v>自制</v>
          </cell>
          <cell r="G115" t="str">
            <v>Jeep指南者 自由客 道奇 酷威 锋哲 铂锐2.0 2.4</v>
          </cell>
          <cell r="H115">
            <v>29</v>
          </cell>
          <cell r="I115">
            <v>28</v>
          </cell>
          <cell r="J115">
            <v>27</v>
          </cell>
          <cell r="K115">
            <v>26</v>
          </cell>
          <cell r="L115">
            <v>25</v>
          </cell>
          <cell r="M115">
            <v>24</v>
          </cell>
        </row>
        <row r="116">
          <cell r="A116" t="str">
            <v>DQ9119A</v>
          </cell>
          <cell r="B116">
            <v>2672</v>
          </cell>
          <cell r="C116">
            <v>30.00662418</v>
          </cell>
          <cell r="D116">
            <v>0</v>
          </cell>
          <cell r="E116">
            <v>30.00662418</v>
          </cell>
          <cell r="F116" t="str">
            <v>自制</v>
          </cell>
          <cell r="G116" t="str">
            <v>SPARK 1.2L/1.4L</v>
          </cell>
          <cell r="H116">
            <v>41</v>
          </cell>
          <cell r="I116">
            <v>40</v>
          </cell>
          <cell r="J116">
            <v>38</v>
          </cell>
          <cell r="K116">
            <v>37</v>
          </cell>
          <cell r="L116">
            <v>35</v>
          </cell>
          <cell r="M116">
            <v>34</v>
          </cell>
        </row>
        <row r="117">
          <cell r="A117" t="str">
            <v>DQ9103</v>
          </cell>
          <cell r="B117">
            <v>2660</v>
          </cell>
          <cell r="C117">
            <v>28.49066083</v>
          </cell>
          <cell r="D117">
            <v>0</v>
          </cell>
          <cell r="E117">
            <v>28.49066083</v>
          </cell>
          <cell r="F117" t="str">
            <v>自制</v>
          </cell>
          <cell r="G117" t="str">
            <v>帕萨特B5 铣胶面</v>
          </cell>
          <cell r="H117">
            <v>39</v>
          </cell>
          <cell r="I117">
            <v>38</v>
          </cell>
          <cell r="J117">
            <v>36</v>
          </cell>
          <cell r="K117">
            <v>35</v>
          </cell>
          <cell r="L117">
            <v>33</v>
          </cell>
          <cell r="M117">
            <v>32</v>
          </cell>
        </row>
        <row r="118">
          <cell r="A118" t="str">
            <v>DQ901811</v>
          </cell>
          <cell r="B118">
            <v>2643</v>
          </cell>
          <cell r="C118">
            <v>46.5436363636364</v>
          </cell>
          <cell r="D118">
            <v>0</v>
          </cell>
          <cell r="E118">
            <v>46.5436363636364</v>
          </cell>
          <cell r="F118" t="str">
            <v>调货</v>
          </cell>
          <cell r="G118" t="str">
            <v>丰田凯美瑞汉兰达2017-2018 3.5L</v>
          </cell>
          <cell r="H118">
            <v>56</v>
          </cell>
          <cell r="I118">
            <v>55</v>
          </cell>
          <cell r="J118">
            <v>54</v>
          </cell>
          <cell r="K118">
            <v>53</v>
          </cell>
          <cell r="L118">
            <v>53</v>
          </cell>
          <cell r="M118">
            <v>52</v>
          </cell>
        </row>
        <row r="119">
          <cell r="A119" t="str">
            <v>DQ9117C2</v>
          </cell>
          <cell r="B119">
            <v>2631</v>
          </cell>
          <cell r="C119">
            <v>38.241</v>
          </cell>
          <cell r="D119">
            <v>0</v>
          </cell>
          <cell r="E119">
            <v>38.241</v>
          </cell>
          <cell r="F119" t="str">
            <v>调货</v>
          </cell>
          <cell r="G119" t="str">
            <v>铃木奥拓2000-2002</v>
          </cell>
          <cell r="H119">
            <v>46</v>
          </cell>
          <cell r="I119">
            <v>45</v>
          </cell>
          <cell r="J119">
            <v>44</v>
          </cell>
          <cell r="K119">
            <v>44</v>
          </cell>
          <cell r="L119">
            <v>43</v>
          </cell>
          <cell r="M119">
            <v>43</v>
          </cell>
        </row>
        <row r="120">
          <cell r="A120" t="str">
            <v>DQ9210A2</v>
          </cell>
          <cell r="B120">
            <v>2624</v>
          </cell>
          <cell r="C120">
            <v>20.52375402</v>
          </cell>
          <cell r="D120">
            <v>0</v>
          </cell>
          <cell r="E120">
            <v>20.52375402</v>
          </cell>
          <cell r="F120" t="str">
            <v>自制</v>
          </cell>
          <cell r="G120" t="str">
            <v>长安欧尚</v>
          </cell>
          <cell r="H120">
            <v>28</v>
          </cell>
          <cell r="I120">
            <v>27</v>
          </cell>
          <cell r="J120">
            <v>26</v>
          </cell>
          <cell r="K120">
            <v>25</v>
          </cell>
          <cell r="L120">
            <v>24</v>
          </cell>
          <cell r="M120">
            <v>23</v>
          </cell>
        </row>
        <row r="121">
          <cell r="A121" t="str">
            <v>DQ9030A1</v>
          </cell>
          <cell r="B121">
            <v>2624</v>
          </cell>
          <cell r="C121">
            <v>33.482999</v>
          </cell>
          <cell r="D121">
            <v>0</v>
          </cell>
          <cell r="E121">
            <v>33.482999</v>
          </cell>
          <cell r="F121" t="str">
            <v>自制</v>
          </cell>
          <cell r="G121" t="str">
            <v>福特致胜2.0T</v>
          </cell>
          <cell r="H121">
            <v>46</v>
          </cell>
          <cell r="I121">
            <v>44</v>
          </cell>
          <cell r="J121">
            <v>42</v>
          </cell>
          <cell r="K121">
            <v>41</v>
          </cell>
          <cell r="L121">
            <v>39</v>
          </cell>
          <cell r="M121">
            <v>37</v>
          </cell>
        </row>
        <row r="122">
          <cell r="A122" t="str">
            <v>DQ9040B1</v>
          </cell>
          <cell r="B122">
            <v>2608</v>
          </cell>
          <cell r="C122">
            <v>25.1284238566667</v>
          </cell>
          <cell r="D122">
            <v>0</v>
          </cell>
          <cell r="E122">
            <v>25.1284238566667</v>
          </cell>
          <cell r="F122" t="str">
            <v>自制</v>
          </cell>
          <cell r="G122" t="str">
            <v>长安逸动 1.5T</v>
          </cell>
          <cell r="H122">
            <v>34</v>
          </cell>
          <cell r="I122">
            <v>33</v>
          </cell>
          <cell r="J122">
            <v>32</v>
          </cell>
          <cell r="K122">
            <v>31</v>
          </cell>
          <cell r="L122">
            <v>29</v>
          </cell>
          <cell r="M122">
            <v>28</v>
          </cell>
        </row>
        <row r="123">
          <cell r="A123" t="str">
            <v>DQ9034A1</v>
          </cell>
          <cell r="B123">
            <v>2599</v>
          </cell>
          <cell r="C123">
            <v>32.235</v>
          </cell>
          <cell r="D123">
            <v>0</v>
          </cell>
          <cell r="E123">
            <v>32.235</v>
          </cell>
          <cell r="F123" t="str">
            <v>调货</v>
          </cell>
          <cell r="G123" t="str">
            <v>纳智捷2.0T（直杆）</v>
          </cell>
          <cell r="H123">
            <v>39</v>
          </cell>
          <cell r="I123">
            <v>38</v>
          </cell>
          <cell r="J123">
            <v>38</v>
          </cell>
          <cell r="K123">
            <v>37</v>
          </cell>
          <cell r="L123">
            <v>37</v>
          </cell>
          <cell r="M123">
            <v>36</v>
          </cell>
        </row>
        <row r="124">
          <cell r="A124" t="str">
            <v>DQ9402E1</v>
          </cell>
          <cell r="B124">
            <v>2592</v>
          </cell>
          <cell r="C124">
            <v>99.5329172133333</v>
          </cell>
          <cell r="D124">
            <v>0</v>
          </cell>
          <cell r="E124">
            <v>99.5329172133333</v>
          </cell>
          <cell r="F124" t="str">
            <v>自制</v>
          </cell>
          <cell r="G124" t="str">
            <v>新款爱丽舍</v>
          </cell>
          <cell r="H124">
            <v>135</v>
          </cell>
          <cell r="I124">
            <v>130</v>
          </cell>
          <cell r="J124">
            <v>125</v>
          </cell>
          <cell r="K124">
            <v>120</v>
          </cell>
          <cell r="L124">
            <v>115</v>
          </cell>
          <cell r="M124">
            <v>110</v>
          </cell>
        </row>
        <row r="125">
          <cell r="A125" t="str">
            <v>DQ9113C</v>
          </cell>
          <cell r="B125">
            <v>2568</v>
          </cell>
          <cell r="C125">
            <v>28.92593454</v>
          </cell>
          <cell r="D125">
            <v>0</v>
          </cell>
          <cell r="E125">
            <v>28.92593454</v>
          </cell>
          <cell r="F125" t="str">
            <v>自制</v>
          </cell>
          <cell r="G125" t="str">
            <v>帕杰罗欧蓝德富利卡</v>
          </cell>
          <cell r="H125">
            <v>40</v>
          </cell>
          <cell r="I125">
            <v>38</v>
          </cell>
          <cell r="J125">
            <v>37</v>
          </cell>
          <cell r="K125">
            <v>35</v>
          </cell>
          <cell r="L125">
            <v>34</v>
          </cell>
          <cell r="M125">
            <v>32</v>
          </cell>
        </row>
        <row r="126">
          <cell r="A126" t="str">
            <v>DQ9005</v>
          </cell>
          <cell r="B126">
            <v>2535</v>
          </cell>
          <cell r="C126">
            <v>15.734926669</v>
          </cell>
          <cell r="D126">
            <v>0</v>
          </cell>
          <cell r="E126">
            <v>15.734926669</v>
          </cell>
          <cell r="F126" t="str">
            <v>自制</v>
          </cell>
          <cell r="G126" t="str">
            <v>小福特</v>
          </cell>
          <cell r="H126">
            <v>22</v>
          </cell>
          <cell r="I126">
            <v>21</v>
          </cell>
          <cell r="J126">
            <v>20</v>
          </cell>
          <cell r="K126">
            <v>19</v>
          </cell>
          <cell r="L126">
            <v>19</v>
          </cell>
          <cell r="M126">
            <v>18</v>
          </cell>
        </row>
        <row r="127">
          <cell r="A127" t="str">
            <v>DQ9101J1</v>
          </cell>
          <cell r="B127">
            <v>2535</v>
          </cell>
          <cell r="C127">
            <v>17.9967781666667</v>
          </cell>
          <cell r="D127">
            <v>0</v>
          </cell>
          <cell r="E127">
            <v>17.9967781666667</v>
          </cell>
          <cell r="F127" t="str">
            <v>自制</v>
          </cell>
          <cell r="G127" t="str">
            <v>雅绅特</v>
          </cell>
          <cell r="H127">
            <v>25</v>
          </cell>
          <cell r="I127">
            <v>24</v>
          </cell>
          <cell r="J127">
            <v>23</v>
          </cell>
          <cell r="K127">
            <v>22</v>
          </cell>
          <cell r="L127">
            <v>21</v>
          </cell>
          <cell r="M127">
            <v>20</v>
          </cell>
        </row>
        <row r="128">
          <cell r="A128" t="str">
            <v>DQ492</v>
          </cell>
          <cell r="B128">
            <v>2493</v>
          </cell>
          <cell r="C128">
            <v>65.462460589242</v>
          </cell>
          <cell r="D128">
            <v>-2.01972757742473</v>
          </cell>
          <cell r="E128">
            <v>67.4821881666667</v>
          </cell>
          <cell r="F128" t="str">
            <v>自制</v>
          </cell>
          <cell r="G128" t="str">
            <v>捷达王</v>
          </cell>
          <cell r="H128">
            <v>89</v>
          </cell>
          <cell r="I128">
            <v>86</v>
          </cell>
          <cell r="J128">
            <v>82</v>
          </cell>
          <cell r="K128">
            <v>79</v>
          </cell>
          <cell r="L128">
            <v>76</v>
          </cell>
          <cell r="M128">
            <v>73</v>
          </cell>
        </row>
        <row r="129">
          <cell r="A129" t="str">
            <v>DQ9046A1</v>
          </cell>
          <cell r="B129">
            <v>2476</v>
          </cell>
          <cell r="C129">
            <v>21.70479674</v>
          </cell>
          <cell r="D129">
            <v>0</v>
          </cell>
          <cell r="E129">
            <v>21.70479674</v>
          </cell>
          <cell r="F129" t="str">
            <v>自制</v>
          </cell>
          <cell r="G129" t="str">
            <v>江淮瑞风M3 1.6L</v>
          </cell>
          <cell r="H129">
            <v>30</v>
          </cell>
          <cell r="I129">
            <v>29</v>
          </cell>
          <cell r="J129">
            <v>28</v>
          </cell>
          <cell r="K129">
            <v>27</v>
          </cell>
          <cell r="L129">
            <v>25</v>
          </cell>
          <cell r="M129">
            <v>24</v>
          </cell>
        </row>
        <row r="130">
          <cell r="A130" t="str">
            <v>DQ9107</v>
          </cell>
          <cell r="B130">
            <v>2462</v>
          </cell>
          <cell r="C130">
            <v>17.8068005966667</v>
          </cell>
          <cell r="D130">
            <v>0</v>
          </cell>
          <cell r="E130">
            <v>17.8068005966667</v>
          </cell>
          <cell r="F130" t="str">
            <v>自制</v>
          </cell>
          <cell r="G130" t="str">
            <v>一汽威志 威乐</v>
          </cell>
          <cell r="H130">
            <v>25</v>
          </cell>
          <cell r="I130">
            <v>24</v>
          </cell>
          <cell r="J130">
            <v>23</v>
          </cell>
          <cell r="K130">
            <v>22</v>
          </cell>
          <cell r="L130">
            <v>21</v>
          </cell>
          <cell r="M130">
            <v>20</v>
          </cell>
        </row>
        <row r="131">
          <cell r="A131" t="str">
            <v>DQ9114L</v>
          </cell>
          <cell r="B131">
            <v>2353</v>
          </cell>
          <cell r="C131">
            <v>29.7124167422159</v>
          </cell>
          <cell r="D131">
            <v>0.583154448215925</v>
          </cell>
          <cell r="E131">
            <v>29.129262294</v>
          </cell>
          <cell r="F131" t="str">
            <v>自制</v>
          </cell>
          <cell r="G131" t="str">
            <v>途锐联体短管</v>
          </cell>
          <cell r="H131">
            <v>41</v>
          </cell>
          <cell r="I131">
            <v>39</v>
          </cell>
          <cell r="J131">
            <v>38</v>
          </cell>
          <cell r="K131">
            <v>36</v>
          </cell>
          <cell r="L131">
            <v>35</v>
          </cell>
          <cell r="M131">
            <v>33</v>
          </cell>
        </row>
        <row r="132">
          <cell r="A132" t="str">
            <v>DQ901810</v>
          </cell>
          <cell r="B132">
            <v>2298</v>
          </cell>
          <cell r="C132">
            <v>46.83</v>
          </cell>
          <cell r="D132">
            <v>0</v>
          </cell>
          <cell r="E132">
            <v>46.83</v>
          </cell>
          <cell r="F132" t="str">
            <v>调货</v>
          </cell>
          <cell r="G132" t="str">
            <v>丰田2017-201818致炫</v>
          </cell>
          <cell r="H132">
            <v>56</v>
          </cell>
          <cell r="I132">
            <v>55</v>
          </cell>
          <cell r="J132">
            <v>54</v>
          </cell>
          <cell r="K132">
            <v>53</v>
          </cell>
          <cell r="L132">
            <v>53</v>
          </cell>
          <cell r="M132">
            <v>52</v>
          </cell>
        </row>
        <row r="133">
          <cell r="A133" t="str">
            <v>DQ9005J1</v>
          </cell>
          <cell r="B133">
            <v>2282</v>
          </cell>
          <cell r="C133">
            <v>29.80365157</v>
          </cell>
          <cell r="D133">
            <v>0</v>
          </cell>
          <cell r="E133">
            <v>29.80365157</v>
          </cell>
          <cell r="F133" t="str">
            <v>自制</v>
          </cell>
          <cell r="G133" t="str">
            <v>新蒙迪欧1.5T/新翼虎1.5T</v>
          </cell>
          <cell r="H133">
            <v>41</v>
          </cell>
          <cell r="I133">
            <v>39</v>
          </cell>
          <cell r="J133">
            <v>38</v>
          </cell>
          <cell r="K133">
            <v>36</v>
          </cell>
          <cell r="L133">
            <v>35</v>
          </cell>
          <cell r="M133">
            <v>33</v>
          </cell>
        </row>
        <row r="134">
          <cell r="A134" t="str">
            <v>DQ9036C2</v>
          </cell>
          <cell r="B134">
            <v>2251</v>
          </cell>
          <cell r="C134">
            <v>21.33036631</v>
          </cell>
          <cell r="D134">
            <v>0</v>
          </cell>
          <cell r="E134">
            <v>21.33036631</v>
          </cell>
          <cell r="F134" t="str">
            <v>自制</v>
          </cell>
          <cell r="G134" t="str">
            <v>jeep 自由光2.0L</v>
          </cell>
          <cell r="H134">
            <v>29</v>
          </cell>
          <cell r="I134">
            <v>28</v>
          </cell>
          <cell r="J134">
            <v>27</v>
          </cell>
          <cell r="K134">
            <v>26</v>
          </cell>
          <cell r="L134">
            <v>25</v>
          </cell>
          <cell r="M134">
            <v>24</v>
          </cell>
        </row>
        <row r="135">
          <cell r="A135" t="str">
            <v>DQ901876</v>
          </cell>
          <cell r="B135">
            <v>2237</v>
          </cell>
          <cell r="C135">
            <v>33.8196625259867</v>
          </cell>
          <cell r="D135">
            <v>2.23111487598671</v>
          </cell>
          <cell r="E135">
            <v>31.58854765</v>
          </cell>
          <cell r="F135" t="str">
            <v>自制</v>
          </cell>
          <cell r="G135" t="str">
            <v>丰田凯美瑞2.0L</v>
          </cell>
          <cell r="H135">
            <v>46</v>
          </cell>
          <cell r="I135">
            <v>44</v>
          </cell>
          <cell r="J135">
            <v>43</v>
          </cell>
          <cell r="K135">
            <v>41</v>
          </cell>
          <cell r="L135">
            <v>39</v>
          </cell>
          <cell r="M135">
            <v>38</v>
          </cell>
        </row>
        <row r="136">
          <cell r="A136" t="str">
            <v>DQ9007C1</v>
          </cell>
          <cell r="B136">
            <v>2221</v>
          </cell>
          <cell r="C136">
            <v>30.6527263173784</v>
          </cell>
          <cell r="D136">
            <v>0.821286877378409</v>
          </cell>
          <cell r="E136">
            <v>29.83143944</v>
          </cell>
          <cell r="F136" t="str">
            <v>自制</v>
          </cell>
          <cell r="G136" t="str">
            <v>途胜1.6T</v>
          </cell>
          <cell r="H136">
            <v>42</v>
          </cell>
          <cell r="I136">
            <v>40</v>
          </cell>
          <cell r="J136">
            <v>39</v>
          </cell>
          <cell r="K136">
            <v>37</v>
          </cell>
          <cell r="L136">
            <v>36</v>
          </cell>
          <cell r="M136">
            <v>34</v>
          </cell>
        </row>
        <row r="137">
          <cell r="A137" t="str">
            <v>DQ9201A</v>
          </cell>
          <cell r="B137">
            <v>2198</v>
          </cell>
          <cell r="C137">
            <v>21.8993775</v>
          </cell>
          <cell r="D137">
            <v>0</v>
          </cell>
          <cell r="E137">
            <v>21.8993775</v>
          </cell>
          <cell r="F137" t="str">
            <v>自制</v>
          </cell>
          <cell r="G137" t="str">
            <v>474两插</v>
          </cell>
          <cell r="H137">
            <v>30</v>
          </cell>
          <cell r="I137">
            <v>29</v>
          </cell>
          <cell r="J137">
            <v>28</v>
          </cell>
          <cell r="K137">
            <v>27</v>
          </cell>
          <cell r="L137">
            <v>26</v>
          </cell>
          <cell r="M137">
            <v>25</v>
          </cell>
        </row>
        <row r="138">
          <cell r="A138" t="str">
            <v>DQ9158A1</v>
          </cell>
          <cell r="B138">
            <v>2172</v>
          </cell>
          <cell r="C138">
            <v>23.61705171</v>
          </cell>
          <cell r="D138">
            <v>0</v>
          </cell>
          <cell r="E138">
            <v>23.61705171</v>
          </cell>
          <cell r="F138" t="str">
            <v>自制</v>
          </cell>
          <cell r="G138" t="str">
            <v>道奇杜兰戈指挥官</v>
          </cell>
          <cell r="H138">
            <v>32</v>
          </cell>
          <cell r="I138">
            <v>31</v>
          </cell>
          <cell r="J138">
            <v>30</v>
          </cell>
          <cell r="K138">
            <v>29</v>
          </cell>
          <cell r="L138">
            <v>28</v>
          </cell>
          <cell r="M138">
            <v>26</v>
          </cell>
        </row>
        <row r="139">
          <cell r="A139" t="str">
            <v>DQ9040C2</v>
          </cell>
          <cell r="B139">
            <v>2147</v>
          </cell>
          <cell r="C139">
            <v>23.8848992666667</v>
          </cell>
          <cell r="D139">
            <v>0</v>
          </cell>
          <cell r="E139">
            <v>23.8848992666667</v>
          </cell>
          <cell r="F139" t="str">
            <v>自制</v>
          </cell>
          <cell r="G139" t="str">
            <v>众泰T300 1.5T</v>
          </cell>
          <cell r="H139">
            <v>33</v>
          </cell>
          <cell r="I139">
            <v>32</v>
          </cell>
          <cell r="J139">
            <v>30</v>
          </cell>
          <cell r="K139">
            <v>29</v>
          </cell>
          <cell r="L139">
            <v>28</v>
          </cell>
          <cell r="M139">
            <v>27</v>
          </cell>
        </row>
        <row r="140">
          <cell r="A140" t="str">
            <v>DQ9038A2</v>
          </cell>
          <cell r="B140">
            <v>2106</v>
          </cell>
          <cell r="C140">
            <v>22.958771</v>
          </cell>
          <cell r="D140">
            <v>0</v>
          </cell>
          <cell r="E140">
            <v>22.958771</v>
          </cell>
          <cell r="F140" t="str">
            <v>自制</v>
          </cell>
          <cell r="G140" t="str">
            <v>别克 英朗 GT 1.5L</v>
          </cell>
          <cell r="H140">
            <v>31</v>
          </cell>
          <cell r="I140">
            <v>30</v>
          </cell>
          <cell r="J140">
            <v>29</v>
          </cell>
          <cell r="K140">
            <v>28</v>
          </cell>
          <cell r="L140">
            <v>27</v>
          </cell>
          <cell r="M140">
            <v>26</v>
          </cell>
        </row>
        <row r="141">
          <cell r="A141" t="str">
            <v>DQ9124A1</v>
          </cell>
          <cell r="B141">
            <v>2090</v>
          </cell>
          <cell r="C141">
            <v>21.0081478466667</v>
          </cell>
          <cell r="D141">
            <v>0</v>
          </cell>
          <cell r="E141">
            <v>21.0081478466667</v>
          </cell>
          <cell r="F141" t="str">
            <v>自制</v>
          </cell>
          <cell r="G141" t="str">
            <v>道奇酷博 锋哲 300C 酷威 铂锐2.0 2.4 2.7</v>
          </cell>
          <cell r="H141">
            <v>29</v>
          </cell>
          <cell r="I141">
            <v>28</v>
          </cell>
          <cell r="J141">
            <v>27</v>
          </cell>
          <cell r="K141">
            <v>26</v>
          </cell>
          <cell r="L141">
            <v>25</v>
          </cell>
          <cell r="M141">
            <v>24</v>
          </cell>
        </row>
        <row r="142">
          <cell r="A142" t="str">
            <v>DQ9207</v>
          </cell>
          <cell r="B142">
            <v>2081</v>
          </cell>
          <cell r="C142">
            <v>22.3789225</v>
          </cell>
          <cell r="D142">
            <v>0</v>
          </cell>
          <cell r="E142">
            <v>22.3789225</v>
          </cell>
          <cell r="F142" t="str">
            <v>自制</v>
          </cell>
          <cell r="G142" t="str">
            <v>江淮瑞风两插</v>
          </cell>
          <cell r="H142">
            <v>31</v>
          </cell>
          <cell r="I142">
            <v>30</v>
          </cell>
          <cell r="J142">
            <v>28</v>
          </cell>
          <cell r="K142">
            <v>27</v>
          </cell>
          <cell r="L142">
            <v>26</v>
          </cell>
          <cell r="M142">
            <v>25</v>
          </cell>
        </row>
        <row r="143">
          <cell r="A143" t="str">
            <v>DQ9117D1</v>
          </cell>
          <cell r="B143">
            <v>2075</v>
          </cell>
          <cell r="C143">
            <v>27.2663140166667</v>
          </cell>
          <cell r="D143">
            <v>0</v>
          </cell>
          <cell r="E143">
            <v>27.2663140166667</v>
          </cell>
          <cell r="F143" t="str">
            <v>自制</v>
          </cell>
          <cell r="G143" t="str">
            <v>铃木奥拓5 2009-2016款</v>
          </cell>
          <cell r="H143">
            <v>37</v>
          </cell>
          <cell r="I143">
            <v>36</v>
          </cell>
          <cell r="J143">
            <v>35</v>
          </cell>
          <cell r="K143">
            <v>33</v>
          </cell>
          <cell r="L143">
            <v>32</v>
          </cell>
          <cell r="M143">
            <v>30</v>
          </cell>
        </row>
        <row r="144">
          <cell r="A144" t="str">
            <v>DQ9202A</v>
          </cell>
          <cell r="B144">
            <v>2043</v>
          </cell>
          <cell r="C144">
            <v>30.159536</v>
          </cell>
          <cell r="D144">
            <v>0</v>
          </cell>
          <cell r="E144">
            <v>30.159536</v>
          </cell>
          <cell r="F144" t="str">
            <v>自制</v>
          </cell>
          <cell r="G144" t="str">
            <v>三菱铃木</v>
          </cell>
          <cell r="H144">
            <v>41</v>
          </cell>
          <cell r="I144">
            <v>40</v>
          </cell>
          <cell r="J144">
            <v>38</v>
          </cell>
          <cell r="K144">
            <v>37</v>
          </cell>
          <cell r="L144">
            <v>35</v>
          </cell>
          <cell r="M144">
            <v>34</v>
          </cell>
        </row>
        <row r="145">
          <cell r="A145" t="str">
            <v>DQ910837</v>
          </cell>
          <cell r="B145">
            <v>2024</v>
          </cell>
          <cell r="C145">
            <v>25.138140354</v>
          </cell>
          <cell r="D145">
            <v>0</v>
          </cell>
          <cell r="E145">
            <v>25.138140354</v>
          </cell>
          <cell r="F145" t="str">
            <v>自制</v>
          </cell>
          <cell r="G145" t="str">
            <v>丰田02237</v>
          </cell>
          <cell r="H145">
            <v>34</v>
          </cell>
          <cell r="I145">
            <v>33</v>
          </cell>
          <cell r="J145">
            <v>32</v>
          </cell>
          <cell r="K145">
            <v>31</v>
          </cell>
          <cell r="L145">
            <v>29</v>
          </cell>
          <cell r="M145">
            <v>28</v>
          </cell>
        </row>
        <row r="146">
          <cell r="A146" t="str">
            <v>DQ9021G1</v>
          </cell>
          <cell r="B146">
            <v>2023</v>
          </cell>
          <cell r="C146">
            <v>21.08725784</v>
          </cell>
          <cell r="D146">
            <v>0</v>
          </cell>
          <cell r="E146">
            <v>21.08725784</v>
          </cell>
          <cell r="F146" t="str">
            <v>自制</v>
          </cell>
          <cell r="G146" t="str">
            <v>SM3  1.6</v>
          </cell>
          <cell r="H146">
            <v>29</v>
          </cell>
          <cell r="I146">
            <v>28</v>
          </cell>
          <cell r="J146">
            <v>27</v>
          </cell>
          <cell r="K146">
            <v>26</v>
          </cell>
          <cell r="L146">
            <v>25</v>
          </cell>
          <cell r="M146">
            <v>24</v>
          </cell>
        </row>
        <row r="147">
          <cell r="A147" t="str">
            <v>DQ9040A1</v>
          </cell>
          <cell r="B147">
            <v>2000</v>
          </cell>
          <cell r="C147">
            <v>22.69644554</v>
          </cell>
          <cell r="D147">
            <v>0</v>
          </cell>
          <cell r="E147">
            <v>22.69644554</v>
          </cell>
          <cell r="F147" t="str">
            <v>自制</v>
          </cell>
          <cell r="G147" t="str">
            <v>长安CS75 15年款</v>
          </cell>
          <cell r="H147">
            <v>31</v>
          </cell>
          <cell r="I147">
            <v>30</v>
          </cell>
          <cell r="J147">
            <v>29</v>
          </cell>
          <cell r="K147">
            <v>28</v>
          </cell>
          <cell r="L147">
            <v>27</v>
          </cell>
          <cell r="M147">
            <v>25</v>
          </cell>
        </row>
        <row r="148">
          <cell r="A148" t="str">
            <v>DQ9048A1</v>
          </cell>
          <cell r="B148">
            <v>1980</v>
          </cell>
          <cell r="C148">
            <v>21.86817854</v>
          </cell>
          <cell r="D148">
            <v>0</v>
          </cell>
          <cell r="E148">
            <v>21.86817854</v>
          </cell>
          <cell r="F148" t="str">
            <v>自制</v>
          </cell>
          <cell r="G148" t="str">
            <v>观致 观致3 1.6T、斯威 X3 1.5T</v>
          </cell>
          <cell r="H148">
            <v>30</v>
          </cell>
          <cell r="I148">
            <v>29</v>
          </cell>
          <cell r="J148">
            <v>28</v>
          </cell>
          <cell r="K148">
            <v>27</v>
          </cell>
          <cell r="L148">
            <v>26</v>
          </cell>
          <cell r="M148">
            <v>25</v>
          </cell>
        </row>
        <row r="149">
          <cell r="A149" t="str">
            <v>DQ9007E1</v>
          </cell>
          <cell r="B149">
            <v>1975</v>
          </cell>
          <cell r="C149">
            <v>33.17537047</v>
          </cell>
          <cell r="D149">
            <v>0</v>
          </cell>
          <cell r="E149">
            <v>33.17537047</v>
          </cell>
          <cell r="F149" t="str">
            <v>自制</v>
          </cell>
          <cell r="G149" t="str">
            <v>现代领动1.4T</v>
          </cell>
          <cell r="H149">
            <v>45</v>
          </cell>
          <cell r="I149">
            <v>44</v>
          </cell>
          <cell r="J149">
            <v>42</v>
          </cell>
          <cell r="K149">
            <v>40</v>
          </cell>
          <cell r="L149">
            <v>39</v>
          </cell>
          <cell r="M149">
            <v>37</v>
          </cell>
        </row>
        <row r="150">
          <cell r="A150" t="str">
            <v>DQ9219B3</v>
          </cell>
          <cell r="B150">
            <v>1944</v>
          </cell>
          <cell r="C150">
            <v>22.4261208246667</v>
          </cell>
          <cell r="D150">
            <v>0</v>
          </cell>
          <cell r="E150">
            <v>22.4261208246667</v>
          </cell>
          <cell r="F150" t="str">
            <v>自制</v>
          </cell>
          <cell r="G150" t="str">
            <v>吉利帝豪</v>
          </cell>
          <cell r="H150">
            <v>31</v>
          </cell>
          <cell r="I150">
            <v>30</v>
          </cell>
          <cell r="J150">
            <v>29</v>
          </cell>
          <cell r="K150">
            <v>27</v>
          </cell>
          <cell r="L150">
            <v>26</v>
          </cell>
          <cell r="M150">
            <v>25</v>
          </cell>
        </row>
        <row r="151">
          <cell r="A151" t="str">
            <v>DQ9206</v>
          </cell>
          <cell r="B151">
            <v>1937</v>
          </cell>
          <cell r="C151">
            <v>30.5406475</v>
          </cell>
          <cell r="D151">
            <v>0</v>
          </cell>
          <cell r="E151">
            <v>30.5406475</v>
          </cell>
          <cell r="F151" t="str">
            <v>自制</v>
          </cell>
          <cell r="G151" t="str">
            <v>东方之子</v>
          </cell>
          <cell r="H151">
            <v>42</v>
          </cell>
          <cell r="I151">
            <v>40</v>
          </cell>
          <cell r="J151">
            <v>39</v>
          </cell>
          <cell r="K151">
            <v>37</v>
          </cell>
          <cell r="L151">
            <v>36</v>
          </cell>
          <cell r="M151">
            <v>34</v>
          </cell>
        </row>
        <row r="152">
          <cell r="A152" t="str">
            <v>DQ9033C1</v>
          </cell>
          <cell r="B152">
            <v>1928</v>
          </cell>
          <cell r="C152">
            <v>28.2780541308333</v>
          </cell>
          <cell r="D152">
            <v>0</v>
          </cell>
          <cell r="E152">
            <v>28.2780541308333</v>
          </cell>
          <cell r="F152" t="str">
            <v>自制</v>
          </cell>
          <cell r="G152" t="str">
            <v>宝腾 至尊S</v>
          </cell>
          <cell r="H152">
            <v>39</v>
          </cell>
          <cell r="I152">
            <v>37</v>
          </cell>
          <cell r="J152">
            <v>36</v>
          </cell>
          <cell r="K152">
            <v>34</v>
          </cell>
          <cell r="L152">
            <v>33</v>
          </cell>
          <cell r="M152">
            <v>32</v>
          </cell>
        </row>
        <row r="153">
          <cell r="A153" t="str">
            <v>DQ9122A1</v>
          </cell>
          <cell r="B153">
            <v>1925</v>
          </cell>
          <cell r="C153">
            <v>44.7364576666667</v>
          </cell>
          <cell r="D153">
            <v>0</v>
          </cell>
          <cell r="E153">
            <v>44.7364576666667</v>
          </cell>
          <cell r="F153" t="str">
            <v>自制</v>
          </cell>
          <cell r="G153" t="str">
            <v>悍马</v>
          </cell>
          <cell r="H153">
            <v>61</v>
          </cell>
          <cell r="I153">
            <v>59</v>
          </cell>
          <cell r="J153">
            <v>56</v>
          </cell>
          <cell r="K153">
            <v>54</v>
          </cell>
          <cell r="L153">
            <v>52</v>
          </cell>
          <cell r="M153">
            <v>50</v>
          </cell>
        </row>
        <row r="154">
          <cell r="A154" t="str">
            <v>DQ9406</v>
          </cell>
          <cell r="B154">
            <v>1922</v>
          </cell>
          <cell r="C154">
            <v>78.05</v>
          </cell>
          <cell r="D154">
            <v>0</v>
          </cell>
          <cell r="E154">
            <v>78.05</v>
          </cell>
          <cell r="F154" t="str">
            <v>调货</v>
          </cell>
          <cell r="G154" t="str">
            <v>科鲁兹160</v>
          </cell>
          <cell r="H154">
            <v>93</v>
          </cell>
          <cell r="I154">
            <v>92</v>
          </cell>
          <cell r="J154">
            <v>90</v>
          </cell>
          <cell r="K154">
            <v>89</v>
          </cell>
          <cell r="L154">
            <v>88</v>
          </cell>
          <cell r="M154">
            <v>86</v>
          </cell>
        </row>
        <row r="155">
          <cell r="A155" t="str">
            <v>DQ9031B1</v>
          </cell>
          <cell r="B155">
            <v>1896</v>
          </cell>
          <cell r="C155">
            <v>22.8335435333333</v>
          </cell>
          <cell r="D155">
            <v>0</v>
          </cell>
          <cell r="E155">
            <v>22.8335435333333</v>
          </cell>
          <cell r="F155" t="str">
            <v>自制</v>
          </cell>
          <cell r="G155" t="str">
            <v>名爵 ZS 1.5L</v>
          </cell>
          <cell r="H155">
            <v>31</v>
          </cell>
          <cell r="I155">
            <v>30</v>
          </cell>
          <cell r="J155">
            <v>29</v>
          </cell>
          <cell r="K155">
            <v>28</v>
          </cell>
          <cell r="L155">
            <v>27</v>
          </cell>
          <cell r="M155">
            <v>26</v>
          </cell>
        </row>
        <row r="156">
          <cell r="A156" t="str">
            <v>DQ9017C1</v>
          </cell>
          <cell r="B156">
            <v>1880</v>
          </cell>
          <cell r="C156">
            <v>32.2317770069214</v>
          </cell>
          <cell r="D156">
            <v>0.464844436254727</v>
          </cell>
          <cell r="E156">
            <v>31.7669325706667</v>
          </cell>
          <cell r="F156" t="str">
            <v>自制</v>
          </cell>
          <cell r="G156" t="str">
            <v>沃尔沃</v>
          </cell>
          <cell r="H156">
            <v>44</v>
          </cell>
          <cell r="I156">
            <v>42</v>
          </cell>
          <cell r="J156">
            <v>41</v>
          </cell>
          <cell r="K156">
            <v>39</v>
          </cell>
          <cell r="L156">
            <v>38</v>
          </cell>
          <cell r="M156">
            <v>36</v>
          </cell>
        </row>
        <row r="157">
          <cell r="A157" t="str">
            <v>DQ9219A7</v>
          </cell>
          <cell r="B157">
            <v>1850</v>
          </cell>
          <cell r="C157">
            <v>19.501419575</v>
          </cell>
          <cell r="D157">
            <v>0</v>
          </cell>
          <cell r="E157">
            <v>19.501419575</v>
          </cell>
          <cell r="F157" t="str">
            <v>自制</v>
          </cell>
          <cell r="G157" t="str">
            <v>博瑞1.8T</v>
          </cell>
          <cell r="H157">
            <v>27</v>
          </cell>
          <cell r="I157">
            <v>26</v>
          </cell>
          <cell r="J157">
            <v>25</v>
          </cell>
          <cell r="K157">
            <v>24</v>
          </cell>
          <cell r="L157">
            <v>23</v>
          </cell>
          <cell r="M157">
            <v>22</v>
          </cell>
        </row>
        <row r="158">
          <cell r="A158" t="str">
            <v>DQ9004</v>
          </cell>
          <cell r="B158">
            <v>1784</v>
          </cell>
          <cell r="C158">
            <v>27.115605</v>
          </cell>
          <cell r="D158">
            <v>0</v>
          </cell>
          <cell r="E158">
            <v>27.115605</v>
          </cell>
          <cell r="F158" t="str">
            <v>自制</v>
          </cell>
          <cell r="G158" t="str">
            <v>风度 A32长杆</v>
          </cell>
          <cell r="H158">
            <v>37</v>
          </cell>
          <cell r="I158">
            <v>36</v>
          </cell>
          <cell r="J158">
            <v>34</v>
          </cell>
          <cell r="K158">
            <v>33</v>
          </cell>
          <cell r="L158">
            <v>32</v>
          </cell>
          <cell r="M158">
            <v>30</v>
          </cell>
        </row>
        <row r="159">
          <cell r="A159" t="str">
            <v>DQ9004C</v>
          </cell>
          <cell r="B159">
            <v>1758</v>
          </cell>
          <cell r="C159">
            <v>26.561535</v>
          </cell>
          <cell r="D159">
            <v>0</v>
          </cell>
          <cell r="E159">
            <v>26.561535</v>
          </cell>
          <cell r="F159" t="str">
            <v>自制</v>
          </cell>
          <cell r="G159" t="str">
            <v>风雅A32短杆</v>
          </cell>
          <cell r="H159">
            <v>36</v>
          </cell>
          <cell r="I159">
            <v>35</v>
          </cell>
          <cell r="J159">
            <v>34</v>
          </cell>
          <cell r="K159">
            <v>32</v>
          </cell>
          <cell r="L159">
            <v>31</v>
          </cell>
          <cell r="M159">
            <v>30</v>
          </cell>
        </row>
        <row r="160">
          <cell r="A160" t="str">
            <v>DQ9219A3</v>
          </cell>
          <cell r="B160">
            <v>1753</v>
          </cell>
          <cell r="C160">
            <v>19.822069575</v>
          </cell>
          <cell r="D160">
            <v>0</v>
          </cell>
          <cell r="E160">
            <v>19.822069575</v>
          </cell>
          <cell r="F160" t="str">
            <v>自制</v>
          </cell>
          <cell r="G160" t="str">
            <v>吉利帝豪1.3T</v>
          </cell>
          <cell r="H160">
            <v>27</v>
          </cell>
          <cell r="I160">
            <v>26</v>
          </cell>
          <cell r="J160">
            <v>25</v>
          </cell>
          <cell r="K160">
            <v>24</v>
          </cell>
          <cell r="L160">
            <v>23</v>
          </cell>
          <cell r="M160">
            <v>22</v>
          </cell>
        </row>
        <row r="161">
          <cell r="A161" t="str">
            <v>DQ901877</v>
          </cell>
          <cell r="B161">
            <v>1750</v>
          </cell>
          <cell r="C161">
            <v>33.7484368108309</v>
          </cell>
          <cell r="D161">
            <v>1.57108677083087</v>
          </cell>
          <cell r="E161">
            <v>32.17735004</v>
          </cell>
          <cell r="F161" t="str">
            <v>自制</v>
          </cell>
          <cell r="G161" t="str">
            <v>雷凌1.5L</v>
          </cell>
          <cell r="H161">
            <v>46</v>
          </cell>
          <cell r="I161">
            <v>44</v>
          </cell>
          <cell r="J161">
            <v>43</v>
          </cell>
          <cell r="K161">
            <v>41</v>
          </cell>
          <cell r="L161">
            <v>39</v>
          </cell>
          <cell r="M161">
            <v>38</v>
          </cell>
        </row>
        <row r="162">
          <cell r="A162" t="str">
            <v>DQ1212W</v>
          </cell>
          <cell r="B162">
            <v>1743</v>
          </cell>
          <cell r="C162">
            <v>30.07923578</v>
          </cell>
          <cell r="D162">
            <v>0</v>
          </cell>
          <cell r="E162">
            <v>30.07923578</v>
          </cell>
          <cell r="F162" t="str">
            <v>自制</v>
          </cell>
          <cell r="G162" t="str">
            <v>五菱之光B12</v>
          </cell>
          <cell r="H162">
            <v>41</v>
          </cell>
          <cell r="I162">
            <v>40</v>
          </cell>
          <cell r="J162">
            <v>38</v>
          </cell>
          <cell r="K162">
            <v>37</v>
          </cell>
          <cell r="L162">
            <v>35</v>
          </cell>
          <cell r="M162">
            <v>34</v>
          </cell>
        </row>
        <row r="163">
          <cell r="A163" t="str">
            <v>DQ9210A3</v>
          </cell>
          <cell r="B163">
            <v>1711</v>
          </cell>
          <cell r="C163">
            <v>21.81075402</v>
          </cell>
          <cell r="D163">
            <v>0</v>
          </cell>
          <cell r="E163">
            <v>21.81075402</v>
          </cell>
          <cell r="F163" t="str">
            <v>自制</v>
          </cell>
          <cell r="G163" t="str">
            <v>长安睿行1.5L</v>
          </cell>
          <cell r="H163">
            <v>30</v>
          </cell>
          <cell r="I163">
            <v>29</v>
          </cell>
          <cell r="J163">
            <v>28</v>
          </cell>
          <cell r="K163">
            <v>27</v>
          </cell>
          <cell r="L163">
            <v>26</v>
          </cell>
          <cell r="M163">
            <v>24</v>
          </cell>
        </row>
        <row r="164">
          <cell r="A164" t="str">
            <v>DQ9002F1</v>
          </cell>
          <cell r="B164">
            <v>1698</v>
          </cell>
          <cell r="C164">
            <v>30.2263236</v>
          </cell>
          <cell r="D164">
            <v>0</v>
          </cell>
          <cell r="E164">
            <v>30.2263236</v>
          </cell>
          <cell r="F164" t="str">
            <v>自制</v>
          </cell>
          <cell r="G164" t="str">
            <v>马自达CX-5 三针</v>
          </cell>
          <cell r="H164">
            <v>41</v>
          </cell>
          <cell r="I164">
            <v>40</v>
          </cell>
          <cell r="J164">
            <v>38</v>
          </cell>
          <cell r="K164">
            <v>37</v>
          </cell>
          <cell r="L164">
            <v>35</v>
          </cell>
          <cell r="M164">
            <v>34</v>
          </cell>
        </row>
        <row r="165">
          <cell r="A165" t="str">
            <v>DQ9035A3</v>
          </cell>
          <cell r="B165">
            <v>1687</v>
          </cell>
          <cell r="C165">
            <v>30.8323729866667</v>
          </cell>
          <cell r="D165">
            <v>0</v>
          </cell>
          <cell r="E165">
            <v>30.8323729866667</v>
          </cell>
          <cell r="F165" t="str">
            <v>自制</v>
          </cell>
          <cell r="G165" t="str">
            <v>长城魏 VV7 VV8</v>
          </cell>
          <cell r="H165">
            <v>42</v>
          </cell>
          <cell r="I165">
            <v>41</v>
          </cell>
          <cell r="J165">
            <v>39</v>
          </cell>
          <cell r="K165">
            <v>37</v>
          </cell>
          <cell r="L165">
            <v>36</v>
          </cell>
          <cell r="M165">
            <v>34</v>
          </cell>
        </row>
        <row r="166">
          <cell r="A166" t="str">
            <v>DQ9117C1</v>
          </cell>
          <cell r="B166">
            <v>1674</v>
          </cell>
          <cell r="C166">
            <v>38.766</v>
          </cell>
          <cell r="D166">
            <v>0</v>
          </cell>
          <cell r="E166">
            <v>38.766</v>
          </cell>
          <cell r="F166" t="str">
            <v>调货</v>
          </cell>
          <cell r="G166" t="str">
            <v>铃木启悦1.6L</v>
          </cell>
          <cell r="H166">
            <v>47</v>
          </cell>
          <cell r="I166">
            <v>46</v>
          </cell>
          <cell r="J166">
            <v>45</v>
          </cell>
          <cell r="K166">
            <v>44</v>
          </cell>
          <cell r="L166">
            <v>44</v>
          </cell>
          <cell r="M166">
            <v>43</v>
          </cell>
        </row>
        <row r="167">
          <cell r="A167" t="str">
            <v>DQ9019Q1</v>
          </cell>
          <cell r="B167">
            <v>1672</v>
          </cell>
          <cell r="C167">
            <v>25.218971635</v>
          </cell>
          <cell r="D167">
            <v>0</v>
          </cell>
          <cell r="E167">
            <v>25.218971635</v>
          </cell>
          <cell r="F167" t="str">
            <v>自制</v>
          </cell>
          <cell r="G167" t="str">
            <v>长城哈弗H9</v>
          </cell>
          <cell r="H167">
            <v>35</v>
          </cell>
          <cell r="I167">
            <v>33</v>
          </cell>
          <cell r="J167">
            <v>32</v>
          </cell>
          <cell r="K167">
            <v>31</v>
          </cell>
          <cell r="L167">
            <v>30</v>
          </cell>
          <cell r="M167">
            <v>28</v>
          </cell>
        </row>
        <row r="168">
          <cell r="A168" t="str">
            <v>DQ921812</v>
          </cell>
          <cell r="B168">
            <v>1648</v>
          </cell>
          <cell r="C168">
            <v>25.302646325</v>
          </cell>
          <cell r="D168">
            <v>0</v>
          </cell>
          <cell r="E168">
            <v>25.302646325</v>
          </cell>
          <cell r="F168" t="str">
            <v>自制</v>
          </cell>
          <cell r="G168" t="str">
            <v>吉普3400</v>
          </cell>
          <cell r="H168">
            <v>35</v>
          </cell>
          <cell r="I168">
            <v>33</v>
          </cell>
          <cell r="J168">
            <v>32</v>
          </cell>
          <cell r="K168">
            <v>31</v>
          </cell>
          <cell r="L168">
            <v>30</v>
          </cell>
          <cell r="M168">
            <v>28</v>
          </cell>
        </row>
        <row r="169">
          <cell r="A169" t="str">
            <v>DQ9050A1</v>
          </cell>
          <cell r="B169">
            <v>1644</v>
          </cell>
          <cell r="C169">
            <v>33.9878719005739</v>
          </cell>
          <cell r="D169">
            <v>1.73390829057394</v>
          </cell>
          <cell r="E169">
            <v>32.25396361</v>
          </cell>
          <cell r="F169" t="str">
            <v>自制</v>
          </cell>
          <cell r="G169" t="str">
            <v>帕杰罗劲畅</v>
          </cell>
          <cell r="H169">
            <v>46</v>
          </cell>
          <cell r="I169">
            <v>45</v>
          </cell>
          <cell r="J169">
            <v>43</v>
          </cell>
          <cell r="K169">
            <v>41</v>
          </cell>
          <cell r="L169">
            <v>40</v>
          </cell>
          <cell r="M169">
            <v>38</v>
          </cell>
        </row>
        <row r="170">
          <cell r="A170" t="str">
            <v>DQ910807</v>
          </cell>
          <cell r="B170">
            <v>1641</v>
          </cell>
          <cell r="C170">
            <v>29.8166176187565</v>
          </cell>
          <cell r="D170">
            <v>1.65855751042316</v>
          </cell>
          <cell r="E170">
            <v>28.1580601083333</v>
          </cell>
          <cell r="F170" t="str">
            <v>自制</v>
          </cell>
          <cell r="G170" t="str">
            <v>威驰</v>
          </cell>
          <cell r="H170">
            <v>41</v>
          </cell>
          <cell r="I170">
            <v>39</v>
          </cell>
          <cell r="J170">
            <v>38</v>
          </cell>
          <cell r="K170">
            <v>36</v>
          </cell>
          <cell r="L170">
            <v>35</v>
          </cell>
          <cell r="M170">
            <v>33</v>
          </cell>
        </row>
        <row r="171">
          <cell r="A171" t="str">
            <v>DQ9004B</v>
          </cell>
          <cell r="B171">
            <v>1610</v>
          </cell>
          <cell r="C171">
            <v>30.77872006</v>
          </cell>
          <cell r="D171">
            <v>0</v>
          </cell>
          <cell r="E171">
            <v>30.77872006</v>
          </cell>
          <cell r="F171" t="str">
            <v>自制</v>
          </cell>
          <cell r="G171" t="str">
            <v>A33短杆</v>
          </cell>
          <cell r="H171">
            <v>42</v>
          </cell>
          <cell r="I171">
            <v>41</v>
          </cell>
          <cell r="J171">
            <v>39</v>
          </cell>
          <cell r="K171">
            <v>37</v>
          </cell>
          <cell r="L171">
            <v>36</v>
          </cell>
          <cell r="M171">
            <v>34</v>
          </cell>
        </row>
        <row r="172">
          <cell r="A172" t="str">
            <v>DQ9031C1</v>
          </cell>
          <cell r="B172">
            <v>1607</v>
          </cell>
          <cell r="C172">
            <v>30.2934412</v>
          </cell>
          <cell r="D172">
            <v>0</v>
          </cell>
          <cell r="E172">
            <v>30.2934412</v>
          </cell>
          <cell r="F172" t="str">
            <v>自制</v>
          </cell>
          <cell r="G172" t="str">
            <v>荣威I6 PLUS 1.6L,RX3 1.6l</v>
          </cell>
          <cell r="H172">
            <v>41</v>
          </cell>
          <cell r="I172">
            <v>40</v>
          </cell>
          <cell r="J172">
            <v>38</v>
          </cell>
          <cell r="K172">
            <v>37</v>
          </cell>
          <cell r="L172">
            <v>35</v>
          </cell>
          <cell r="M172">
            <v>34</v>
          </cell>
        </row>
        <row r="173">
          <cell r="A173" t="str">
            <v>DQ9039D1</v>
          </cell>
          <cell r="B173">
            <v>1596</v>
          </cell>
          <cell r="C173">
            <v>29.18832972</v>
          </cell>
          <cell r="D173">
            <v>0</v>
          </cell>
          <cell r="E173">
            <v>29.18832972</v>
          </cell>
          <cell r="F173" t="str">
            <v>自制</v>
          </cell>
          <cell r="G173" t="str">
            <v>宝骏730 第二代1.5T</v>
          </cell>
          <cell r="H173">
            <v>40</v>
          </cell>
          <cell r="I173">
            <v>38</v>
          </cell>
          <cell r="J173">
            <v>37</v>
          </cell>
          <cell r="K173">
            <v>36</v>
          </cell>
          <cell r="L173">
            <v>34</v>
          </cell>
          <cell r="M173">
            <v>33</v>
          </cell>
        </row>
        <row r="174">
          <cell r="A174" t="str">
            <v>DQ9110</v>
          </cell>
          <cell r="B174">
            <v>1550</v>
          </cell>
          <cell r="C174">
            <v>26.1188308666667</v>
          </cell>
          <cell r="D174">
            <v>0</v>
          </cell>
          <cell r="E174">
            <v>26.1188308666667</v>
          </cell>
          <cell r="F174" t="str">
            <v>自制</v>
          </cell>
          <cell r="G174" t="str">
            <v>宝马分体</v>
          </cell>
          <cell r="H174">
            <v>36</v>
          </cell>
          <cell r="I174">
            <v>34</v>
          </cell>
          <cell r="J174">
            <v>33</v>
          </cell>
          <cell r="K174">
            <v>32</v>
          </cell>
          <cell r="L174">
            <v>31</v>
          </cell>
          <cell r="M174">
            <v>29</v>
          </cell>
        </row>
        <row r="175">
          <cell r="A175" t="str">
            <v>DQ9210</v>
          </cell>
          <cell r="B175">
            <v>1519</v>
          </cell>
          <cell r="C175">
            <v>21.08805402</v>
          </cell>
          <cell r="D175">
            <v>0</v>
          </cell>
          <cell r="E175">
            <v>21.08805402</v>
          </cell>
          <cell r="F175" t="str">
            <v>自制</v>
          </cell>
          <cell r="G175" t="str">
            <v>瑞虎</v>
          </cell>
          <cell r="H175">
            <v>29</v>
          </cell>
          <cell r="I175">
            <v>28</v>
          </cell>
          <cell r="J175">
            <v>27</v>
          </cell>
          <cell r="K175">
            <v>26</v>
          </cell>
          <cell r="L175">
            <v>25</v>
          </cell>
          <cell r="M175">
            <v>24</v>
          </cell>
        </row>
        <row r="176">
          <cell r="A176" t="str">
            <v>DQ9037C4</v>
          </cell>
          <cell r="B176">
            <v>1507</v>
          </cell>
          <cell r="C176">
            <v>27.6678471166667</v>
          </cell>
          <cell r="D176">
            <v>0</v>
          </cell>
          <cell r="E176">
            <v>27.6678471166667</v>
          </cell>
          <cell r="F176" t="str">
            <v>自制</v>
          </cell>
          <cell r="G176" t="str">
            <v>广汽传祺GM61.5T</v>
          </cell>
          <cell r="H176">
            <v>38</v>
          </cell>
          <cell r="I176">
            <v>36</v>
          </cell>
          <cell r="J176">
            <v>35</v>
          </cell>
          <cell r="K176">
            <v>34</v>
          </cell>
          <cell r="L176">
            <v>32</v>
          </cell>
          <cell r="M176">
            <v>31</v>
          </cell>
        </row>
        <row r="177">
          <cell r="A177" t="str">
            <v>DQ9012A2</v>
          </cell>
          <cell r="B177">
            <v>1499</v>
          </cell>
          <cell r="C177">
            <v>38.6</v>
          </cell>
          <cell r="D177">
            <v>0</v>
          </cell>
          <cell r="E177">
            <v>38.6</v>
          </cell>
          <cell r="F177" t="str">
            <v>调货</v>
          </cell>
          <cell r="G177" t="str">
            <v>奔腾 B50 1.6L</v>
          </cell>
          <cell r="H177">
            <v>46</v>
          </cell>
          <cell r="I177">
            <v>46</v>
          </cell>
          <cell r="J177">
            <v>45</v>
          </cell>
          <cell r="K177">
            <v>44</v>
          </cell>
          <cell r="L177">
            <v>44</v>
          </cell>
          <cell r="M177">
            <v>43</v>
          </cell>
        </row>
        <row r="178">
          <cell r="A178" t="str">
            <v>DQ9213</v>
          </cell>
          <cell r="B178">
            <v>1487</v>
          </cell>
          <cell r="C178">
            <v>23.8758495</v>
          </cell>
          <cell r="D178">
            <v>0</v>
          </cell>
          <cell r="E178">
            <v>23.8758495</v>
          </cell>
          <cell r="F178" t="str">
            <v>自制</v>
          </cell>
          <cell r="G178" t="str">
            <v>长安之星二代CB10</v>
          </cell>
          <cell r="H178">
            <v>33</v>
          </cell>
          <cell r="I178">
            <v>32</v>
          </cell>
          <cell r="J178">
            <v>30</v>
          </cell>
          <cell r="K178">
            <v>29</v>
          </cell>
          <cell r="L178">
            <v>28</v>
          </cell>
          <cell r="M178">
            <v>27</v>
          </cell>
        </row>
        <row r="179">
          <cell r="A179" t="str">
            <v>DQ9005G1</v>
          </cell>
          <cell r="B179">
            <v>1469</v>
          </cell>
          <cell r="C179">
            <v>29.58365157</v>
          </cell>
          <cell r="D179">
            <v>0</v>
          </cell>
          <cell r="E179">
            <v>29.58365157</v>
          </cell>
          <cell r="F179" t="str">
            <v>自制</v>
          </cell>
          <cell r="G179" t="str">
            <v>福特 翼博 1.6T</v>
          </cell>
          <cell r="H179">
            <v>40</v>
          </cell>
          <cell r="I179">
            <v>39</v>
          </cell>
          <cell r="J179">
            <v>37</v>
          </cell>
          <cell r="K179">
            <v>36</v>
          </cell>
          <cell r="L179">
            <v>35</v>
          </cell>
          <cell r="M179">
            <v>33</v>
          </cell>
        </row>
        <row r="180">
          <cell r="A180" t="str">
            <v>DQ9109F1</v>
          </cell>
          <cell r="B180">
            <v>1464</v>
          </cell>
          <cell r="C180">
            <v>26.4517905</v>
          </cell>
          <cell r="D180">
            <v>0</v>
          </cell>
          <cell r="E180">
            <v>26.4517905</v>
          </cell>
          <cell r="F180" t="str">
            <v>自制</v>
          </cell>
          <cell r="G180" t="str">
            <v>本田 雅阁</v>
          </cell>
          <cell r="H180">
            <v>36</v>
          </cell>
          <cell r="I180">
            <v>35</v>
          </cell>
          <cell r="J180">
            <v>34</v>
          </cell>
          <cell r="K180">
            <v>32</v>
          </cell>
          <cell r="L180">
            <v>31</v>
          </cell>
          <cell r="M180">
            <v>30</v>
          </cell>
        </row>
        <row r="181">
          <cell r="A181" t="str">
            <v>DQ9003G5</v>
          </cell>
          <cell r="B181">
            <v>1462</v>
          </cell>
          <cell r="C181">
            <v>26.76547544</v>
          </cell>
          <cell r="D181">
            <v>0</v>
          </cell>
          <cell r="E181">
            <v>26.76547544</v>
          </cell>
          <cell r="F181" t="str">
            <v>自制</v>
          </cell>
          <cell r="G181" t="str">
            <v>日产尼桑</v>
          </cell>
          <cell r="H181">
            <v>37</v>
          </cell>
          <cell r="I181">
            <v>35</v>
          </cell>
          <cell r="J181">
            <v>34</v>
          </cell>
          <cell r="K181">
            <v>33</v>
          </cell>
          <cell r="L181">
            <v>31</v>
          </cell>
          <cell r="M181">
            <v>30</v>
          </cell>
        </row>
        <row r="182">
          <cell r="A182" t="str">
            <v>DQ9005D2</v>
          </cell>
          <cell r="B182">
            <v>1454</v>
          </cell>
          <cell r="C182">
            <v>15.890554669</v>
          </cell>
          <cell r="D182">
            <v>0</v>
          </cell>
          <cell r="E182">
            <v>15.890554669</v>
          </cell>
          <cell r="F182" t="str">
            <v>自制</v>
          </cell>
          <cell r="G182" t="str">
            <v>福特蒙迪欧</v>
          </cell>
          <cell r="H182">
            <v>22</v>
          </cell>
          <cell r="I182">
            <v>21</v>
          </cell>
          <cell r="J182">
            <v>20</v>
          </cell>
          <cell r="K182">
            <v>20</v>
          </cell>
          <cell r="L182">
            <v>19</v>
          </cell>
          <cell r="M182">
            <v>18</v>
          </cell>
        </row>
        <row r="183">
          <cell r="A183" t="str">
            <v>DQ9069A1</v>
          </cell>
          <cell r="B183">
            <v>1443</v>
          </cell>
          <cell r="C183">
            <v>42.63</v>
          </cell>
          <cell r="D183">
            <v>0</v>
          </cell>
          <cell r="E183">
            <v>42.63</v>
          </cell>
          <cell r="F183" t="str">
            <v>调货</v>
          </cell>
          <cell r="G183" t="str">
            <v>长安CS55 PLUS 1.5T</v>
          </cell>
          <cell r="H183">
            <v>51</v>
          </cell>
          <cell r="I183">
            <v>50</v>
          </cell>
          <cell r="J183">
            <v>50</v>
          </cell>
          <cell r="K183">
            <v>49</v>
          </cell>
          <cell r="L183">
            <v>48</v>
          </cell>
          <cell r="M183">
            <v>47</v>
          </cell>
        </row>
        <row r="184">
          <cell r="A184" t="str">
            <v>DQ9025G1</v>
          </cell>
          <cell r="B184">
            <v>1407</v>
          </cell>
          <cell r="C184">
            <v>64.5579629368171</v>
          </cell>
          <cell r="D184">
            <v>0.897709686817141</v>
          </cell>
          <cell r="E184">
            <v>63.66025325</v>
          </cell>
          <cell r="F184" t="str">
            <v>自制</v>
          </cell>
          <cell r="G184" t="str">
            <v>奔驰GLA2001.6T</v>
          </cell>
          <cell r="H184">
            <v>88</v>
          </cell>
          <cell r="I184">
            <v>84</v>
          </cell>
          <cell r="J184">
            <v>81</v>
          </cell>
          <cell r="K184">
            <v>78</v>
          </cell>
          <cell r="L184">
            <v>75</v>
          </cell>
          <cell r="M184">
            <v>72</v>
          </cell>
        </row>
        <row r="185">
          <cell r="A185" t="str">
            <v>DQ9058A1</v>
          </cell>
          <cell r="B185">
            <v>1403</v>
          </cell>
          <cell r="C185">
            <v>38.43</v>
          </cell>
          <cell r="D185">
            <v>0</v>
          </cell>
          <cell r="E185">
            <v>38.43</v>
          </cell>
          <cell r="F185" t="str">
            <v>调货</v>
          </cell>
          <cell r="G185" t="str">
            <v>捷途 1.5T,瑞虎3、瑞虎7</v>
          </cell>
          <cell r="H185">
            <v>46</v>
          </cell>
          <cell r="I185">
            <v>45</v>
          </cell>
          <cell r="J185">
            <v>45</v>
          </cell>
          <cell r="K185">
            <v>44</v>
          </cell>
          <cell r="L185">
            <v>44</v>
          </cell>
          <cell r="M185">
            <v>43</v>
          </cell>
        </row>
        <row r="186">
          <cell r="A186" t="str">
            <v>DQ901869</v>
          </cell>
          <cell r="B186">
            <v>1388</v>
          </cell>
          <cell r="C186">
            <v>47.5480236</v>
          </cell>
          <cell r="D186">
            <v>1.7680236</v>
          </cell>
          <cell r="E186">
            <v>45.78</v>
          </cell>
          <cell r="F186" t="str">
            <v>调货</v>
          </cell>
          <cell r="G186" t="str">
            <v>丰田汉兰达2.0T</v>
          </cell>
          <cell r="H186">
            <v>57</v>
          </cell>
          <cell r="I186">
            <v>56</v>
          </cell>
          <cell r="J186">
            <v>55</v>
          </cell>
          <cell r="K186">
            <v>54</v>
          </cell>
          <cell r="L186">
            <v>54</v>
          </cell>
          <cell r="M186">
            <v>53</v>
          </cell>
        </row>
        <row r="187">
          <cell r="A187" t="str">
            <v>DQ9113B4</v>
          </cell>
          <cell r="B187">
            <v>1388</v>
          </cell>
          <cell r="C187">
            <v>29.65688454</v>
          </cell>
          <cell r="D187">
            <v>0</v>
          </cell>
          <cell r="E187">
            <v>29.65688454</v>
          </cell>
          <cell r="F187" t="str">
            <v>自制</v>
          </cell>
          <cell r="G187" t="str">
            <v>三菱 Pajero (帕杰罗) 3.0L  2011款</v>
          </cell>
          <cell r="H187">
            <v>41</v>
          </cell>
          <cell r="I187">
            <v>39</v>
          </cell>
          <cell r="J187">
            <v>38</v>
          </cell>
          <cell r="K187">
            <v>36</v>
          </cell>
          <cell r="L187">
            <v>35</v>
          </cell>
          <cell r="M187">
            <v>33</v>
          </cell>
        </row>
        <row r="188">
          <cell r="A188" t="str">
            <v>DQ9104C1</v>
          </cell>
          <cell r="B188">
            <v>1374</v>
          </cell>
          <cell r="C188">
            <v>20.8510240266667</v>
          </cell>
          <cell r="D188">
            <v>0</v>
          </cell>
          <cell r="E188">
            <v>20.8510240266667</v>
          </cell>
          <cell r="F188" t="str">
            <v>自制</v>
          </cell>
          <cell r="G188" t="str">
            <v>雷诺CLIO1.2</v>
          </cell>
          <cell r="H188">
            <v>29</v>
          </cell>
          <cell r="I188">
            <v>28</v>
          </cell>
          <cell r="J188">
            <v>27</v>
          </cell>
          <cell r="K188">
            <v>26</v>
          </cell>
          <cell r="L188">
            <v>24</v>
          </cell>
          <cell r="M188">
            <v>23</v>
          </cell>
        </row>
        <row r="189">
          <cell r="A189" t="str">
            <v>DQ9004A</v>
          </cell>
          <cell r="B189">
            <v>1364</v>
          </cell>
          <cell r="C189">
            <v>31.58661286</v>
          </cell>
          <cell r="D189">
            <v>0</v>
          </cell>
          <cell r="E189">
            <v>31.58661286</v>
          </cell>
          <cell r="F189" t="str">
            <v>自制</v>
          </cell>
          <cell r="G189" t="str">
            <v>风度A33</v>
          </cell>
          <cell r="H189">
            <v>43</v>
          </cell>
          <cell r="I189">
            <v>42</v>
          </cell>
          <cell r="J189">
            <v>40</v>
          </cell>
          <cell r="K189">
            <v>38</v>
          </cell>
          <cell r="L189">
            <v>37</v>
          </cell>
          <cell r="M189">
            <v>35</v>
          </cell>
        </row>
        <row r="190">
          <cell r="A190" t="str">
            <v>DQ910835</v>
          </cell>
          <cell r="B190">
            <v>1362</v>
          </cell>
          <cell r="C190">
            <v>27.83116052</v>
          </cell>
          <cell r="D190">
            <v>0</v>
          </cell>
          <cell r="E190">
            <v>27.83116052</v>
          </cell>
          <cell r="F190" t="str">
            <v>自制</v>
          </cell>
          <cell r="G190" t="str">
            <v>丰田02235</v>
          </cell>
          <cell r="H190">
            <v>38</v>
          </cell>
          <cell r="I190">
            <v>37</v>
          </cell>
          <cell r="J190">
            <v>35</v>
          </cell>
          <cell r="K190">
            <v>34</v>
          </cell>
          <cell r="L190">
            <v>33</v>
          </cell>
          <cell r="M190">
            <v>31</v>
          </cell>
        </row>
        <row r="191">
          <cell r="A191" t="str">
            <v>DQ6204</v>
          </cell>
          <cell r="B191">
            <v>1333</v>
          </cell>
          <cell r="C191">
            <v>26.1891451666667</v>
          </cell>
          <cell r="D191">
            <v>0</v>
          </cell>
          <cell r="E191">
            <v>26.1891451666667</v>
          </cell>
          <cell r="F191" t="str">
            <v>自制</v>
          </cell>
          <cell r="G191" t="str">
            <v>别克君威 GL8商务车</v>
          </cell>
          <cell r="H191">
            <v>36</v>
          </cell>
          <cell r="I191">
            <v>35</v>
          </cell>
          <cell r="J191">
            <v>33</v>
          </cell>
          <cell r="K191">
            <v>32</v>
          </cell>
          <cell r="L191">
            <v>31</v>
          </cell>
          <cell r="M191">
            <v>29</v>
          </cell>
        </row>
        <row r="192">
          <cell r="A192" t="str">
            <v>DQ9003B4</v>
          </cell>
          <cell r="B192">
            <v>1324</v>
          </cell>
          <cell r="C192">
            <v>26.91374444</v>
          </cell>
          <cell r="D192">
            <v>0</v>
          </cell>
          <cell r="E192">
            <v>26.91374444</v>
          </cell>
          <cell r="F192" t="str">
            <v>自制</v>
          </cell>
          <cell r="G192" t="str">
            <v>SM7</v>
          </cell>
          <cell r="H192">
            <v>37</v>
          </cell>
          <cell r="I192">
            <v>35</v>
          </cell>
          <cell r="J192">
            <v>34</v>
          </cell>
          <cell r="K192">
            <v>33</v>
          </cell>
          <cell r="L192">
            <v>31</v>
          </cell>
          <cell r="M192">
            <v>30</v>
          </cell>
        </row>
        <row r="193">
          <cell r="A193" t="str">
            <v>DQ9007F1</v>
          </cell>
          <cell r="B193">
            <v>1301</v>
          </cell>
          <cell r="C193">
            <v>31.78027325</v>
          </cell>
          <cell r="D193">
            <v>0</v>
          </cell>
          <cell r="E193">
            <v>31.78027325</v>
          </cell>
          <cell r="F193" t="str">
            <v>自制</v>
          </cell>
          <cell r="G193" t="str">
            <v>起亚K3 1.5L</v>
          </cell>
          <cell r="H193">
            <v>43</v>
          </cell>
          <cell r="I193">
            <v>42</v>
          </cell>
          <cell r="J193">
            <v>40</v>
          </cell>
          <cell r="K193">
            <v>39</v>
          </cell>
          <cell r="L193">
            <v>37</v>
          </cell>
          <cell r="M193">
            <v>35</v>
          </cell>
        </row>
        <row r="194">
          <cell r="A194" t="str">
            <v>DQ9039A1</v>
          </cell>
          <cell r="B194">
            <v>1275</v>
          </cell>
          <cell r="C194">
            <v>23.3867423333333</v>
          </cell>
          <cell r="D194">
            <v>0</v>
          </cell>
          <cell r="E194">
            <v>23.3867423333333</v>
          </cell>
          <cell r="F194" t="str">
            <v>自制</v>
          </cell>
          <cell r="G194" t="str">
            <v>五菱宏光 1.2L</v>
          </cell>
          <cell r="H194">
            <v>32</v>
          </cell>
          <cell r="I194">
            <v>31</v>
          </cell>
          <cell r="J194">
            <v>30</v>
          </cell>
          <cell r="K194">
            <v>29</v>
          </cell>
          <cell r="L194">
            <v>27</v>
          </cell>
          <cell r="M194">
            <v>26</v>
          </cell>
        </row>
        <row r="195">
          <cell r="A195" t="str">
            <v>DQ9130E2</v>
          </cell>
          <cell r="B195">
            <v>1256</v>
          </cell>
          <cell r="C195">
            <v>22.16524838</v>
          </cell>
          <cell r="D195">
            <v>0</v>
          </cell>
          <cell r="E195">
            <v>22.16524838</v>
          </cell>
          <cell r="F195" t="str">
            <v>自制</v>
          </cell>
          <cell r="G195" t="str">
            <v>福特F150</v>
          </cell>
          <cell r="H195">
            <v>30</v>
          </cell>
          <cell r="I195">
            <v>29</v>
          </cell>
          <cell r="J195">
            <v>28</v>
          </cell>
          <cell r="K195">
            <v>27</v>
          </cell>
          <cell r="L195">
            <v>26</v>
          </cell>
          <cell r="M195">
            <v>25</v>
          </cell>
        </row>
        <row r="196">
          <cell r="A196" t="str">
            <v>DQ9005E</v>
          </cell>
          <cell r="B196">
            <v>1244</v>
          </cell>
          <cell r="C196">
            <v>15.630745669</v>
          </cell>
          <cell r="D196">
            <v>0</v>
          </cell>
          <cell r="E196">
            <v>15.630745669</v>
          </cell>
          <cell r="F196" t="str">
            <v>自制</v>
          </cell>
          <cell r="G196" t="str">
            <v>福特翼虎</v>
          </cell>
          <cell r="H196">
            <v>22</v>
          </cell>
          <cell r="I196">
            <v>21</v>
          </cell>
          <cell r="J196">
            <v>20</v>
          </cell>
          <cell r="K196">
            <v>19</v>
          </cell>
          <cell r="L196">
            <v>18</v>
          </cell>
          <cell r="M196">
            <v>18</v>
          </cell>
        </row>
        <row r="197">
          <cell r="A197" t="str">
            <v>DQ9059A1</v>
          </cell>
          <cell r="B197">
            <v>1235</v>
          </cell>
          <cell r="C197">
            <v>22.88842347</v>
          </cell>
          <cell r="D197">
            <v>0</v>
          </cell>
          <cell r="E197">
            <v>22.88842347</v>
          </cell>
          <cell r="F197" t="str">
            <v>自制</v>
          </cell>
          <cell r="G197" t="str">
            <v>北京汽车</v>
          </cell>
          <cell r="H197">
            <v>31</v>
          </cell>
          <cell r="I197">
            <v>30</v>
          </cell>
          <cell r="J197">
            <v>29</v>
          </cell>
          <cell r="K197">
            <v>28</v>
          </cell>
          <cell r="L197">
            <v>27</v>
          </cell>
          <cell r="M197">
            <v>26</v>
          </cell>
        </row>
        <row r="198">
          <cell r="A198" t="str">
            <v>DQ910820</v>
          </cell>
          <cell r="B198">
            <v>1208</v>
          </cell>
          <cell r="C198">
            <v>35.38752022</v>
          </cell>
          <cell r="D198">
            <v>0</v>
          </cell>
          <cell r="E198">
            <v>35.38752022</v>
          </cell>
          <cell r="F198" t="str">
            <v>自制</v>
          </cell>
          <cell r="G198" t="str">
            <v>一汽森雅</v>
          </cell>
          <cell r="H198">
            <v>48</v>
          </cell>
          <cell r="I198">
            <v>47</v>
          </cell>
          <cell r="J198">
            <v>45</v>
          </cell>
          <cell r="K198">
            <v>43</v>
          </cell>
          <cell r="L198">
            <v>41</v>
          </cell>
          <cell r="M198">
            <v>39</v>
          </cell>
        </row>
        <row r="199">
          <cell r="A199" t="str">
            <v>DQ9037C1</v>
          </cell>
          <cell r="B199">
            <v>1202</v>
          </cell>
          <cell r="C199">
            <v>28.9901131166667</v>
          </cell>
          <cell r="D199">
            <v>0</v>
          </cell>
          <cell r="E199">
            <v>28.9901131166667</v>
          </cell>
          <cell r="F199" t="str">
            <v>自制</v>
          </cell>
          <cell r="G199" t="str">
            <v>哈弗H6蓝标1.5T</v>
          </cell>
          <cell r="H199">
            <v>40</v>
          </cell>
          <cell r="I199">
            <v>38</v>
          </cell>
          <cell r="J199">
            <v>37</v>
          </cell>
          <cell r="K199">
            <v>35</v>
          </cell>
          <cell r="L199">
            <v>34</v>
          </cell>
          <cell r="M199">
            <v>32</v>
          </cell>
        </row>
        <row r="200">
          <cell r="A200" t="str">
            <v>DQ9045E1</v>
          </cell>
          <cell r="B200">
            <v>1199</v>
          </cell>
          <cell r="C200">
            <v>32.16063114</v>
          </cell>
          <cell r="D200">
            <v>0</v>
          </cell>
          <cell r="E200">
            <v>32.16063114</v>
          </cell>
          <cell r="F200" t="str">
            <v>自制</v>
          </cell>
          <cell r="G200" t="str">
            <v>斯巴鲁XV 2.0L</v>
          </cell>
          <cell r="H200">
            <v>44</v>
          </cell>
          <cell r="I200">
            <v>42</v>
          </cell>
          <cell r="J200">
            <v>41</v>
          </cell>
          <cell r="K200">
            <v>39</v>
          </cell>
          <cell r="L200">
            <v>37</v>
          </cell>
          <cell r="M200">
            <v>36</v>
          </cell>
        </row>
        <row r="201">
          <cell r="A201" t="str">
            <v>DQ9101S1</v>
          </cell>
          <cell r="B201">
            <v>1180</v>
          </cell>
          <cell r="C201">
            <v>17.39363453</v>
          </cell>
          <cell r="D201">
            <v>0</v>
          </cell>
          <cell r="E201">
            <v>17.39363453</v>
          </cell>
          <cell r="F201" t="str">
            <v>自制</v>
          </cell>
          <cell r="G201" t="str">
            <v>现代雅尊</v>
          </cell>
          <cell r="H201">
            <v>24</v>
          </cell>
          <cell r="I201">
            <v>23</v>
          </cell>
          <cell r="J201">
            <v>22</v>
          </cell>
          <cell r="K201">
            <v>21</v>
          </cell>
          <cell r="L201">
            <v>21</v>
          </cell>
          <cell r="M201">
            <v>20</v>
          </cell>
        </row>
        <row r="202">
          <cell r="A202" t="str">
            <v>DQ9003</v>
          </cell>
          <cell r="B202">
            <v>1151</v>
          </cell>
          <cell r="C202">
            <v>26.097173718</v>
          </cell>
          <cell r="D202">
            <v>0</v>
          </cell>
          <cell r="E202">
            <v>26.097173718</v>
          </cell>
          <cell r="F202" t="str">
            <v>自制</v>
          </cell>
          <cell r="G202" t="str">
            <v>红旗A4E</v>
          </cell>
          <cell r="H202">
            <v>36</v>
          </cell>
          <cell r="I202">
            <v>34</v>
          </cell>
          <cell r="J202">
            <v>33</v>
          </cell>
          <cell r="K202">
            <v>32</v>
          </cell>
          <cell r="L202">
            <v>31</v>
          </cell>
          <cell r="M202">
            <v>29</v>
          </cell>
        </row>
        <row r="203">
          <cell r="A203" t="str">
            <v>DQ9047A1</v>
          </cell>
          <cell r="B203">
            <v>1149</v>
          </cell>
          <cell r="C203">
            <v>22.9838574766667</v>
          </cell>
          <cell r="D203">
            <v>0</v>
          </cell>
          <cell r="E203">
            <v>22.9838574766667</v>
          </cell>
          <cell r="F203" t="str">
            <v>自制</v>
          </cell>
          <cell r="G203" t="str">
            <v>荣威大通 2.0T</v>
          </cell>
          <cell r="H203">
            <v>32</v>
          </cell>
          <cell r="I203">
            <v>30</v>
          </cell>
          <cell r="J203">
            <v>29</v>
          </cell>
          <cell r="K203">
            <v>28</v>
          </cell>
          <cell r="L203">
            <v>27</v>
          </cell>
          <cell r="M203">
            <v>26</v>
          </cell>
        </row>
        <row r="204">
          <cell r="A204" t="str">
            <v>DQ9039C1</v>
          </cell>
          <cell r="B204">
            <v>1144</v>
          </cell>
          <cell r="C204">
            <v>23.35458984</v>
          </cell>
          <cell r="D204">
            <v>0</v>
          </cell>
          <cell r="E204">
            <v>23.35458984</v>
          </cell>
          <cell r="F204" t="str">
            <v>自制</v>
          </cell>
          <cell r="G204" t="str">
            <v>宝骏1.5T</v>
          </cell>
          <cell r="H204">
            <v>32</v>
          </cell>
          <cell r="I204">
            <v>31</v>
          </cell>
          <cell r="J204">
            <v>30</v>
          </cell>
          <cell r="K204">
            <v>29</v>
          </cell>
          <cell r="L204">
            <v>27</v>
          </cell>
          <cell r="M204">
            <v>26</v>
          </cell>
        </row>
        <row r="205">
          <cell r="A205" t="str">
            <v>DQ9127A1</v>
          </cell>
          <cell r="B205">
            <v>1140</v>
          </cell>
          <cell r="C205">
            <v>30.4565410785986</v>
          </cell>
          <cell r="D205">
            <v>1.17548553859858</v>
          </cell>
          <cell r="E205">
            <v>29.28105554</v>
          </cell>
          <cell r="F205" t="str">
            <v>自制</v>
          </cell>
          <cell r="G205" t="str">
            <v>尼桑阳光N16</v>
          </cell>
          <cell r="H205">
            <v>42</v>
          </cell>
          <cell r="I205">
            <v>40</v>
          </cell>
          <cell r="J205">
            <v>39</v>
          </cell>
          <cell r="K205">
            <v>37</v>
          </cell>
          <cell r="L205">
            <v>36</v>
          </cell>
          <cell r="M205">
            <v>34</v>
          </cell>
        </row>
        <row r="206">
          <cell r="A206" t="str">
            <v>DQ6108</v>
          </cell>
          <cell r="B206">
            <v>1112</v>
          </cell>
          <cell r="C206">
            <v>28.0668970795552</v>
          </cell>
          <cell r="D206">
            <v>-0.80526242044476</v>
          </cell>
          <cell r="E206">
            <v>28.8721595</v>
          </cell>
          <cell r="F206" t="str">
            <v>自制</v>
          </cell>
          <cell r="G206" t="str">
            <v>丰田8A</v>
          </cell>
          <cell r="H206">
            <v>38</v>
          </cell>
          <cell r="I206">
            <v>37</v>
          </cell>
          <cell r="J206">
            <v>36</v>
          </cell>
          <cell r="K206">
            <v>34</v>
          </cell>
          <cell r="L206">
            <v>33</v>
          </cell>
          <cell r="M206">
            <v>31</v>
          </cell>
        </row>
        <row r="207">
          <cell r="A207" t="str">
            <v>DQ9219A8</v>
          </cell>
          <cell r="B207">
            <v>1098</v>
          </cell>
          <cell r="C207">
            <v>20.196069575</v>
          </cell>
          <cell r="D207">
            <v>0</v>
          </cell>
          <cell r="E207">
            <v>20.196069575</v>
          </cell>
          <cell r="F207" t="str">
            <v>自制</v>
          </cell>
          <cell r="G207" t="str">
            <v>GS8 2.0T</v>
          </cell>
          <cell r="H207">
            <v>28</v>
          </cell>
          <cell r="I207">
            <v>27</v>
          </cell>
          <cell r="J207">
            <v>26</v>
          </cell>
          <cell r="K207">
            <v>25</v>
          </cell>
          <cell r="L207">
            <v>24</v>
          </cell>
          <cell r="M207">
            <v>23</v>
          </cell>
        </row>
        <row r="208">
          <cell r="A208" t="str">
            <v>DQ9040C3</v>
          </cell>
          <cell r="B208">
            <v>1092</v>
          </cell>
          <cell r="C208">
            <v>23.4502868033333</v>
          </cell>
          <cell r="D208">
            <v>0</v>
          </cell>
          <cell r="E208">
            <v>23.4502868033333</v>
          </cell>
          <cell r="F208" t="str">
            <v>自制</v>
          </cell>
          <cell r="G208" t="str">
            <v>海狮X30L</v>
          </cell>
          <cell r="H208">
            <v>32</v>
          </cell>
          <cell r="I208">
            <v>31</v>
          </cell>
          <cell r="J208">
            <v>30</v>
          </cell>
          <cell r="K208">
            <v>29</v>
          </cell>
          <cell r="L208">
            <v>27</v>
          </cell>
          <cell r="M208">
            <v>26</v>
          </cell>
        </row>
        <row r="209">
          <cell r="A209" t="str">
            <v>DQ9010G1</v>
          </cell>
          <cell r="B209">
            <v>1086</v>
          </cell>
          <cell r="C209">
            <v>31.81278606</v>
          </cell>
          <cell r="D209">
            <v>0</v>
          </cell>
          <cell r="E209">
            <v>31.81278606</v>
          </cell>
          <cell r="F209" t="str">
            <v>自制</v>
          </cell>
          <cell r="G209" t="str">
            <v>本田锋范</v>
          </cell>
          <cell r="H209">
            <v>43</v>
          </cell>
          <cell r="I209">
            <v>42</v>
          </cell>
          <cell r="J209">
            <v>40</v>
          </cell>
          <cell r="K209">
            <v>39</v>
          </cell>
          <cell r="L209">
            <v>37</v>
          </cell>
          <cell r="M209">
            <v>35</v>
          </cell>
        </row>
        <row r="210">
          <cell r="A210" t="str">
            <v>DQ9216</v>
          </cell>
          <cell r="B210">
            <v>1085</v>
          </cell>
          <cell r="C210">
            <v>21.46533961</v>
          </cell>
          <cell r="D210">
            <v>0</v>
          </cell>
          <cell r="E210">
            <v>21.46533961</v>
          </cell>
          <cell r="F210" t="str">
            <v>自制</v>
          </cell>
          <cell r="G210" t="str">
            <v>荣威550 1.8T黑杆</v>
          </cell>
          <cell r="H210">
            <v>29</v>
          </cell>
          <cell r="I210">
            <v>28</v>
          </cell>
          <cell r="J210">
            <v>27</v>
          </cell>
          <cell r="K210">
            <v>26</v>
          </cell>
          <cell r="L210">
            <v>25</v>
          </cell>
          <cell r="M210">
            <v>24</v>
          </cell>
        </row>
        <row r="211">
          <cell r="A211" t="str">
            <v>DQ9132F1</v>
          </cell>
          <cell r="B211">
            <v>1076</v>
          </cell>
          <cell r="C211">
            <v>30.6763641933333</v>
          </cell>
          <cell r="D211">
            <v>0</v>
          </cell>
          <cell r="E211">
            <v>30.6763641933333</v>
          </cell>
          <cell r="F211" t="str">
            <v>自制</v>
          </cell>
          <cell r="G211" t="str">
            <v>大发</v>
          </cell>
          <cell r="H211">
            <v>42</v>
          </cell>
          <cell r="I211">
            <v>40</v>
          </cell>
          <cell r="J211">
            <v>39</v>
          </cell>
          <cell r="K211">
            <v>37</v>
          </cell>
          <cell r="L211">
            <v>36</v>
          </cell>
          <cell r="M211">
            <v>34</v>
          </cell>
        </row>
        <row r="212">
          <cell r="A212" t="str">
            <v>DQ9219A6</v>
          </cell>
          <cell r="B212">
            <v>1074</v>
          </cell>
          <cell r="C212">
            <v>19.247319575</v>
          </cell>
          <cell r="D212">
            <v>0</v>
          </cell>
          <cell r="E212">
            <v>19.247319575</v>
          </cell>
          <cell r="F212" t="str">
            <v>自制</v>
          </cell>
          <cell r="G212" t="str">
            <v>长城哈弗 H6 1.5T 14款</v>
          </cell>
          <cell r="H212">
            <v>26</v>
          </cell>
          <cell r="I212">
            <v>26</v>
          </cell>
          <cell r="J212">
            <v>25</v>
          </cell>
          <cell r="K212">
            <v>24</v>
          </cell>
          <cell r="L212">
            <v>23</v>
          </cell>
          <cell r="M212">
            <v>22</v>
          </cell>
        </row>
        <row r="213">
          <cell r="A213" t="str">
            <v>DQ9036A1</v>
          </cell>
          <cell r="B213">
            <v>1057</v>
          </cell>
          <cell r="C213">
            <v>26.4985102933333</v>
          </cell>
          <cell r="D213">
            <v>0</v>
          </cell>
          <cell r="E213">
            <v>26.4985102933333</v>
          </cell>
          <cell r="F213" t="str">
            <v>自制</v>
          </cell>
          <cell r="G213" t="str">
            <v>菲亚特 飞翔 致悦 1.4T</v>
          </cell>
          <cell r="H213">
            <v>36</v>
          </cell>
          <cell r="I213">
            <v>35</v>
          </cell>
          <cell r="J213">
            <v>34</v>
          </cell>
          <cell r="K213">
            <v>32</v>
          </cell>
          <cell r="L213">
            <v>31</v>
          </cell>
          <cell r="M213">
            <v>30</v>
          </cell>
        </row>
        <row r="214">
          <cell r="A214" t="str">
            <v>DQ9010J1</v>
          </cell>
          <cell r="B214">
            <v>1053</v>
          </cell>
          <cell r="C214">
            <v>30.3206140266667</v>
          </cell>
          <cell r="D214">
            <v>0</v>
          </cell>
          <cell r="E214">
            <v>30.3206140266667</v>
          </cell>
          <cell r="F214" t="str">
            <v>自制</v>
          </cell>
          <cell r="G214" t="str">
            <v>14款飞度</v>
          </cell>
          <cell r="H214">
            <v>41</v>
          </cell>
          <cell r="I214">
            <v>40</v>
          </cell>
          <cell r="J214">
            <v>38</v>
          </cell>
          <cell r="K214">
            <v>37</v>
          </cell>
          <cell r="L214">
            <v>35</v>
          </cell>
          <cell r="M214">
            <v>34</v>
          </cell>
        </row>
        <row r="215">
          <cell r="A215" t="str">
            <v>DQ9076A1</v>
          </cell>
          <cell r="B215">
            <v>1036</v>
          </cell>
          <cell r="C215">
            <v>34.3332049584524</v>
          </cell>
          <cell r="D215">
            <v>3.15492925845244</v>
          </cell>
          <cell r="E215">
            <v>31.1782757</v>
          </cell>
          <cell r="F215" t="str">
            <v>自制</v>
          </cell>
          <cell r="G215" t="str">
            <v>本田 LIFE 2009</v>
          </cell>
          <cell r="H215">
            <v>47</v>
          </cell>
          <cell r="I215">
            <v>45</v>
          </cell>
          <cell r="J215">
            <v>43</v>
          </cell>
          <cell r="K215">
            <v>42</v>
          </cell>
          <cell r="L215">
            <v>40</v>
          </cell>
          <cell r="M215">
            <v>38</v>
          </cell>
        </row>
        <row r="216">
          <cell r="A216" t="str">
            <v>DQ9025J1</v>
          </cell>
          <cell r="B216">
            <v>1020</v>
          </cell>
          <cell r="C216">
            <v>51.51192944723</v>
          </cell>
          <cell r="D216">
            <v>15.38251953723</v>
          </cell>
          <cell r="E216">
            <v>36.12940991</v>
          </cell>
          <cell r="F216" t="str">
            <v>自制</v>
          </cell>
          <cell r="G216" t="str">
            <v>奔驰E260</v>
          </cell>
          <cell r="H216">
            <v>70</v>
          </cell>
          <cell r="I216">
            <v>67</v>
          </cell>
          <cell r="J216">
            <v>65</v>
          </cell>
          <cell r="K216">
            <v>62</v>
          </cell>
          <cell r="L216">
            <v>60</v>
          </cell>
          <cell r="M216">
            <v>57</v>
          </cell>
        </row>
        <row r="217">
          <cell r="A217" t="str">
            <v>DQ9005L1</v>
          </cell>
          <cell r="B217">
            <v>1019</v>
          </cell>
          <cell r="C217">
            <v>29.32900157</v>
          </cell>
          <cell r="D217">
            <v>0</v>
          </cell>
          <cell r="E217">
            <v>29.32900157</v>
          </cell>
          <cell r="F217" t="str">
            <v>自制</v>
          </cell>
          <cell r="G217" t="str">
            <v>福特翼博1.0T</v>
          </cell>
          <cell r="H217">
            <v>40</v>
          </cell>
          <cell r="I217">
            <v>39</v>
          </cell>
          <cell r="J217">
            <v>37</v>
          </cell>
          <cell r="K217">
            <v>36</v>
          </cell>
          <cell r="L217">
            <v>34</v>
          </cell>
          <cell r="M217">
            <v>33</v>
          </cell>
        </row>
        <row r="218">
          <cell r="A218" t="str">
            <v>DQ9153A3</v>
          </cell>
          <cell r="B218">
            <v>1002</v>
          </cell>
          <cell r="C218">
            <v>20.8487680966667</v>
          </cell>
          <cell r="D218">
            <v>0</v>
          </cell>
          <cell r="E218">
            <v>20.8487680966667</v>
          </cell>
          <cell r="F218" t="str">
            <v>自制</v>
          </cell>
          <cell r="G218" t="str">
            <v>长丰猎豹</v>
          </cell>
          <cell r="H218">
            <v>29</v>
          </cell>
          <cell r="I218">
            <v>28</v>
          </cell>
          <cell r="J218">
            <v>27</v>
          </cell>
          <cell r="K218">
            <v>26</v>
          </cell>
          <cell r="L218">
            <v>24</v>
          </cell>
          <cell r="M218">
            <v>23</v>
          </cell>
        </row>
        <row r="219">
          <cell r="A219" t="str">
            <v>DQ9003B2</v>
          </cell>
          <cell r="B219">
            <v>997</v>
          </cell>
          <cell r="C219">
            <v>27.134693718</v>
          </cell>
          <cell r="D219">
            <v>0</v>
          </cell>
          <cell r="E219">
            <v>27.134693718</v>
          </cell>
          <cell r="F219" t="str">
            <v>自制</v>
          </cell>
          <cell r="G219" t="str">
            <v>天籁侧插</v>
          </cell>
          <cell r="H219">
            <v>37</v>
          </cell>
          <cell r="I219">
            <v>36</v>
          </cell>
          <cell r="J219">
            <v>34</v>
          </cell>
          <cell r="K219">
            <v>33</v>
          </cell>
          <cell r="L219">
            <v>32</v>
          </cell>
          <cell r="M219">
            <v>30</v>
          </cell>
        </row>
        <row r="220">
          <cell r="A220" t="str">
            <v>DQ9113D1</v>
          </cell>
          <cell r="B220">
            <v>979</v>
          </cell>
          <cell r="C220">
            <v>24.6424766273333</v>
          </cell>
          <cell r="D220">
            <v>0</v>
          </cell>
          <cell r="E220">
            <v>24.6424766273333</v>
          </cell>
          <cell r="F220" t="str">
            <v>自制</v>
          </cell>
          <cell r="G220" t="str">
            <v>4G69</v>
          </cell>
          <cell r="H220">
            <v>34</v>
          </cell>
          <cell r="I220">
            <v>33</v>
          </cell>
          <cell r="J220">
            <v>31</v>
          </cell>
          <cell r="K220">
            <v>30</v>
          </cell>
          <cell r="L220">
            <v>29</v>
          </cell>
          <cell r="M220">
            <v>28</v>
          </cell>
        </row>
        <row r="221">
          <cell r="A221" t="str">
            <v>DQ9003A4</v>
          </cell>
          <cell r="B221">
            <v>975</v>
          </cell>
          <cell r="C221">
            <v>25.4079452</v>
          </cell>
          <cell r="D221">
            <v>0</v>
          </cell>
          <cell r="E221">
            <v>25.4079452</v>
          </cell>
          <cell r="F221" t="str">
            <v>自制</v>
          </cell>
          <cell r="G221" t="str">
            <v>日立/马自达3</v>
          </cell>
          <cell r="H221">
            <v>35</v>
          </cell>
          <cell r="I221">
            <v>34</v>
          </cell>
          <cell r="J221">
            <v>32</v>
          </cell>
          <cell r="K221">
            <v>31</v>
          </cell>
          <cell r="L221">
            <v>30</v>
          </cell>
          <cell r="M221">
            <v>28</v>
          </cell>
        </row>
        <row r="222">
          <cell r="A222" t="str">
            <v>DQ9050A4</v>
          </cell>
          <cell r="B222">
            <v>972</v>
          </cell>
          <cell r="C222">
            <v>34.1590211552088</v>
          </cell>
          <cell r="D222">
            <v>1.80055754520883</v>
          </cell>
          <cell r="E222">
            <v>32.35846361</v>
          </cell>
          <cell r="F222" t="str">
            <v>自制</v>
          </cell>
          <cell r="G222" t="str">
            <v>铃木雨燕SX4 1.4T</v>
          </cell>
          <cell r="H222">
            <v>47</v>
          </cell>
          <cell r="I222">
            <v>45</v>
          </cell>
          <cell r="J222">
            <v>43</v>
          </cell>
          <cell r="K222">
            <v>41</v>
          </cell>
          <cell r="L222">
            <v>40</v>
          </cell>
          <cell r="M222">
            <v>38</v>
          </cell>
        </row>
        <row r="223">
          <cell r="A223" t="str">
            <v>DQ9036F1</v>
          </cell>
          <cell r="B223">
            <v>968</v>
          </cell>
          <cell r="C223">
            <v>25.93099696</v>
          </cell>
          <cell r="D223">
            <v>0</v>
          </cell>
          <cell r="E223">
            <v>25.93099696</v>
          </cell>
          <cell r="F223" t="str">
            <v>自制</v>
          </cell>
          <cell r="G223" t="str">
            <v>指南者1.4T</v>
          </cell>
          <cell r="H223">
            <v>36</v>
          </cell>
          <cell r="I223">
            <v>34</v>
          </cell>
          <cell r="J223">
            <v>33</v>
          </cell>
          <cell r="K223">
            <v>32</v>
          </cell>
          <cell r="L223">
            <v>30</v>
          </cell>
          <cell r="M223">
            <v>29</v>
          </cell>
        </row>
        <row r="224">
          <cell r="A224" t="str">
            <v>DQ9037C5</v>
          </cell>
          <cell r="B224">
            <v>953</v>
          </cell>
          <cell r="C224">
            <v>28.8757131166667</v>
          </cell>
          <cell r="D224">
            <v>0</v>
          </cell>
          <cell r="E224">
            <v>28.8757131166667</v>
          </cell>
          <cell r="F224" t="str">
            <v>自制</v>
          </cell>
          <cell r="G224" t="str">
            <v>吉利博越</v>
          </cell>
          <cell r="H224">
            <v>39</v>
          </cell>
          <cell r="I224">
            <v>38</v>
          </cell>
          <cell r="J224">
            <v>37</v>
          </cell>
          <cell r="K224">
            <v>35</v>
          </cell>
          <cell r="L224">
            <v>34</v>
          </cell>
          <cell r="M224">
            <v>32</v>
          </cell>
        </row>
        <row r="225">
          <cell r="A225" t="str">
            <v>DQ9116B</v>
          </cell>
          <cell r="B225">
            <v>936</v>
          </cell>
          <cell r="C225">
            <v>27.23225022</v>
          </cell>
          <cell r="D225">
            <v>0</v>
          </cell>
          <cell r="E225">
            <v>27.23225022</v>
          </cell>
          <cell r="F225" t="str">
            <v>自制</v>
          </cell>
          <cell r="G225" t="str">
            <v>473QB发动机</v>
          </cell>
          <cell r="H225">
            <v>37</v>
          </cell>
          <cell r="I225">
            <v>36</v>
          </cell>
          <cell r="J225">
            <v>35</v>
          </cell>
          <cell r="K225">
            <v>33</v>
          </cell>
          <cell r="L225">
            <v>32</v>
          </cell>
          <cell r="M225">
            <v>30</v>
          </cell>
        </row>
        <row r="226">
          <cell r="A226" t="str">
            <v>DQ9007D1</v>
          </cell>
          <cell r="B226">
            <v>925</v>
          </cell>
          <cell r="C226">
            <v>31.44882147</v>
          </cell>
          <cell r="D226">
            <v>0</v>
          </cell>
          <cell r="E226">
            <v>31.44882147</v>
          </cell>
          <cell r="F226" t="str">
            <v>自制</v>
          </cell>
          <cell r="G226" t="str">
            <v>现代名图1.6T</v>
          </cell>
          <cell r="H226">
            <v>43</v>
          </cell>
          <cell r="I226">
            <v>41</v>
          </cell>
          <cell r="J226">
            <v>40</v>
          </cell>
          <cell r="K226">
            <v>38</v>
          </cell>
          <cell r="L226">
            <v>37</v>
          </cell>
          <cell r="M226">
            <v>35</v>
          </cell>
        </row>
        <row r="227">
          <cell r="A227" t="str">
            <v>DQ9402A3</v>
          </cell>
          <cell r="B227">
            <v>918</v>
          </cell>
          <cell r="C227">
            <v>119.99988</v>
          </cell>
          <cell r="D227">
            <v>-0.120120000000005</v>
          </cell>
          <cell r="E227">
            <v>120.12</v>
          </cell>
          <cell r="F227" t="str">
            <v>调货</v>
          </cell>
          <cell r="G227" t="str">
            <v>标致2.0L 新款</v>
          </cell>
          <cell r="H227">
            <v>143</v>
          </cell>
          <cell r="I227">
            <v>141</v>
          </cell>
          <cell r="J227">
            <v>138</v>
          </cell>
          <cell r="K227">
            <v>136</v>
          </cell>
          <cell r="L227">
            <v>135</v>
          </cell>
          <cell r="M227">
            <v>132</v>
          </cell>
        </row>
        <row r="228">
          <cell r="A228" t="str">
            <v>DQ9007G1</v>
          </cell>
          <cell r="B228">
            <v>911</v>
          </cell>
          <cell r="C228">
            <v>31.03253747</v>
          </cell>
          <cell r="D228">
            <v>0</v>
          </cell>
          <cell r="E228">
            <v>31.03253747</v>
          </cell>
          <cell r="F228" t="str">
            <v>自制</v>
          </cell>
          <cell r="G228" t="str">
            <v>现代04110</v>
          </cell>
          <cell r="H228">
            <v>42</v>
          </cell>
          <cell r="I228">
            <v>41</v>
          </cell>
          <cell r="J228">
            <v>39</v>
          </cell>
          <cell r="K228">
            <v>38</v>
          </cell>
          <cell r="L228">
            <v>36</v>
          </cell>
          <cell r="M228">
            <v>35</v>
          </cell>
        </row>
        <row r="229">
          <cell r="A229" t="str">
            <v>DQ9045A1</v>
          </cell>
          <cell r="B229">
            <v>899</v>
          </cell>
          <cell r="C229">
            <v>30.5600014166667</v>
          </cell>
          <cell r="D229">
            <v>0</v>
          </cell>
          <cell r="E229">
            <v>30.5600014166667</v>
          </cell>
          <cell r="F229" t="str">
            <v>自制</v>
          </cell>
          <cell r="G229" t="str">
            <v>斯巴鲁森林人</v>
          </cell>
          <cell r="H229">
            <v>42</v>
          </cell>
          <cell r="I229">
            <v>40</v>
          </cell>
          <cell r="J229">
            <v>39</v>
          </cell>
          <cell r="K229">
            <v>37</v>
          </cell>
          <cell r="L229">
            <v>36</v>
          </cell>
          <cell r="M229">
            <v>34</v>
          </cell>
        </row>
        <row r="230">
          <cell r="A230" t="str">
            <v>DQ9107E1</v>
          </cell>
          <cell r="B230">
            <v>898</v>
          </cell>
          <cell r="C230">
            <v>17.6708405966667</v>
          </cell>
          <cell r="D230">
            <v>0</v>
          </cell>
          <cell r="E230">
            <v>17.6708405966667</v>
          </cell>
          <cell r="F230" t="str">
            <v>自制</v>
          </cell>
          <cell r="G230" t="str">
            <v>东南汽车1.5T 东风景逸1.5T</v>
          </cell>
          <cell r="H230">
            <v>24</v>
          </cell>
          <cell r="I230">
            <v>23</v>
          </cell>
          <cell r="J230">
            <v>23</v>
          </cell>
          <cell r="K230">
            <v>22</v>
          </cell>
          <cell r="L230">
            <v>21</v>
          </cell>
          <cell r="M230">
            <v>20</v>
          </cell>
        </row>
        <row r="231">
          <cell r="A231" t="str">
            <v>DQ6202</v>
          </cell>
          <cell r="B231">
            <v>894</v>
          </cell>
          <cell r="C231">
            <v>63.16</v>
          </cell>
          <cell r="D231">
            <v>0</v>
          </cell>
          <cell r="E231">
            <v>63.16</v>
          </cell>
          <cell r="F231" t="str">
            <v>调货</v>
          </cell>
          <cell r="G231" t="str">
            <v>索纳塔1.8</v>
          </cell>
          <cell r="H231">
            <v>76</v>
          </cell>
          <cell r="I231">
            <v>74</v>
          </cell>
          <cell r="J231">
            <v>73</v>
          </cell>
          <cell r="K231">
            <v>72</v>
          </cell>
          <cell r="L231">
            <v>71</v>
          </cell>
          <cell r="M231">
            <v>70</v>
          </cell>
        </row>
        <row r="232">
          <cell r="A232" t="str">
            <v>DQ9126A2</v>
          </cell>
          <cell r="B232">
            <v>891</v>
          </cell>
          <cell r="C232">
            <v>31.252503775</v>
          </cell>
          <cell r="D232">
            <v>0</v>
          </cell>
          <cell r="E232">
            <v>31.252503775</v>
          </cell>
          <cell r="F232" t="str">
            <v>自制</v>
          </cell>
          <cell r="G232" t="str">
            <v>路虎风神者</v>
          </cell>
          <cell r="H232">
            <v>43</v>
          </cell>
          <cell r="I232">
            <v>41</v>
          </cell>
          <cell r="J232">
            <v>40</v>
          </cell>
          <cell r="K232">
            <v>38</v>
          </cell>
          <cell r="L232">
            <v>36</v>
          </cell>
          <cell r="M232">
            <v>35</v>
          </cell>
        </row>
        <row r="233">
          <cell r="A233" t="str">
            <v>DQ9133A1</v>
          </cell>
          <cell r="B233">
            <v>887</v>
          </cell>
          <cell r="C233">
            <v>50.5575</v>
          </cell>
          <cell r="D233">
            <v>0</v>
          </cell>
          <cell r="E233">
            <v>50.5575</v>
          </cell>
          <cell r="F233" t="str">
            <v>调货</v>
          </cell>
          <cell r="G233" t="str">
            <v>保时捷卡宴</v>
          </cell>
          <cell r="H233">
            <v>61</v>
          </cell>
          <cell r="I233">
            <v>60</v>
          </cell>
          <cell r="J233">
            <v>59</v>
          </cell>
          <cell r="K233">
            <v>58</v>
          </cell>
          <cell r="L233">
            <v>57</v>
          </cell>
          <cell r="M233">
            <v>56</v>
          </cell>
        </row>
        <row r="234">
          <cell r="A234" t="str">
            <v>DQ9003H7</v>
          </cell>
          <cell r="B234">
            <v>885</v>
          </cell>
          <cell r="C234">
            <v>27.9092572</v>
          </cell>
          <cell r="D234">
            <v>0</v>
          </cell>
          <cell r="E234">
            <v>27.9092572</v>
          </cell>
          <cell r="F234" t="str">
            <v>自制</v>
          </cell>
          <cell r="G234" t="str">
            <v>日产途乐</v>
          </cell>
          <cell r="H234">
            <v>38</v>
          </cell>
          <cell r="I234">
            <v>37</v>
          </cell>
          <cell r="J234">
            <v>35</v>
          </cell>
          <cell r="K234">
            <v>34</v>
          </cell>
          <cell r="L234">
            <v>33</v>
          </cell>
          <cell r="M234">
            <v>31</v>
          </cell>
        </row>
        <row r="235">
          <cell r="A235" t="str">
            <v>DQ9021C</v>
          </cell>
          <cell r="B235">
            <v>875</v>
          </cell>
          <cell r="C235">
            <v>20.76324074</v>
          </cell>
          <cell r="D235">
            <v>0</v>
          </cell>
          <cell r="E235">
            <v>20.76324074</v>
          </cell>
          <cell r="F235" t="str">
            <v>自制</v>
          </cell>
          <cell r="G235" t="str">
            <v>广汽传祺</v>
          </cell>
          <cell r="H235">
            <v>29</v>
          </cell>
          <cell r="I235">
            <v>27</v>
          </cell>
          <cell r="J235">
            <v>26</v>
          </cell>
          <cell r="K235">
            <v>25</v>
          </cell>
          <cell r="L235">
            <v>24</v>
          </cell>
          <cell r="M235">
            <v>23</v>
          </cell>
        </row>
        <row r="236">
          <cell r="A236" t="str">
            <v>DQ9113G1</v>
          </cell>
          <cell r="B236">
            <v>872</v>
          </cell>
          <cell r="C236">
            <v>30.0993423693333</v>
          </cell>
          <cell r="D236">
            <v>0</v>
          </cell>
          <cell r="E236">
            <v>30.0993423693333</v>
          </cell>
          <cell r="F236" t="str">
            <v>自制</v>
          </cell>
          <cell r="G236" t="str">
            <v>三菱蓝瑟</v>
          </cell>
          <cell r="H236">
            <v>41</v>
          </cell>
          <cell r="I236">
            <v>40</v>
          </cell>
          <cell r="J236">
            <v>38</v>
          </cell>
          <cell r="K236">
            <v>37</v>
          </cell>
          <cell r="L236">
            <v>35</v>
          </cell>
          <cell r="M236">
            <v>34</v>
          </cell>
        </row>
        <row r="237">
          <cell r="A237" t="str">
            <v>DQ9073A1</v>
          </cell>
          <cell r="B237">
            <v>843</v>
          </cell>
          <cell r="C237">
            <v>34.582548</v>
          </cell>
          <cell r="D237">
            <v>0</v>
          </cell>
          <cell r="E237">
            <v>34.582548</v>
          </cell>
          <cell r="F237" t="str">
            <v>自制</v>
          </cell>
          <cell r="G237" t="str">
            <v>雪佛兰SPARK 1.4L</v>
          </cell>
          <cell r="H237">
            <v>47</v>
          </cell>
          <cell r="I237">
            <v>45</v>
          </cell>
          <cell r="J237">
            <v>44</v>
          </cell>
          <cell r="K237">
            <v>42</v>
          </cell>
          <cell r="L237">
            <v>40</v>
          </cell>
          <cell r="M237">
            <v>39</v>
          </cell>
        </row>
        <row r="238">
          <cell r="A238" t="str">
            <v>DQ910845</v>
          </cell>
          <cell r="B238">
            <v>819</v>
          </cell>
          <cell r="C238">
            <v>24.874690354</v>
          </cell>
          <cell r="D238">
            <v>0</v>
          </cell>
          <cell r="E238">
            <v>24.874690354</v>
          </cell>
          <cell r="F238" t="str">
            <v>自制</v>
          </cell>
          <cell r="G238" t="str">
            <v>丰田02245</v>
          </cell>
          <cell r="H238">
            <v>34</v>
          </cell>
          <cell r="I238">
            <v>33</v>
          </cell>
          <cell r="J238">
            <v>32</v>
          </cell>
          <cell r="K238">
            <v>30</v>
          </cell>
          <cell r="L238">
            <v>29</v>
          </cell>
          <cell r="M238">
            <v>28</v>
          </cell>
        </row>
        <row r="239">
          <cell r="A239" t="str">
            <v>DQ9113D2</v>
          </cell>
          <cell r="B239">
            <v>811</v>
          </cell>
          <cell r="C239">
            <v>24.5678501193333</v>
          </cell>
          <cell r="D239">
            <v>0</v>
          </cell>
          <cell r="E239">
            <v>24.5678501193333</v>
          </cell>
          <cell r="F239" t="str">
            <v>自制</v>
          </cell>
          <cell r="G239" t="str">
            <v>4G63/69</v>
          </cell>
          <cell r="H239">
            <v>34</v>
          </cell>
          <cell r="I239">
            <v>32</v>
          </cell>
          <cell r="J239">
            <v>31</v>
          </cell>
          <cell r="K239">
            <v>30</v>
          </cell>
          <cell r="L239">
            <v>29</v>
          </cell>
          <cell r="M239">
            <v>28</v>
          </cell>
        </row>
        <row r="240">
          <cell r="A240" t="str">
            <v>DQ9035A1</v>
          </cell>
          <cell r="B240">
            <v>801</v>
          </cell>
          <cell r="C240">
            <v>31.3471729866667</v>
          </cell>
          <cell r="D240">
            <v>0</v>
          </cell>
          <cell r="E240">
            <v>31.3471729866667</v>
          </cell>
          <cell r="F240" t="str">
            <v>自制</v>
          </cell>
          <cell r="G240" t="str">
            <v>一汽奔腾B70</v>
          </cell>
          <cell r="H240">
            <v>43</v>
          </cell>
          <cell r="I240">
            <v>41</v>
          </cell>
          <cell r="J240">
            <v>40</v>
          </cell>
          <cell r="K240">
            <v>38</v>
          </cell>
          <cell r="L240">
            <v>37</v>
          </cell>
          <cell r="M240">
            <v>35</v>
          </cell>
        </row>
        <row r="241">
          <cell r="A241" t="str">
            <v>DQ9101Z</v>
          </cell>
          <cell r="B241">
            <v>800</v>
          </cell>
          <cell r="C241">
            <v>18.4729726028736</v>
          </cell>
          <cell r="D241">
            <v>0</v>
          </cell>
          <cell r="E241">
            <v>18.4729726028736</v>
          </cell>
          <cell r="F241" t="str">
            <v>自制</v>
          </cell>
          <cell r="G241" t="str">
            <v>新胜达 2.7L（三插）</v>
          </cell>
          <cell r="H241">
            <v>25</v>
          </cell>
          <cell r="I241">
            <v>25</v>
          </cell>
          <cell r="J241">
            <v>24</v>
          </cell>
          <cell r="K241">
            <v>23</v>
          </cell>
          <cell r="L241">
            <v>22</v>
          </cell>
          <cell r="M241">
            <v>21</v>
          </cell>
        </row>
        <row r="242">
          <cell r="A242" t="str">
            <v>DQ9217A</v>
          </cell>
          <cell r="B242">
            <v>789</v>
          </cell>
          <cell r="C242">
            <v>29.8117853</v>
          </cell>
          <cell r="D242">
            <v>0</v>
          </cell>
          <cell r="E242">
            <v>29.8117853</v>
          </cell>
          <cell r="F242" t="str">
            <v>自制</v>
          </cell>
          <cell r="G242" t="str">
            <v>海马 福美来1.8</v>
          </cell>
          <cell r="H242">
            <v>41</v>
          </cell>
          <cell r="I242">
            <v>39</v>
          </cell>
          <cell r="J242">
            <v>38</v>
          </cell>
          <cell r="K242">
            <v>36</v>
          </cell>
          <cell r="L242">
            <v>35</v>
          </cell>
          <cell r="M242">
            <v>33</v>
          </cell>
        </row>
        <row r="243">
          <cell r="A243" t="str">
            <v>DQ9025E1</v>
          </cell>
          <cell r="B243">
            <v>789</v>
          </cell>
          <cell r="C243">
            <v>84.6544402247191</v>
          </cell>
          <cell r="D243">
            <v>-3.1255597752809</v>
          </cell>
          <cell r="E243">
            <v>87.78</v>
          </cell>
          <cell r="F243" t="str">
            <v>调货</v>
          </cell>
          <cell r="G243" t="str">
            <v>奔驰A2769067900</v>
          </cell>
          <cell r="H243">
            <v>101</v>
          </cell>
          <cell r="I243">
            <v>100</v>
          </cell>
          <cell r="J243">
            <v>98</v>
          </cell>
          <cell r="K243">
            <v>96</v>
          </cell>
          <cell r="L243">
            <v>95</v>
          </cell>
          <cell r="M243">
            <v>94</v>
          </cell>
        </row>
        <row r="244">
          <cell r="A244" t="str">
            <v>DQ9016C1</v>
          </cell>
          <cell r="B244">
            <v>778</v>
          </cell>
          <cell r="C244">
            <v>41.58</v>
          </cell>
          <cell r="D244">
            <v>0</v>
          </cell>
          <cell r="E244">
            <v>41.58</v>
          </cell>
          <cell r="F244" t="str">
            <v>调货</v>
          </cell>
          <cell r="G244" t="str">
            <v>别克英朗1.0T</v>
          </cell>
          <cell r="H244">
            <v>50</v>
          </cell>
          <cell r="I244">
            <v>49</v>
          </cell>
          <cell r="J244">
            <v>48</v>
          </cell>
          <cell r="K244">
            <v>47</v>
          </cell>
          <cell r="L244">
            <v>47</v>
          </cell>
          <cell r="M244">
            <v>46</v>
          </cell>
        </row>
        <row r="245">
          <cell r="A245" t="str">
            <v>DQ9051A1</v>
          </cell>
          <cell r="B245">
            <v>771</v>
          </cell>
          <cell r="C245">
            <v>27.9571911400886</v>
          </cell>
          <cell r="D245">
            <v>5.3634184000886</v>
          </cell>
          <cell r="E245">
            <v>22.59377274</v>
          </cell>
          <cell r="F245" t="str">
            <v>自制</v>
          </cell>
          <cell r="G245" t="str">
            <v>双龙柯兰多</v>
          </cell>
          <cell r="H245">
            <v>38</v>
          </cell>
          <cell r="I245">
            <v>37</v>
          </cell>
          <cell r="J245">
            <v>35</v>
          </cell>
          <cell r="K245">
            <v>34</v>
          </cell>
          <cell r="L245">
            <v>33</v>
          </cell>
          <cell r="M245">
            <v>31</v>
          </cell>
        </row>
        <row r="246">
          <cell r="A246" t="str">
            <v>DQ9216A</v>
          </cell>
          <cell r="B246">
            <v>765</v>
          </cell>
          <cell r="C246">
            <v>21.41308961</v>
          </cell>
          <cell r="D246">
            <v>0</v>
          </cell>
          <cell r="E246">
            <v>21.41308961</v>
          </cell>
          <cell r="F246" t="str">
            <v>自制</v>
          </cell>
          <cell r="G246" t="str">
            <v>荣威550 1.8红杆</v>
          </cell>
          <cell r="H246">
            <v>29</v>
          </cell>
          <cell r="I246">
            <v>28</v>
          </cell>
          <cell r="J246">
            <v>27</v>
          </cell>
          <cell r="K246">
            <v>26</v>
          </cell>
          <cell r="L246">
            <v>25</v>
          </cell>
          <cell r="M246">
            <v>24</v>
          </cell>
        </row>
        <row r="247">
          <cell r="A247" t="str">
            <v>DQ9037C3</v>
          </cell>
          <cell r="B247">
            <v>759</v>
          </cell>
          <cell r="C247">
            <v>29.4548631166667</v>
          </cell>
          <cell r="D247">
            <v>0</v>
          </cell>
          <cell r="E247">
            <v>29.4548631166667</v>
          </cell>
          <cell r="F247" t="str">
            <v>自制</v>
          </cell>
          <cell r="G247" t="str">
            <v>东风小康</v>
          </cell>
          <cell r="H247">
            <v>40</v>
          </cell>
          <cell r="I247">
            <v>39</v>
          </cell>
          <cell r="J247">
            <v>37</v>
          </cell>
          <cell r="K247">
            <v>36</v>
          </cell>
          <cell r="L247">
            <v>34</v>
          </cell>
          <cell r="M247">
            <v>33</v>
          </cell>
        </row>
        <row r="248">
          <cell r="A248" t="str">
            <v>DQ9103G1</v>
          </cell>
          <cell r="B248">
            <v>752</v>
          </cell>
          <cell r="C248">
            <v>30.58438248</v>
          </cell>
          <cell r="D248">
            <v>0</v>
          </cell>
          <cell r="E248">
            <v>30.58438248</v>
          </cell>
          <cell r="F248" t="str">
            <v>自制</v>
          </cell>
          <cell r="G248" t="str">
            <v>奥迪 A4L 2.0T</v>
          </cell>
          <cell r="H248">
            <v>42</v>
          </cell>
          <cell r="I248">
            <v>40</v>
          </cell>
          <cell r="J248">
            <v>39</v>
          </cell>
          <cell r="K248">
            <v>37</v>
          </cell>
          <cell r="L248">
            <v>36</v>
          </cell>
          <cell r="M248">
            <v>34</v>
          </cell>
        </row>
        <row r="249">
          <cell r="A249" t="str">
            <v>DQ6406</v>
          </cell>
          <cell r="B249">
            <v>741</v>
          </cell>
          <cell r="C249">
            <v>33.93016</v>
          </cell>
          <cell r="D249">
            <v>0</v>
          </cell>
          <cell r="E249">
            <v>33.93016</v>
          </cell>
          <cell r="F249" t="str">
            <v>自制</v>
          </cell>
          <cell r="G249" t="str">
            <v>五菱之光 西门子系统</v>
          </cell>
          <cell r="H249">
            <v>46</v>
          </cell>
          <cell r="I249">
            <v>45</v>
          </cell>
          <cell r="J249">
            <v>43</v>
          </cell>
          <cell r="K249">
            <v>41</v>
          </cell>
          <cell r="L249">
            <v>40</v>
          </cell>
          <cell r="M249">
            <v>38</v>
          </cell>
        </row>
        <row r="250">
          <cell r="A250" t="str">
            <v>DQ9217</v>
          </cell>
          <cell r="B250">
            <v>732</v>
          </cell>
          <cell r="C250">
            <v>29.7386353</v>
          </cell>
          <cell r="D250">
            <v>0</v>
          </cell>
          <cell r="E250">
            <v>29.7386353</v>
          </cell>
          <cell r="F250" t="str">
            <v>自制</v>
          </cell>
          <cell r="G250" t="str">
            <v>海马福美来1.6</v>
          </cell>
          <cell r="H250">
            <v>41</v>
          </cell>
          <cell r="I250">
            <v>39</v>
          </cell>
          <cell r="J250">
            <v>38</v>
          </cell>
          <cell r="K250">
            <v>36</v>
          </cell>
          <cell r="L250">
            <v>35</v>
          </cell>
          <cell r="M250">
            <v>33</v>
          </cell>
        </row>
        <row r="251">
          <cell r="A251" t="str">
            <v>DQ9113F1</v>
          </cell>
          <cell r="B251">
            <v>731</v>
          </cell>
          <cell r="C251">
            <v>24.3396001193333</v>
          </cell>
          <cell r="D251">
            <v>0</v>
          </cell>
          <cell r="E251">
            <v>24.3396001193333</v>
          </cell>
          <cell r="F251" t="str">
            <v>自制</v>
          </cell>
          <cell r="G251" t="str">
            <v>三菱SMART</v>
          </cell>
          <cell r="H251">
            <v>33</v>
          </cell>
          <cell r="I251">
            <v>32</v>
          </cell>
          <cell r="J251">
            <v>31</v>
          </cell>
          <cell r="K251">
            <v>30</v>
          </cell>
          <cell r="L251">
            <v>28</v>
          </cell>
          <cell r="M251">
            <v>27</v>
          </cell>
        </row>
        <row r="252">
          <cell r="A252" t="str">
            <v>DQ9103R</v>
          </cell>
          <cell r="B252">
            <v>712</v>
          </cell>
          <cell r="C252">
            <v>29.36527683</v>
          </cell>
          <cell r="D252">
            <v>0</v>
          </cell>
          <cell r="E252">
            <v>29.36527683</v>
          </cell>
          <cell r="F252" t="str">
            <v>自制</v>
          </cell>
          <cell r="G252" t="str">
            <v>奥迪3.0 红头</v>
          </cell>
          <cell r="H252">
            <v>40</v>
          </cell>
          <cell r="I252">
            <v>39</v>
          </cell>
          <cell r="J252">
            <v>37</v>
          </cell>
          <cell r="K252">
            <v>36</v>
          </cell>
          <cell r="L252">
            <v>34</v>
          </cell>
          <cell r="M252">
            <v>33</v>
          </cell>
        </row>
        <row r="253">
          <cell r="A253" t="str">
            <v>DQ9007M1</v>
          </cell>
          <cell r="B253">
            <v>705</v>
          </cell>
          <cell r="C253">
            <v>34.590523</v>
          </cell>
          <cell r="D253">
            <v>0</v>
          </cell>
          <cell r="E253">
            <v>34.590523</v>
          </cell>
          <cell r="F253" t="str">
            <v>自制</v>
          </cell>
          <cell r="G253" t="str">
            <v>现代伊兰特</v>
          </cell>
          <cell r="H253">
            <v>47</v>
          </cell>
          <cell r="I253">
            <v>45</v>
          </cell>
          <cell r="J253">
            <v>44</v>
          </cell>
          <cell r="K253">
            <v>42</v>
          </cell>
          <cell r="L253">
            <v>40</v>
          </cell>
          <cell r="M253">
            <v>39</v>
          </cell>
        </row>
        <row r="254">
          <cell r="A254" t="str">
            <v>DQ9037A1</v>
          </cell>
          <cell r="B254">
            <v>701</v>
          </cell>
          <cell r="C254">
            <v>28.8969646333333</v>
          </cell>
          <cell r="D254">
            <v>0</v>
          </cell>
          <cell r="E254">
            <v>28.8969646333333</v>
          </cell>
          <cell r="F254" t="str">
            <v>自制</v>
          </cell>
          <cell r="G254" t="str">
            <v>比亚迪476 (KRK)</v>
          </cell>
          <cell r="H254">
            <v>40</v>
          </cell>
          <cell r="I254">
            <v>38</v>
          </cell>
          <cell r="J254">
            <v>37</v>
          </cell>
          <cell r="K254">
            <v>35</v>
          </cell>
          <cell r="L254">
            <v>34</v>
          </cell>
          <cell r="M254">
            <v>32</v>
          </cell>
        </row>
        <row r="255">
          <cell r="A255" t="str">
            <v>DQ9035B1</v>
          </cell>
          <cell r="B255">
            <v>695</v>
          </cell>
          <cell r="C255">
            <v>34.4563137288849</v>
          </cell>
          <cell r="D255">
            <v>2.65103802888487</v>
          </cell>
          <cell r="E255">
            <v>31.8052757</v>
          </cell>
          <cell r="F255" t="str">
            <v>自制</v>
          </cell>
          <cell r="G255" t="str">
            <v>日产逍客1.2T</v>
          </cell>
          <cell r="H255">
            <v>47</v>
          </cell>
          <cell r="I255">
            <v>45</v>
          </cell>
          <cell r="J255">
            <v>44</v>
          </cell>
          <cell r="K255">
            <v>42</v>
          </cell>
          <cell r="L255">
            <v>40</v>
          </cell>
          <cell r="M255">
            <v>38</v>
          </cell>
        </row>
        <row r="256">
          <cell r="A256" t="str">
            <v>DQ9215B</v>
          </cell>
          <cell r="B256">
            <v>691</v>
          </cell>
          <cell r="C256">
            <v>23.9538145</v>
          </cell>
          <cell r="D256">
            <v>0</v>
          </cell>
          <cell r="E256">
            <v>23.9538145</v>
          </cell>
          <cell r="F256" t="str">
            <v>自制</v>
          </cell>
          <cell r="G256" t="str">
            <v>长城哈弗 H6/H5 2.0L</v>
          </cell>
          <cell r="H256">
            <v>33</v>
          </cell>
          <cell r="I256">
            <v>32</v>
          </cell>
          <cell r="J256">
            <v>30</v>
          </cell>
          <cell r="K256">
            <v>29</v>
          </cell>
          <cell r="L256">
            <v>28</v>
          </cell>
          <cell r="M256">
            <v>27</v>
          </cell>
        </row>
        <row r="257">
          <cell r="A257" t="str">
            <v>DQ9153A1</v>
          </cell>
          <cell r="B257">
            <v>679</v>
          </cell>
          <cell r="C257">
            <v>21.1105680966667</v>
          </cell>
          <cell r="D257">
            <v>0</v>
          </cell>
          <cell r="E257">
            <v>21.1105680966667</v>
          </cell>
          <cell r="F257" t="str">
            <v>自制</v>
          </cell>
          <cell r="G257" t="str">
            <v>东风风神A60</v>
          </cell>
          <cell r="H257">
            <v>29</v>
          </cell>
          <cell r="I257">
            <v>28</v>
          </cell>
          <cell r="J257">
            <v>27</v>
          </cell>
          <cell r="K257">
            <v>26</v>
          </cell>
          <cell r="L257">
            <v>25</v>
          </cell>
          <cell r="M257">
            <v>24</v>
          </cell>
        </row>
        <row r="258">
          <cell r="A258" t="str">
            <v>DQ9043A1</v>
          </cell>
          <cell r="B258">
            <v>671</v>
          </cell>
          <cell r="C258">
            <v>36.6</v>
          </cell>
          <cell r="D258">
            <v>0</v>
          </cell>
          <cell r="E258">
            <v>36.6</v>
          </cell>
          <cell r="F258" t="str">
            <v>调货</v>
          </cell>
          <cell r="G258" t="str">
            <v>北汽BJ40 2.3T</v>
          </cell>
          <cell r="H258">
            <v>44</v>
          </cell>
          <cell r="I258">
            <v>43</v>
          </cell>
          <cell r="J258">
            <v>43</v>
          </cell>
          <cell r="K258">
            <v>42</v>
          </cell>
          <cell r="L258">
            <v>41</v>
          </cell>
          <cell r="M258">
            <v>41</v>
          </cell>
        </row>
        <row r="259">
          <cell r="A259" t="str">
            <v>DQ910806</v>
          </cell>
          <cell r="B259">
            <v>661</v>
          </cell>
          <cell r="C259">
            <v>29.7308706267378</v>
          </cell>
          <cell r="D259">
            <v>1.93549151840446</v>
          </cell>
          <cell r="E259">
            <v>27.7953791083333</v>
          </cell>
          <cell r="F259" t="str">
            <v>自制</v>
          </cell>
          <cell r="G259" t="str">
            <v>凯美瑞</v>
          </cell>
          <cell r="H259">
            <v>41</v>
          </cell>
          <cell r="I259">
            <v>39</v>
          </cell>
          <cell r="J259">
            <v>38</v>
          </cell>
          <cell r="K259">
            <v>36</v>
          </cell>
          <cell r="L259">
            <v>35</v>
          </cell>
          <cell r="M259">
            <v>33</v>
          </cell>
        </row>
        <row r="260">
          <cell r="A260" t="str">
            <v>DQ9204A</v>
          </cell>
          <cell r="B260">
            <v>658</v>
          </cell>
          <cell r="C260">
            <v>32.402995713</v>
          </cell>
          <cell r="D260">
            <v>0</v>
          </cell>
          <cell r="E260">
            <v>32.402995713</v>
          </cell>
          <cell r="F260" t="str">
            <v>自制</v>
          </cell>
          <cell r="G260" t="str">
            <v>特拉卡</v>
          </cell>
          <cell r="H260">
            <v>44</v>
          </cell>
          <cell r="I260">
            <v>43</v>
          </cell>
          <cell r="J260">
            <v>41</v>
          </cell>
          <cell r="K260">
            <v>39</v>
          </cell>
          <cell r="L260">
            <v>38</v>
          </cell>
          <cell r="M260">
            <v>36</v>
          </cell>
        </row>
        <row r="261">
          <cell r="A261" t="str">
            <v>DQ9025H1</v>
          </cell>
          <cell r="B261">
            <v>657</v>
          </cell>
          <cell r="C261">
            <v>84.5628938245787</v>
          </cell>
          <cell r="D261">
            <v>-3.23495617542135</v>
          </cell>
          <cell r="E261">
            <v>87.79785</v>
          </cell>
          <cell r="F261" t="str">
            <v>调货</v>
          </cell>
          <cell r="G261" t="str">
            <v>奔驰A2709060500</v>
          </cell>
          <cell r="H261">
            <v>101</v>
          </cell>
          <cell r="I261">
            <v>99</v>
          </cell>
          <cell r="J261">
            <v>98</v>
          </cell>
          <cell r="K261">
            <v>96</v>
          </cell>
          <cell r="L261">
            <v>95</v>
          </cell>
          <cell r="M261">
            <v>94</v>
          </cell>
        </row>
        <row r="262">
          <cell r="A262" t="str">
            <v>DQ9066A1</v>
          </cell>
          <cell r="B262">
            <v>655</v>
          </cell>
          <cell r="C262">
            <v>41.58</v>
          </cell>
          <cell r="D262">
            <v>0</v>
          </cell>
          <cell r="E262">
            <v>41.58</v>
          </cell>
          <cell r="F262" t="str">
            <v>调货</v>
          </cell>
          <cell r="G262" t="str">
            <v>吉利缤越1.5T</v>
          </cell>
          <cell r="H262">
            <v>50</v>
          </cell>
          <cell r="I262">
            <v>49</v>
          </cell>
          <cell r="J262">
            <v>48</v>
          </cell>
          <cell r="K262">
            <v>47</v>
          </cell>
          <cell r="L262">
            <v>47</v>
          </cell>
          <cell r="M262">
            <v>46</v>
          </cell>
        </row>
        <row r="263">
          <cell r="A263" t="str">
            <v>DQ9407</v>
          </cell>
          <cell r="B263">
            <v>654</v>
          </cell>
          <cell r="C263">
            <v>122.9025</v>
          </cell>
          <cell r="D263">
            <v>0</v>
          </cell>
          <cell r="E263">
            <v>122.9025</v>
          </cell>
          <cell r="F263" t="str">
            <v>调货</v>
          </cell>
          <cell r="G263" t="str">
            <v>雪佛兰索尼克</v>
          </cell>
          <cell r="H263">
            <v>147</v>
          </cell>
          <cell r="I263">
            <v>144</v>
          </cell>
          <cell r="J263">
            <v>142</v>
          </cell>
          <cell r="K263">
            <v>139</v>
          </cell>
          <cell r="L263">
            <v>138</v>
          </cell>
          <cell r="M263">
            <v>136</v>
          </cell>
        </row>
        <row r="264">
          <cell r="A264" t="str">
            <v>DQ9117A</v>
          </cell>
          <cell r="B264">
            <v>651</v>
          </cell>
          <cell r="C264">
            <v>27.62473791</v>
          </cell>
          <cell r="D264">
            <v>0</v>
          </cell>
          <cell r="E264">
            <v>27.62473791</v>
          </cell>
          <cell r="F264" t="str">
            <v>自制</v>
          </cell>
          <cell r="G264" t="str">
            <v>北斗星K14B（日立系统）</v>
          </cell>
          <cell r="H264">
            <v>38</v>
          </cell>
          <cell r="I264">
            <v>36</v>
          </cell>
          <cell r="J264">
            <v>35</v>
          </cell>
          <cell r="K264">
            <v>34</v>
          </cell>
          <cell r="L264">
            <v>32</v>
          </cell>
          <cell r="M264">
            <v>31</v>
          </cell>
        </row>
        <row r="265">
          <cell r="A265" t="str">
            <v>DQ9016F1</v>
          </cell>
          <cell r="B265">
            <v>648</v>
          </cell>
          <cell r="C265">
            <v>40.30009984</v>
          </cell>
          <cell r="D265">
            <v>0</v>
          </cell>
          <cell r="E265">
            <v>40.30009984</v>
          </cell>
          <cell r="F265" t="str">
            <v>自制</v>
          </cell>
          <cell r="G265" t="str">
            <v>昂科旗</v>
          </cell>
          <cell r="H265">
            <v>55</v>
          </cell>
          <cell r="I265">
            <v>53</v>
          </cell>
          <cell r="J265">
            <v>51</v>
          </cell>
          <cell r="K265">
            <v>49</v>
          </cell>
          <cell r="L265">
            <v>47</v>
          </cell>
          <cell r="M265">
            <v>45</v>
          </cell>
        </row>
        <row r="266">
          <cell r="A266" t="str">
            <v>DQ9213A2</v>
          </cell>
          <cell r="B266">
            <v>646</v>
          </cell>
          <cell r="C266">
            <v>23.8266927</v>
          </cell>
          <cell r="D266">
            <v>0</v>
          </cell>
          <cell r="E266">
            <v>23.8266927</v>
          </cell>
          <cell r="F266" t="str">
            <v>自制</v>
          </cell>
          <cell r="G266" t="str">
            <v>长安悦翔V3</v>
          </cell>
          <cell r="H266">
            <v>33</v>
          </cell>
          <cell r="I266">
            <v>31</v>
          </cell>
          <cell r="J266">
            <v>30</v>
          </cell>
          <cell r="K266">
            <v>29</v>
          </cell>
          <cell r="L266">
            <v>28</v>
          </cell>
          <cell r="M266">
            <v>27</v>
          </cell>
        </row>
        <row r="267">
          <cell r="A267" t="str">
            <v>DQ9045C1</v>
          </cell>
          <cell r="B267">
            <v>643</v>
          </cell>
          <cell r="C267">
            <v>32.52858114</v>
          </cell>
          <cell r="D267">
            <v>0</v>
          </cell>
          <cell r="E267">
            <v>32.52858114</v>
          </cell>
          <cell r="F267" t="str">
            <v>自制</v>
          </cell>
          <cell r="G267" t="str">
            <v>斯巴鲁傲虎 2.0T</v>
          </cell>
          <cell r="H267">
            <v>44</v>
          </cell>
          <cell r="I267">
            <v>43</v>
          </cell>
          <cell r="J267">
            <v>41</v>
          </cell>
          <cell r="K267">
            <v>40</v>
          </cell>
          <cell r="L267">
            <v>38</v>
          </cell>
          <cell r="M267">
            <v>36</v>
          </cell>
        </row>
        <row r="268">
          <cell r="A268" t="str">
            <v>DQ6107</v>
          </cell>
          <cell r="B268">
            <v>639</v>
          </cell>
          <cell r="C268">
            <v>25.61</v>
          </cell>
          <cell r="D268">
            <v>0</v>
          </cell>
          <cell r="E268">
            <v>25.61</v>
          </cell>
          <cell r="F268" t="str">
            <v>调货</v>
          </cell>
          <cell r="G268" t="str">
            <v>本田雅阁</v>
          </cell>
          <cell r="H268">
            <v>31</v>
          </cell>
          <cell r="I268">
            <v>30</v>
          </cell>
          <cell r="J268">
            <v>30</v>
          </cell>
          <cell r="K268">
            <v>29</v>
          </cell>
          <cell r="L268">
            <v>29</v>
          </cell>
          <cell r="M268">
            <v>29</v>
          </cell>
        </row>
        <row r="269">
          <cell r="A269" t="str">
            <v>DQ9130D2</v>
          </cell>
          <cell r="B269">
            <v>625</v>
          </cell>
          <cell r="C269">
            <v>22.3257066</v>
          </cell>
          <cell r="D269">
            <v>0</v>
          </cell>
          <cell r="E269">
            <v>22.3257066</v>
          </cell>
          <cell r="F269" t="str">
            <v>自制</v>
          </cell>
          <cell r="G269" t="str">
            <v>福特野马</v>
          </cell>
          <cell r="H269">
            <v>31</v>
          </cell>
          <cell r="I269">
            <v>30</v>
          </cell>
          <cell r="J269">
            <v>28</v>
          </cell>
          <cell r="K269">
            <v>27</v>
          </cell>
          <cell r="L269">
            <v>26</v>
          </cell>
          <cell r="M269">
            <v>25</v>
          </cell>
        </row>
        <row r="270">
          <cell r="A270" t="str">
            <v>DQ9212A</v>
          </cell>
          <cell r="B270">
            <v>624</v>
          </cell>
          <cell r="C270">
            <v>26.74928663</v>
          </cell>
          <cell r="D270">
            <v>0</v>
          </cell>
          <cell r="E270">
            <v>26.74928663</v>
          </cell>
          <cell r="F270" t="str">
            <v>自制</v>
          </cell>
          <cell r="G270" t="str">
            <v>中华尊驰/骏捷4G93</v>
          </cell>
          <cell r="H270">
            <v>37</v>
          </cell>
          <cell r="I270">
            <v>35</v>
          </cell>
          <cell r="J270">
            <v>34</v>
          </cell>
          <cell r="K270">
            <v>33</v>
          </cell>
          <cell r="L270">
            <v>31</v>
          </cell>
          <cell r="M270">
            <v>30</v>
          </cell>
        </row>
        <row r="271">
          <cell r="A271" t="str">
            <v>DQ9126A1</v>
          </cell>
          <cell r="B271">
            <v>618</v>
          </cell>
          <cell r="C271">
            <v>30.4253760833333</v>
          </cell>
          <cell r="D271">
            <v>0</v>
          </cell>
          <cell r="E271">
            <v>30.4253760833333</v>
          </cell>
          <cell r="F271" t="str">
            <v>自制</v>
          </cell>
          <cell r="G271" t="str">
            <v>路虎揽胜/极光</v>
          </cell>
          <cell r="H271">
            <v>42</v>
          </cell>
          <cell r="I271">
            <v>40</v>
          </cell>
          <cell r="J271">
            <v>39</v>
          </cell>
          <cell r="K271">
            <v>37</v>
          </cell>
          <cell r="L271">
            <v>35</v>
          </cell>
          <cell r="M271">
            <v>34</v>
          </cell>
        </row>
        <row r="272">
          <cell r="A272" t="str">
            <v>DQ6407B</v>
          </cell>
          <cell r="B272">
            <v>605</v>
          </cell>
          <cell r="C272">
            <v>39.1396577629851</v>
          </cell>
          <cell r="D272">
            <v>-0.19211493701494</v>
          </cell>
          <cell r="E272">
            <v>39.3317727</v>
          </cell>
          <cell r="F272" t="str">
            <v>自制</v>
          </cell>
          <cell r="G272" t="str">
            <v>嘉年华1.5</v>
          </cell>
          <cell r="H272">
            <v>53</v>
          </cell>
          <cell r="I272">
            <v>51</v>
          </cell>
          <cell r="J272">
            <v>49</v>
          </cell>
          <cell r="K272">
            <v>47</v>
          </cell>
          <cell r="L272">
            <v>46</v>
          </cell>
          <cell r="M272">
            <v>44</v>
          </cell>
        </row>
        <row r="273">
          <cell r="A273" t="str">
            <v>DQ9074A1</v>
          </cell>
          <cell r="B273">
            <v>604</v>
          </cell>
          <cell r="C273">
            <v>41.58</v>
          </cell>
          <cell r="D273">
            <v>0</v>
          </cell>
          <cell r="E273">
            <v>41.58</v>
          </cell>
          <cell r="F273" t="str">
            <v>调货</v>
          </cell>
          <cell r="G273" t="str">
            <v>广汽传祺GM8 2.0T</v>
          </cell>
          <cell r="H273">
            <v>50</v>
          </cell>
          <cell r="I273">
            <v>49</v>
          </cell>
          <cell r="J273">
            <v>48</v>
          </cell>
          <cell r="K273">
            <v>47</v>
          </cell>
          <cell r="L273">
            <v>47</v>
          </cell>
          <cell r="M273">
            <v>46</v>
          </cell>
        </row>
        <row r="274">
          <cell r="A274" t="str">
            <v>DQ4115A1</v>
          </cell>
          <cell r="B274">
            <v>600</v>
          </cell>
          <cell r="C274">
            <v>32.520285</v>
          </cell>
          <cell r="D274">
            <v>0</v>
          </cell>
          <cell r="E274">
            <v>32.520285</v>
          </cell>
          <cell r="F274" t="str">
            <v>调货</v>
          </cell>
          <cell r="G274" t="str">
            <v>90919-02098</v>
          </cell>
          <cell r="H274">
            <v>39</v>
          </cell>
          <cell r="I274">
            <v>39</v>
          </cell>
          <cell r="J274">
            <v>38</v>
          </cell>
          <cell r="K274">
            <v>37</v>
          </cell>
          <cell r="L274">
            <v>37</v>
          </cell>
          <cell r="M274">
            <v>36</v>
          </cell>
        </row>
        <row r="275">
          <cell r="A275" t="str">
            <v>DQ9208</v>
          </cell>
          <cell r="B275">
            <v>599</v>
          </cell>
          <cell r="C275">
            <v>32.75951745</v>
          </cell>
          <cell r="D275">
            <v>0</v>
          </cell>
          <cell r="E275">
            <v>32.75951745</v>
          </cell>
          <cell r="F275" t="str">
            <v>自制</v>
          </cell>
          <cell r="G275" t="str">
            <v>江淮瑞风 三插</v>
          </cell>
          <cell r="H275">
            <v>45</v>
          </cell>
          <cell r="I275">
            <v>43</v>
          </cell>
          <cell r="J275">
            <v>41</v>
          </cell>
          <cell r="K275">
            <v>40</v>
          </cell>
          <cell r="L275">
            <v>38</v>
          </cell>
          <cell r="M275">
            <v>37</v>
          </cell>
        </row>
        <row r="276">
          <cell r="A276" t="str">
            <v>DQ9030A2</v>
          </cell>
          <cell r="B276">
            <v>596</v>
          </cell>
          <cell r="C276">
            <v>35.0119449311879</v>
          </cell>
          <cell r="D276">
            <v>1.28305193118794</v>
          </cell>
          <cell r="E276">
            <v>33.728893</v>
          </cell>
          <cell r="F276" t="str">
            <v>自制</v>
          </cell>
          <cell r="G276" t="str">
            <v>比亚迪S7(灰色杆）</v>
          </cell>
          <cell r="H276">
            <v>48</v>
          </cell>
          <cell r="I276">
            <v>46</v>
          </cell>
          <cell r="J276">
            <v>44</v>
          </cell>
          <cell r="K276">
            <v>43</v>
          </cell>
          <cell r="L276">
            <v>41</v>
          </cell>
          <cell r="M276">
            <v>39</v>
          </cell>
        </row>
        <row r="277">
          <cell r="A277" t="str">
            <v>DQ9209L</v>
          </cell>
          <cell r="B277">
            <v>595</v>
          </cell>
          <cell r="C277">
            <v>21.26144185</v>
          </cell>
          <cell r="D277">
            <v>0</v>
          </cell>
          <cell r="E277">
            <v>21.26144185</v>
          </cell>
          <cell r="F277" t="str">
            <v>自制</v>
          </cell>
          <cell r="G277" t="str">
            <v>菱悦V3</v>
          </cell>
          <cell r="H277">
            <v>29</v>
          </cell>
          <cell r="I277">
            <v>28</v>
          </cell>
          <cell r="J277">
            <v>27</v>
          </cell>
          <cell r="K277">
            <v>26</v>
          </cell>
          <cell r="L277">
            <v>25</v>
          </cell>
          <cell r="M277">
            <v>24</v>
          </cell>
        </row>
        <row r="278">
          <cell r="A278" t="str">
            <v>DQ9041A1</v>
          </cell>
          <cell r="B278">
            <v>582</v>
          </cell>
          <cell r="C278">
            <v>23.11858747</v>
          </cell>
          <cell r="D278">
            <v>0</v>
          </cell>
          <cell r="E278">
            <v>23.11858747</v>
          </cell>
          <cell r="F278" t="str">
            <v>自制</v>
          </cell>
          <cell r="G278" t="str">
            <v>众泰大迈X5 1.5T</v>
          </cell>
          <cell r="H278">
            <v>32</v>
          </cell>
          <cell r="I278">
            <v>31</v>
          </cell>
          <cell r="J278">
            <v>29</v>
          </cell>
          <cell r="K278">
            <v>28</v>
          </cell>
          <cell r="L278">
            <v>27</v>
          </cell>
          <cell r="M278">
            <v>26</v>
          </cell>
        </row>
        <row r="279">
          <cell r="A279" t="str">
            <v>DQ9021</v>
          </cell>
          <cell r="B279">
            <v>571</v>
          </cell>
          <cell r="C279">
            <v>22.08794456</v>
          </cell>
          <cell r="D279">
            <v>0</v>
          </cell>
          <cell r="E279">
            <v>22.08794456</v>
          </cell>
          <cell r="F279" t="str">
            <v>自制</v>
          </cell>
          <cell r="G279" t="str">
            <v>比亚迪F0</v>
          </cell>
          <cell r="H279">
            <v>30</v>
          </cell>
          <cell r="I279">
            <v>29</v>
          </cell>
          <cell r="J279">
            <v>28</v>
          </cell>
          <cell r="K279">
            <v>27</v>
          </cell>
          <cell r="L279">
            <v>26</v>
          </cell>
          <cell r="M279">
            <v>25</v>
          </cell>
        </row>
        <row r="280">
          <cell r="A280" t="str">
            <v>DQ9062A1</v>
          </cell>
          <cell r="B280">
            <v>564</v>
          </cell>
          <cell r="C280">
            <v>41.58</v>
          </cell>
          <cell r="D280">
            <v>0</v>
          </cell>
          <cell r="E280">
            <v>41.58</v>
          </cell>
          <cell r="F280" t="str">
            <v>调货</v>
          </cell>
          <cell r="G280" t="str">
            <v>东风风行 风行M7</v>
          </cell>
          <cell r="H280">
            <v>50</v>
          </cell>
          <cell r="I280">
            <v>49</v>
          </cell>
          <cell r="J280">
            <v>48</v>
          </cell>
          <cell r="K280">
            <v>47</v>
          </cell>
          <cell r="L280">
            <v>47</v>
          </cell>
          <cell r="M280">
            <v>46</v>
          </cell>
        </row>
        <row r="281">
          <cell r="A281" t="str">
            <v>DQ9013</v>
          </cell>
          <cell r="B281">
            <v>555</v>
          </cell>
          <cell r="C281">
            <v>39.6</v>
          </cell>
          <cell r="D281">
            <v>0</v>
          </cell>
          <cell r="E281">
            <v>39.6</v>
          </cell>
          <cell r="F281" t="str">
            <v>调货</v>
          </cell>
          <cell r="G281" t="str">
            <v>铃木（笔式）</v>
          </cell>
          <cell r="H281">
            <v>48</v>
          </cell>
          <cell r="I281">
            <v>47</v>
          </cell>
          <cell r="J281">
            <v>46</v>
          </cell>
          <cell r="K281">
            <v>45</v>
          </cell>
          <cell r="L281">
            <v>45</v>
          </cell>
          <cell r="M281">
            <v>44</v>
          </cell>
        </row>
        <row r="282">
          <cell r="A282" t="str">
            <v>DQ9003H8</v>
          </cell>
          <cell r="B282">
            <v>553</v>
          </cell>
          <cell r="C282">
            <v>27.56760644</v>
          </cell>
          <cell r="D282">
            <v>0</v>
          </cell>
          <cell r="E282">
            <v>27.56760644</v>
          </cell>
          <cell r="F282" t="str">
            <v>自制</v>
          </cell>
          <cell r="G282" t="str">
            <v>SM3 2.0</v>
          </cell>
          <cell r="H282">
            <v>38</v>
          </cell>
          <cell r="I282">
            <v>36</v>
          </cell>
          <cell r="J282">
            <v>35</v>
          </cell>
          <cell r="K282">
            <v>34</v>
          </cell>
          <cell r="L282">
            <v>32</v>
          </cell>
          <cell r="M282">
            <v>31</v>
          </cell>
        </row>
        <row r="283">
          <cell r="A283" t="str">
            <v>DQ9118</v>
          </cell>
          <cell r="B283">
            <v>551</v>
          </cell>
          <cell r="C283">
            <v>29.572953306</v>
          </cell>
          <cell r="D283">
            <v>0</v>
          </cell>
          <cell r="E283">
            <v>29.572953306</v>
          </cell>
          <cell r="F283" t="str">
            <v>自制</v>
          </cell>
          <cell r="G283" t="str">
            <v>夏利N5</v>
          </cell>
          <cell r="H283">
            <v>40</v>
          </cell>
          <cell r="I283">
            <v>39</v>
          </cell>
          <cell r="J283">
            <v>37</v>
          </cell>
          <cell r="K283">
            <v>36</v>
          </cell>
          <cell r="L283">
            <v>35</v>
          </cell>
          <cell r="M283">
            <v>33</v>
          </cell>
        </row>
        <row r="284">
          <cell r="A284" t="str">
            <v>DQ9031E1</v>
          </cell>
          <cell r="B284">
            <v>551</v>
          </cell>
          <cell r="C284">
            <v>36.8303130442405</v>
          </cell>
          <cell r="D284">
            <v>1.36827819424047</v>
          </cell>
          <cell r="E284">
            <v>35.46203485</v>
          </cell>
          <cell r="F284" t="str">
            <v>自制</v>
          </cell>
          <cell r="G284" t="str">
            <v>MG6 1.5T</v>
          </cell>
          <cell r="H284">
            <v>50</v>
          </cell>
          <cell r="I284">
            <v>48</v>
          </cell>
          <cell r="J284">
            <v>47</v>
          </cell>
          <cell r="K284">
            <v>45</v>
          </cell>
          <cell r="L284">
            <v>43</v>
          </cell>
          <cell r="M284">
            <v>41</v>
          </cell>
        </row>
        <row r="285">
          <cell r="A285" t="str">
            <v>DQ9002A</v>
          </cell>
          <cell r="B285">
            <v>544</v>
          </cell>
          <cell r="C285">
            <v>19.08009422</v>
          </cell>
          <cell r="D285">
            <v>0</v>
          </cell>
          <cell r="E285">
            <v>19.08009422</v>
          </cell>
          <cell r="F285" t="str">
            <v>自制</v>
          </cell>
          <cell r="G285" t="str">
            <v>马六两插</v>
          </cell>
          <cell r="H285">
            <v>26</v>
          </cell>
          <cell r="I285">
            <v>25</v>
          </cell>
          <cell r="J285">
            <v>24</v>
          </cell>
          <cell r="K285">
            <v>23</v>
          </cell>
          <cell r="L285">
            <v>22</v>
          </cell>
          <cell r="M285">
            <v>21</v>
          </cell>
        </row>
        <row r="286">
          <cell r="A286" t="str">
            <v>DQ9215A</v>
          </cell>
          <cell r="B286">
            <v>541</v>
          </cell>
          <cell r="C286">
            <v>23.1670065</v>
          </cell>
          <cell r="D286">
            <v>0</v>
          </cell>
          <cell r="E286">
            <v>23.1670065</v>
          </cell>
          <cell r="F286" t="str">
            <v>自制</v>
          </cell>
          <cell r="G286" t="str">
            <v>比亚迪F3</v>
          </cell>
          <cell r="H286">
            <v>32</v>
          </cell>
          <cell r="I286">
            <v>31</v>
          </cell>
          <cell r="J286">
            <v>29</v>
          </cell>
          <cell r="K286">
            <v>28</v>
          </cell>
          <cell r="L286">
            <v>27</v>
          </cell>
          <cell r="M286">
            <v>26</v>
          </cell>
        </row>
        <row r="287">
          <cell r="A287" t="str">
            <v>DQ9130D1</v>
          </cell>
          <cell r="B287">
            <v>538</v>
          </cell>
          <cell r="C287">
            <v>21.8054066</v>
          </cell>
          <cell r="D287">
            <v>0</v>
          </cell>
          <cell r="E287">
            <v>21.8054066</v>
          </cell>
          <cell r="F287" t="str">
            <v>自制</v>
          </cell>
          <cell r="G287" t="str">
            <v>福特林肯</v>
          </cell>
          <cell r="H287">
            <v>30</v>
          </cell>
          <cell r="I287">
            <v>29</v>
          </cell>
          <cell r="J287">
            <v>28</v>
          </cell>
          <cell r="K287">
            <v>27</v>
          </cell>
          <cell r="L287">
            <v>26</v>
          </cell>
          <cell r="M287">
            <v>24</v>
          </cell>
        </row>
        <row r="288">
          <cell r="A288" t="str">
            <v>DQ9007L1</v>
          </cell>
          <cell r="B288">
            <v>530</v>
          </cell>
          <cell r="C288">
            <v>30.6394139283333</v>
          </cell>
          <cell r="D288">
            <v>0</v>
          </cell>
          <cell r="E288">
            <v>30.6394139283333</v>
          </cell>
          <cell r="F288" t="str">
            <v>自制</v>
          </cell>
          <cell r="G288" t="str">
            <v>现代IX35</v>
          </cell>
          <cell r="H288">
            <v>42</v>
          </cell>
          <cell r="I288">
            <v>40</v>
          </cell>
          <cell r="J288">
            <v>39</v>
          </cell>
          <cell r="K288">
            <v>37</v>
          </cell>
          <cell r="L288">
            <v>36</v>
          </cell>
          <cell r="M288">
            <v>34</v>
          </cell>
        </row>
        <row r="289">
          <cell r="A289" t="str">
            <v>DQ9132C1</v>
          </cell>
          <cell r="B289">
            <v>521</v>
          </cell>
          <cell r="C289">
            <v>29.40934836</v>
          </cell>
          <cell r="D289">
            <v>0</v>
          </cell>
          <cell r="E289">
            <v>29.40934836</v>
          </cell>
          <cell r="F289" t="str">
            <v>自制</v>
          </cell>
          <cell r="G289" t="str">
            <v>一汽森雅M80  1.5L</v>
          </cell>
          <cell r="H289">
            <v>40</v>
          </cell>
          <cell r="I289">
            <v>39</v>
          </cell>
          <cell r="J289">
            <v>37</v>
          </cell>
          <cell r="K289">
            <v>36</v>
          </cell>
          <cell r="L289">
            <v>34</v>
          </cell>
          <cell r="M289">
            <v>33</v>
          </cell>
        </row>
        <row r="290">
          <cell r="A290" t="str">
            <v>DQ9209K2</v>
          </cell>
          <cell r="B290">
            <v>519</v>
          </cell>
          <cell r="C290">
            <v>26.4956945</v>
          </cell>
          <cell r="D290">
            <v>0</v>
          </cell>
          <cell r="E290">
            <v>26.4956945</v>
          </cell>
          <cell r="F290" t="str">
            <v>自制</v>
          </cell>
          <cell r="G290" t="str">
            <v>长安CS75</v>
          </cell>
          <cell r="H290">
            <v>36</v>
          </cell>
          <cell r="I290">
            <v>35</v>
          </cell>
          <cell r="J290">
            <v>34</v>
          </cell>
          <cell r="K290">
            <v>32</v>
          </cell>
          <cell r="L290">
            <v>31</v>
          </cell>
          <cell r="M290">
            <v>30</v>
          </cell>
        </row>
        <row r="291">
          <cell r="A291" t="str">
            <v>DQ9132H1</v>
          </cell>
          <cell r="B291">
            <v>518</v>
          </cell>
          <cell r="C291">
            <v>29.7276031933333</v>
          </cell>
          <cell r="D291">
            <v>0</v>
          </cell>
          <cell r="E291">
            <v>29.7276031933333</v>
          </cell>
          <cell r="F291" t="str">
            <v>自制</v>
          </cell>
          <cell r="G291" t="str">
            <v>丰田Agya (9004A-19005)</v>
          </cell>
          <cell r="H291">
            <v>41</v>
          </cell>
          <cell r="I291">
            <v>39</v>
          </cell>
          <cell r="J291">
            <v>38</v>
          </cell>
          <cell r="K291">
            <v>36</v>
          </cell>
          <cell r="L291">
            <v>35</v>
          </cell>
          <cell r="M291">
            <v>33</v>
          </cell>
        </row>
        <row r="292">
          <cell r="A292" t="str">
            <v>DQ9162A1</v>
          </cell>
          <cell r="B292">
            <v>516</v>
          </cell>
          <cell r="C292">
            <v>54.159</v>
          </cell>
          <cell r="D292">
            <v>0</v>
          </cell>
          <cell r="E292">
            <v>54.159</v>
          </cell>
          <cell r="F292" t="str">
            <v>调货</v>
          </cell>
          <cell r="G292" t="str">
            <v>吉普道奇</v>
          </cell>
          <cell r="H292">
            <v>65</v>
          </cell>
          <cell r="I292">
            <v>64</v>
          </cell>
          <cell r="J292">
            <v>63</v>
          </cell>
          <cell r="K292">
            <v>62</v>
          </cell>
          <cell r="L292">
            <v>61</v>
          </cell>
          <cell r="M292">
            <v>60</v>
          </cell>
        </row>
        <row r="293">
          <cell r="A293" t="str">
            <v>DQ9034A4</v>
          </cell>
          <cell r="B293">
            <v>512</v>
          </cell>
          <cell r="C293">
            <v>27.0213681</v>
          </cell>
          <cell r="D293">
            <v>0</v>
          </cell>
          <cell r="E293">
            <v>27.0213681</v>
          </cell>
          <cell r="F293" t="str">
            <v>自制</v>
          </cell>
          <cell r="G293" t="str">
            <v>纳智捷优6 1.8T</v>
          </cell>
          <cell r="H293">
            <v>37</v>
          </cell>
          <cell r="I293">
            <v>36</v>
          </cell>
          <cell r="J293">
            <v>34</v>
          </cell>
          <cell r="K293">
            <v>33</v>
          </cell>
          <cell r="L293">
            <v>32</v>
          </cell>
          <cell r="M293">
            <v>30</v>
          </cell>
        </row>
        <row r="294">
          <cell r="A294" t="str">
            <v>DQ4105A1</v>
          </cell>
          <cell r="B294">
            <v>510</v>
          </cell>
          <cell r="C294">
            <v>31.110332275</v>
          </cell>
          <cell r="D294">
            <v>0</v>
          </cell>
          <cell r="E294">
            <v>31.110332275</v>
          </cell>
          <cell r="F294" t="str">
            <v>自制</v>
          </cell>
          <cell r="G294" t="str">
            <v>雪佛兰科迈罗</v>
          </cell>
          <cell r="H294">
            <v>42</v>
          </cell>
          <cell r="I294">
            <v>41</v>
          </cell>
          <cell r="J294">
            <v>39</v>
          </cell>
          <cell r="K294">
            <v>38</v>
          </cell>
          <cell r="L294">
            <v>36</v>
          </cell>
          <cell r="M294">
            <v>35</v>
          </cell>
        </row>
        <row r="295">
          <cell r="A295" t="str">
            <v>DQ9025F1</v>
          </cell>
          <cell r="B295">
            <v>509</v>
          </cell>
          <cell r="C295">
            <v>64.4184596393248</v>
          </cell>
          <cell r="D295">
            <v>0.390617904324771</v>
          </cell>
          <cell r="E295">
            <v>64.027841735</v>
          </cell>
          <cell r="F295" t="str">
            <v>自制</v>
          </cell>
          <cell r="G295" t="str">
            <v>奔驰S400L(新奔驰276系列)</v>
          </cell>
          <cell r="H295">
            <v>87</v>
          </cell>
          <cell r="I295">
            <v>84</v>
          </cell>
          <cell r="J295">
            <v>81</v>
          </cell>
          <cell r="K295">
            <v>78</v>
          </cell>
          <cell r="L295">
            <v>75</v>
          </cell>
          <cell r="M295">
            <v>71</v>
          </cell>
        </row>
        <row r="296">
          <cell r="A296" t="str">
            <v>DQ9017A1</v>
          </cell>
          <cell r="B296">
            <v>504</v>
          </cell>
          <cell r="C296">
            <v>32.2331820636416</v>
          </cell>
          <cell r="D296">
            <v>0.0592494929748961</v>
          </cell>
          <cell r="E296">
            <v>32.1739325706667</v>
          </cell>
          <cell r="F296" t="str">
            <v>自制</v>
          </cell>
          <cell r="G296" t="str">
            <v>沃尔沃</v>
          </cell>
          <cell r="H296">
            <v>44</v>
          </cell>
          <cell r="I296">
            <v>42</v>
          </cell>
          <cell r="J296">
            <v>41</v>
          </cell>
          <cell r="K296">
            <v>39</v>
          </cell>
          <cell r="L296">
            <v>38</v>
          </cell>
          <cell r="M296">
            <v>36</v>
          </cell>
        </row>
        <row r="297">
          <cell r="A297" t="str">
            <v>DQ9068A1</v>
          </cell>
          <cell r="B297">
            <v>503</v>
          </cell>
          <cell r="C297">
            <v>43.68</v>
          </cell>
          <cell r="D297">
            <v>0</v>
          </cell>
          <cell r="E297">
            <v>43.68</v>
          </cell>
          <cell r="F297" t="str">
            <v>调货</v>
          </cell>
          <cell r="G297" t="str">
            <v>宝沃BX5 1.4T /福田伽途GT 1.4T</v>
          </cell>
          <cell r="H297">
            <v>52</v>
          </cell>
          <cell r="I297">
            <v>52</v>
          </cell>
          <cell r="J297">
            <v>51</v>
          </cell>
          <cell r="K297">
            <v>50</v>
          </cell>
          <cell r="L297">
            <v>49</v>
          </cell>
          <cell r="M297">
            <v>49</v>
          </cell>
        </row>
        <row r="298">
          <cell r="A298" t="str">
            <v>DQ9209Q</v>
          </cell>
          <cell r="B298">
            <v>495</v>
          </cell>
          <cell r="C298">
            <v>21.12779185</v>
          </cell>
          <cell r="D298">
            <v>0</v>
          </cell>
          <cell r="E298">
            <v>21.12779185</v>
          </cell>
          <cell r="F298" t="str">
            <v>自制</v>
          </cell>
          <cell r="G298" t="str">
            <v>奇瑞开瑞</v>
          </cell>
          <cell r="H298">
            <v>29</v>
          </cell>
          <cell r="I298">
            <v>28</v>
          </cell>
          <cell r="J298">
            <v>27</v>
          </cell>
          <cell r="K298">
            <v>26</v>
          </cell>
          <cell r="L298">
            <v>25</v>
          </cell>
          <cell r="M298">
            <v>24</v>
          </cell>
        </row>
        <row r="299">
          <cell r="A299" t="str">
            <v>DQ9205A2</v>
          </cell>
          <cell r="B299">
            <v>494</v>
          </cell>
          <cell r="C299">
            <v>34.0925827</v>
          </cell>
          <cell r="D299">
            <v>0</v>
          </cell>
          <cell r="E299">
            <v>34.0925827</v>
          </cell>
          <cell r="F299" t="str">
            <v>自制</v>
          </cell>
          <cell r="G299" t="str">
            <v>菱智1.5L</v>
          </cell>
          <cell r="H299">
            <v>47</v>
          </cell>
          <cell r="I299">
            <v>45</v>
          </cell>
          <cell r="J299">
            <v>43</v>
          </cell>
          <cell r="K299">
            <v>41</v>
          </cell>
          <cell r="L299">
            <v>40</v>
          </cell>
          <cell r="M299">
            <v>38</v>
          </cell>
        </row>
        <row r="300">
          <cell r="A300" t="str">
            <v>DQ9046B1</v>
          </cell>
          <cell r="B300">
            <v>492</v>
          </cell>
          <cell r="C300">
            <v>22.84054674</v>
          </cell>
          <cell r="D300">
            <v>0</v>
          </cell>
          <cell r="E300">
            <v>22.84054674</v>
          </cell>
          <cell r="F300" t="str">
            <v>自制</v>
          </cell>
          <cell r="G300" t="str">
            <v>吉利美日 2.0L</v>
          </cell>
          <cell r="H300">
            <v>31</v>
          </cell>
          <cell r="I300">
            <v>30</v>
          </cell>
          <cell r="J300">
            <v>29</v>
          </cell>
          <cell r="K300">
            <v>28</v>
          </cell>
          <cell r="L300">
            <v>27</v>
          </cell>
          <cell r="M300">
            <v>26</v>
          </cell>
        </row>
        <row r="301">
          <cell r="A301" t="str">
            <v>DQ9219C1</v>
          </cell>
          <cell r="B301">
            <v>487</v>
          </cell>
          <cell r="C301">
            <v>23.11442507</v>
          </cell>
          <cell r="D301">
            <v>0</v>
          </cell>
          <cell r="E301">
            <v>23.11442507</v>
          </cell>
          <cell r="F301" t="str">
            <v>自制</v>
          </cell>
          <cell r="G301" t="str">
            <v>瑞虎5 2.0/瑞虎3 1.6</v>
          </cell>
          <cell r="H301">
            <v>32</v>
          </cell>
          <cell r="I301">
            <v>31</v>
          </cell>
          <cell r="J301">
            <v>29</v>
          </cell>
          <cell r="K301">
            <v>28</v>
          </cell>
          <cell r="L301">
            <v>27</v>
          </cell>
          <cell r="M301">
            <v>26</v>
          </cell>
        </row>
        <row r="302">
          <cell r="A302" t="str">
            <v>DQ9132E1</v>
          </cell>
          <cell r="B302">
            <v>483</v>
          </cell>
          <cell r="C302">
            <v>28.3512684366667</v>
          </cell>
          <cell r="D302">
            <v>0</v>
          </cell>
          <cell r="E302">
            <v>28.3512684366667</v>
          </cell>
          <cell r="F302" t="str">
            <v>自制</v>
          </cell>
          <cell r="G302" t="str">
            <v>大发 米拉</v>
          </cell>
          <cell r="H302">
            <v>39</v>
          </cell>
          <cell r="I302">
            <v>37</v>
          </cell>
          <cell r="J302">
            <v>36</v>
          </cell>
          <cell r="K302">
            <v>35</v>
          </cell>
          <cell r="L302">
            <v>33</v>
          </cell>
          <cell r="M302">
            <v>32</v>
          </cell>
        </row>
        <row r="303">
          <cell r="A303" t="str">
            <v>DQ9212</v>
          </cell>
          <cell r="B303">
            <v>482</v>
          </cell>
          <cell r="C303">
            <v>24.60901663</v>
          </cell>
          <cell r="D303">
            <v>0</v>
          </cell>
          <cell r="E303">
            <v>24.60901663</v>
          </cell>
          <cell r="F303" t="str">
            <v>自制</v>
          </cell>
          <cell r="G303" t="str">
            <v>中华4G94</v>
          </cell>
          <cell r="H303">
            <v>34</v>
          </cell>
          <cell r="I303">
            <v>32</v>
          </cell>
          <cell r="J303">
            <v>31</v>
          </cell>
          <cell r="K303">
            <v>30</v>
          </cell>
          <cell r="L303">
            <v>29</v>
          </cell>
          <cell r="M303">
            <v>28</v>
          </cell>
        </row>
        <row r="304">
          <cell r="A304" t="str">
            <v>DQ9132J1</v>
          </cell>
          <cell r="B304">
            <v>476</v>
          </cell>
          <cell r="C304">
            <v>34.29204723</v>
          </cell>
          <cell r="D304">
            <v>0</v>
          </cell>
          <cell r="E304">
            <v>34.29204723</v>
          </cell>
          <cell r="F304" t="str">
            <v>自制</v>
          </cell>
          <cell r="G304" t="str">
            <v>大发B2050</v>
          </cell>
          <cell r="H304">
            <v>47</v>
          </cell>
          <cell r="I304">
            <v>45</v>
          </cell>
          <cell r="J304">
            <v>43</v>
          </cell>
          <cell r="K304">
            <v>42</v>
          </cell>
          <cell r="L304">
            <v>40</v>
          </cell>
          <cell r="M304">
            <v>38</v>
          </cell>
        </row>
        <row r="305">
          <cell r="A305" t="str">
            <v>DQ9219B1</v>
          </cell>
          <cell r="B305">
            <v>466</v>
          </cell>
          <cell r="C305">
            <v>23.8781208246667</v>
          </cell>
          <cell r="D305">
            <v>0</v>
          </cell>
          <cell r="E305">
            <v>23.8781208246667</v>
          </cell>
          <cell r="F305" t="str">
            <v>自制</v>
          </cell>
          <cell r="G305" t="str">
            <v>瑞风M3/M4</v>
          </cell>
          <cell r="H305">
            <v>33</v>
          </cell>
          <cell r="I305">
            <v>32</v>
          </cell>
          <cell r="J305">
            <v>30</v>
          </cell>
          <cell r="K305">
            <v>29</v>
          </cell>
          <cell r="L305">
            <v>28</v>
          </cell>
          <cell r="M305">
            <v>27</v>
          </cell>
        </row>
        <row r="306">
          <cell r="A306" t="str">
            <v>DQ9209S</v>
          </cell>
          <cell r="B306">
            <v>460</v>
          </cell>
          <cell r="C306">
            <v>23.33604185</v>
          </cell>
          <cell r="D306">
            <v>0</v>
          </cell>
          <cell r="E306">
            <v>23.33604185</v>
          </cell>
          <cell r="F306" t="str">
            <v>自制</v>
          </cell>
          <cell r="G306" t="str">
            <v>比亚迪S6</v>
          </cell>
          <cell r="H306">
            <v>32</v>
          </cell>
          <cell r="I306">
            <v>31</v>
          </cell>
          <cell r="J306">
            <v>30</v>
          </cell>
          <cell r="K306">
            <v>29</v>
          </cell>
          <cell r="L306">
            <v>27</v>
          </cell>
          <cell r="M306">
            <v>26</v>
          </cell>
        </row>
        <row r="307">
          <cell r="A307" t="str">
            <v>DQ9219A5</v>
          </cell>
          <cell r="B307">
            <v>460</v>
          </cell>
          <cell r="C307">
            <v>19.195069575</v>
          </cell>
          <cell r="D307">
            <v>0</v>
          </cell>
          <cell r="E307">
            <v>19.195069575</v>
          </cell>
          <cell r="F307" t="str">
            <v>自制</v>
          </cell>
          <cell r="G307" t="str">
            <v>哈飞骏意</v>
          </cell>
          <cell r="H307">
            <v>26</v>
          </cell>
          <cell r="I307">
            <v>25</v>
          </cell>
          <cell r="J307">
            <v>24</v>
          </cell>
          <cell r="K307">
            <v>24</v>
          </cell>
          <cell r="L307">
            <v>23</v>
          </cell>
          <cell r="M307">
            <v>22</v>
          </cell>
        </row>
        <row r="308">
          <cell r="A308" t="str">
            <v>DQ9130C1</v>
          </cell>
          <cell r="B308">
            <v>456</v>
          </cell>
          <cell r="C308">
            <v>24.459119354</v>
          </cell>
          <cell r="D308">
            <v>0</v>
          </cell>
          <cell r="E308">
            <v>24.459119354</v>
          </cell>
          <cell r="F308" t="str">
            <v>自制</v>
          </cell>
          <cell r="G308" t="str">
            <v>福特翼虎(美规)3.0L</v>
          </cell>
          <cell r="H308">
            <v>34</v>
          </cell>
          <cell r="I308">
            <v>32</v>
          </cell>
          <cell r="J308">
            <v>31</v>
          </cell>
          <cell r="K308">
            <v>30</v>
          </cell>
          <cell r="L308">
            <v>29</v>
          </cell>
          <cell r="M308">
            <v>27</v>
          </cell>
        </row>
        <row r="309">
          <cell r="A309" t="str">
            <v>DQ910829</v>
          </cell>
          <cell r="B309">
            <v>454</v>
          </cell>
          <cell r="C309">
            <v>27.488190554</v>
          </cell>
          <cell r="D309">
            <v>0</v>
          </cell>
          <cell r="E309">
            <v>27.488190554</v>
          </cell>
          <cell r="F309" t="str">
            <v>自制</v>
          </cell>
          <cell r="G309" t="str">
            <v>丰田02229</v>
          </cell>
          <cell r="H309">
            <v>38</v>
          </cell>
          <cell r="I309">
            <v>36</v>
          </cell>
          <cell r="J309">
            <v>35</v>
          </cell>
          <cell r="K309">
            <v>33</v>
          </cell>
          <cell r="L309">
            <v>32</v>
          </cell>
          <cell r="M309">
            <v>31</v>
          </cell>
        </row>
        <row r="310">
          <cell r="A310" t="str">
            <v>DQ9217B</v>
          </cell>
          <cell r="B310">
            <v>452</v>
          </cell>
          <cell r="C310">
            <v>29.8227853</v>
          </cell>
          <cell r="D310">
            <v>0</v>
          </cell>
          <cell r="E310">
            <v>29.8227853</v>
          </cell>
          <cell r="F310" t="str">
            <v>自制</v>
          </cell>
          <cell r="G310" t="str">
            <v>福美来短杆（国外）</v>
          </cell>
          <cell r="H310">
            <v>41</v>
          </cell>
          <cell r="I310">
            <v>39</v>
          </cell>
          <cell r="J310">
            <v>38</v>
          </cell>
          <cell r="K310">
            <v>36</v>
          </cell>
          <cell r="L310">
            <v>35</v>
          </cell>
          <cell r="M310">
            <v>33</v>
          </cell>
        </row>
        <row r="311">
          <cell r="A311" t="str">
            <v>DQ9036B1</v>
          </cell>
          <cell r="B311">
            <v>450</v>
          </cell>
          <cell r="C311">
            <v>26.51877107</v>
          </cell>
          <cell r="D311">
            <v>0</v>
          </cell>
          <cell r="E311">
            <v>26.51877107</v>
          </cell>
          <cell r="F311" t="str">
            <v>自制</v>
          </cell>
          <cell r="G311" t="str">
            <v>菲亚特</v>
          </cell>
          <cell r="H311">
            <v>36</v>
          </cell>
          <cell r="I311">
            <v>35</v>
          </cell>
          <cell r="J311">
            <v>34</v>
          </cell>
          <cell r="K311">
            <v>32</v>
          </cell>
          <cell r="L311">
            <v>31</v>
          </cell>
          <cell r="M311">
            <v>30</v>
          </cell>
        </row>
        <row r="312">
          <cell r="A312" t="str">
            <v>DQ9026A2</v>
          </cell>
          <cell r="B312">
            <v>449</v>
          </cell>
          <cell r="C312">
            <v>33.3772909423163</v>
          </cell>
          <cell r="D312">
            <v>3.22549586231626</v>
          </cell>
          <cell r="E312">
            <v>30.15179508</v>
          </cell>
          <cell r="F312" t="str">
            <v>自制</v>
          </cell>
          <cell r="G312" t="str">
            <v>捷豹 XJL(进口) 5.0L/5.0T</v>
          </cell>
          <cell r="H312">
            <v>46</v>
          </cell>
          <cell r="I312">
            <v>44</v>
          </cell>
          <cell r="J312">
            <v>42</v>
          </cell>
          <cell r="K312">
            <v>41</v>
          </cell>
          <cell r="L312">
            <v>39</v>
          </cell>
          <cell r="M312">
            <v>37</v>
          </cell>
        </row>
        <row r="313">
          <cell r="A313" t="str">
            <v>DQ9026A1</v>
          </cell>
          <cell r="B313">
            <v>448</v>
          </cell>
          <cell r="C313">
            <v>33.1347233604993</v>
          </cell>
          <cell r="D313">
            <v>2.69719052049933</v>
          </cell>
          <cell r="E313">
            <v>30.43753284</v>
          </cell>
          <cell r="F313" t="str">
            <v>自制</v>
          </cell>
          <cell r="G313" t="str">
            <v>路虎5.0T</v>
          </cell>
          <cell r="H313">
            <v>45</v>
          </cell>
          <cell r="I313">
            <v>44</v>
          </cell>
          <cell r="J313">
            <v>42</v>
          </cell>
          <cell r="K313">
            <v>40</v>
          </cell>
          <cell r="L313">
            <v>39</v>
          </cell>
          <cell r="M313">
            <v>37</v>
          </cell>
        </row>
        <row r="314">
          <cell r="A314" t="str">
            <v>DQ9062A3</v>
          </cell>
          <cell r="B314">
            <v>448</v>
          </cell>
          <cell r="C314">
            <v>41.58</v>
          </cell>
          <cell r="D314">
            <v>0</v>
          </cell>
          <cell r="E314">
            <v>41.58</v>
          </cell>
          <cell r="F314" t="str">
            <v>调货</v>
          </cell>
          <cell r="G314" t="str">
            <v>长城风骏5 2.4L</v>
          </cell>
          <cell r="H314">
            <v>50</v>
          </cell>
          <cell r="I314">
            <v>49</v>
          </cell>
          <cell r="J314">
            <v>48</v>
          </cell>
          <cell r="K314">
            <v>47</v>
          </cell>
          <cell r="L314">
            <v>47</v>
          </cell>
          <cell r="M314">
            <v>46</v>
          </cell>
        </row>
        <row r="315">
          <cell r="A315" t="str">
            <v>DQ9101C2</v>
          </cell>
          <cell r="B315">
            <v>447</v>
          </cell>
          <cell r="C315">
            <v>19.1553511166667</v>
          </cell>
          <cell r="D315">
            <v>0</v>
          </cell>
          <cell r="E315">
            <v>19.1553511166667</v>
          </cell>
          <cell r="F315" t="str">
            <v>自制</v>
          </cell>
          <cell r="G315" t="str">
            <v>现代ix35</v>
          </cell>
          <cell r="H315">
            <v>26</v>
          </cell>
          <cell r="I315">
            <v>25</v>
          </cell>
          <cell r="J315">
            <v>24</v>
          </cell>
          <cell r="K315">
            <v>23</v>
          </cell>
          <cell r="L315">
            <v>23</v>
          </cell>
          <cell r="M315">
            <v>22</v>
          </cell>
        </row>
        <row r="316">
          <cell r="A316" t="str">
            <v>DQ9209J</v>
          </cell>
          <cell r="B316">
            <v>446</v>
          </cell>
          <cell r="C316">
            <v>21.38079185</v>
          </cell>
          <cell r="D316">
            <v>0</v>
          </cell>
          <cell r="E316">
            <v>21.38079185</v>
          </cell>
          <cell r="F316" t="str">
            <v>自制</v>
          </cell>
          <cell r="G316" t="str">
            <v>吉利远景</v>
          </cell>
          <cell r="H316">
            <v>29</v>
          </cell>
          <cell r="I316">
            <v>28</v>
          </cell>
          <cell r="J316">
            <v>27</v>
          </cell>
          <cell r="K316">
            <v>26</v>
          </cell>
          <cell r="L316">
            <v>25</v>
          </cell>
          <cell r="M316">
            <v>24</v>
          </cell>
        </row>
        <row r="317">
          <cell r="A317" t="str">
            <v>DQ9010D</v>
          </cell>
          <cell r="B317">
            <v>441</v>
          </cell>
          <cell r="C317">
            <v>25.3882787</v>
          </cell>
          <cell r="D317">
            <v>0</v>
          </cell>
          <cell r="E317">
            <v>25.3882787</v>
          </cell>
          <cell r="F317" t="str">
            <v>自制</v>
          </cell>
          <cell r="G317" t="str">
            <v>新飞度</v>
          </cell>
          <cell r="H317">
            <v>35</v>
          </cell>
          <cell r="I317">
            <v>34</v>
          </cell>
          <cell r="J317">
            <v>32</v>
          </cell>
          <cell r="K317">
            <v>31</v>
          </cell>
          <cell r="L317">
            <v>30</v>
          </cell>
          <cell r="M317">
            <v>28</v>
          </cell>
        </row>
        <row r="318">
          <cell r="A318" t="str">
            <v>DQ4201A1</v>
          </cell>
          <cell r="B318">
            <v>440</v>
          </cell>
          <cell r="C318">
            <v>47.1765</v>
          </cell>
          <cell r="D318">
            <v>0</v>
          </cell>
          <cell r="E318">
            <v>47.1765</v>
          </cell>
          <cell r="F318" t="str">
            <v>调货</v>
          </cell>
          <cell r="G318" t="str">
            <v>奔驰210</v>
          </cell>
          <cell r="H318">
            <v>57</v>
          </cell>
          <cell r="I318">
            <v>56</v>
          </cell>
          <cell r="J318">
            <v>55</v>
          </cell>
          <cell r="K318">
            <v>54</v>
          </cell>
          <cell r="L318">
            <v>53</v>
          </cell>
          <cell r="M318">
            <v>52</v>
          </cell>
        </row>
        <row r="319">
          <cell r="A319" t="str">
            <v>DQ9045D1</v>
          </cell>
          <cell r="B319">
            <v>435</v>
          </cell>
          <cell r="C319">
            <v>48.93</v>
          </cell>
          <cell r="D319">
            <v>0</v>
          </cell>
          <cell r="E319">
            <v>48.93</v>
          </cell>
          <cell r="F319" t="str">
            <v>调货</v>
          </cell>
          <cell r="G319" t="str">
            <v>斯巴鲁森林人2.0L</v>
          </cell>
          <cell r="H319">
            <v>59</v>
          </cell>
          <cell r="I319">
            <v>58</v>
          </cell>
          <cell r="J319">
            <v>57</v>
          </cell>
          <cell r="K319">
            <v>56</v>
          </cell>
          <cell r="L319">
            <v>55</v>
          </cell>
          <cell r="M319">
            <v>54</v>
          </cell>
        </row>
        <row r="320">
          <cell r="A320" t="str">
            <v>DQ9103F</v>
          </cell>
          <cell r="B320">
            <v>434</v>
          </cell>
          <cell r="C320">
            <v>40.4989467</v>
          </cell>
          <cell r="D320">
            <v>0</v>
          </cell>
          <cell r="E320">
            <v>40.4989467</v>
          </cell>
          <cell r="F320" t="str">
            <v>自制</v>
          </cell>
          <cell r="G320" t="str">
            <v>途观 1.8T</v>
          </cell>
          <cell r="H320">
            <v>55</v>
          </cell>
          <cell r="I320">
            <v>53</v>
          </cell>
          <cell r="J320">
            <v>51</v>
          </cell>
          <cell r="K320">
            <v>49</v>
          </cell>
          <cell r="L320">
            <v>47</v>
          </cell>
          <cell r="M320">
            <v>45</v>
          </cell>
        </row>
        <row r="321">
          <cell r="A321" t="str">
            <v>DQ910804</v>
          </cell>
          <cell r="B321">
            <v>434</v>
          </cell>
          <cell r="C321">
            <v>29.7546849795031</v>
          </cell>
          <cell r="D321">
            <v>1.8410558711698</v>
          </cell>
          <cell r="E321">
            <v>27.9136291083333</v>
          </cell>
          <cell r="F321" t="str">
            <v>自制</v>
          </cell>
          <cell r="G321" t="str">
            <v>锐志</v>
          </cell>
          <cell r="H321">
            <v>41</v>
          </cell>
          <cell r="I321">
            <v>39</v>
          </cell>
          <cell r="J321">
            <v>38</v>
          </cell>
          <cell r="K321">
            <v>36</v>
          </cell>
          <cell r="L321">
            <v>35</v>
          </cell>
          <cell r="M321">
            <v>33</v>
          </cell>
        </row>
        <row r="322">
          <cell r="A322" t="str">
            <v>DQ9003F1</v>
          </cell>
          <cell r="B322">
            <v>425</v>
          </cell>
          <cell r="C322">
            <v>27.7042496682444</v>
          </cell>
          <cell r="D322">
            <v>1.17120422824443</v>
          </cell>
          <cell r="E322">
            <v>26.53304544</v>
          </cell>
          <cell r="F322" t="str">
            <v>自制</v>
          </cell>
          <cell r="G322" t="str">
            <v>日产 370Z  V6 3.7L/英菲尼迪</v>
          </cell>
          <cell r="H322">
            <v>38</v>
          </cell>
          <cell r="I322">
            <v>37</v>
          </cell>
          <cell r="J322">
            <v>35</v>
          </cell>
          <cell r="K322">
            <v>34</v>
          </cell>
          <cell r="L322">
            <v>32</v>
          </cell>
          <cell r="M322">
            <v>31</v>
          </cell>
        </row>
        <row r="323">
          <cell r="A323" t="str">
            <v>DQ9064A1</v>
          </cell>
          <cell r="B323">
            <v>422</v>
          </cell>
          <cell r="C323">
            <v>32.7103495026822</v>
          </cell>
          <cell r="D323">
            <v>0.469199242682223</v>
          </cell>
          <cell r="E323">
            <v>32.24115026</v>
          </cell>
          <cell r="F323" t="str">
            <v>自制</v>
          </cell>
          <cell r="G323" t="str">
            <v>上汽MAXUS G10</v>
          </cell>
          <cell r="H323">
            <v>45</v>
          </cell>
          <cell r="I323">
            <v>43</v>
          </cell>
          <cell r="J323">
            <v>41</v>
          </cell>
          <cell r="K323">
            <v>40</v>
          </cell>
          <cell r="L323">
            <v>38</v>
          </cell>
          <cell r="M323">
            <v>36</v>
          </cell>
        </row>
        <row r="324">
          <cell r="A324" t="str">
            <v>DQ9062A2</v>
          </cell>
          <cell r="B324">
            <v>422</v>
          </cell>
          <cell r="C324">
            <v>41.58</v>
          </cell>
          <cell r="D324">
            <v>0</v>
          </cell>
          <cell r="E324">
            <v>41.58</v>
          </cell>
          <cell r="F324" t="str">
            <v>调货</v>
          </cell>
          <cell r="G324" t="str">
            <v>新款东风柳汽</v>
          </cell>
          <cell r="H324">
            <v>50</v>
          </cell>
          <cell r="I324">
            <v>49</v>
          </cell>
          <cell r="J324">
            <v>48</v>
          </cell>
          <cell r="K324">
            <v>47</v>
          </cell>
          <cell r="L324">
            <v>47</v>
          </cell>
          <cell r="M324">
            <v>46</v>
          </cell>
        </row>
        <row r="325">
          <cell r="A325" t="str">
            <v>DQ9046A2</v>
          </cell>
          <cell r="B325">
            <v>421</v>
          </cell>
          <cell r="C325">
            <v>22.22729674</v>
          </cell>
          <cell r="D325">
            <v>0</v>
          </cell>
          <cell r="E325">
            <v>22.22729674</v>
          </cell>
          <cell r="F325" t="str">
            <v>自制</v>
          </cell>
          <cell r="G325" t="str">
            <v>力帆330 1.3L</v>
          </cell>
          <cell r="H325">
            <v>31</v>
          </cell>
          <cell r="I325">
            <v>29</v>
          </cell>
          <cell r="J325">
            <v>28</v>
          </cell>
          <cell r="K325">
            <v>27</v>
          </cell>
          <cell r="L325">
            <v>26</v>
          </cell>
          <cell r="M325">
            <v>25</v>
          </cell>
        </row>
        <row r="326">
          <cell r="A326" t="str">
            <v>DQ9132K1</v>
          </cell>
          <cell r="B326">
            <v>415</v>
          </cell>
          <cell r="C326">
            <v>34.788381354</v>
          </cell>
          <cell r="D326">
            <v>0</v>
          </cell>
          <cell r="E326">
            <v>34.788381354</v>
          </cell>
          <cell r="F326" t="str">
            <v>自制</v>
          </cell>
          <cell r="G326" t="str">
            <v>大发B2040</v>
          </cell>
          <cell r="H326">
            <v>47</v>
          </cell>
          <cell r="I326">
            <v>46</v>
          </cell>
          <cell r="J326">
            <v>44</v>
          </cell>
          <cell r="K326">
            <v>42</v>
          </cell>
          <cell r="L326">
            <v>41</v>
          </cell>
          <cell r="M326">
            <v>39</v>
          </cell>
        </row>
        <row r="327">
          <cell r="A327" t="str">
            <v>DQ9025K1</v>
          </cell>
          <cell r="B327">
            <v>407</v>
          </cell>
          <cell r="C327">
            <v>45.1884685818141</v>
          </cell>
          <cell r="D327">
            <v>7.19723002181408</v>
          </cell>
          <cell r="E327">
            <v>37.99123856</v>
          </cell>
          <cell r="F327" t="str">
            <v>自制</v>
          </cell>
          <cell r="G327" t="str">
            <v>奔驰1.3T</v>
          </cell>
          <cell r="H327">
            <v>62</v>
          </cell>
          <cell r="I327">
            <v>59</v>
          </cell>
          <cell r="J327">
            <v>57</v>
          </cell>
          <cell r="K327">
            <v>55</v>
          </cell>
          <cell r="L327">
            <v>52</v>
          </cell>
          <cell r="M327">
            <v>50</v>
          </cell>
        </row>
        <row r="328">
          <cell r="A328" t="str">
            <v>DQ9113E1</v>
          </cell>
          <cell r="B328">
            <v>403</v>
          </cell>
          <cell r="C328">
            <v>31.6382705733333</v>
          </cell>
          <cell r="D328">
            <v>0</v>
          </cell>
          <cell r="E328">
            <v>31.6382705733333</v>
          </cell>
          <cell r="F328" t="str">
            <v>自制</v>
          </cell>
          <cell r="G328" t="str">
            <v>6Y02 奔驰</v>
          </cell>
          <cell r="H328">
            <v>43</v>
          </cell>
          <cell r="I328">
            <v>42</v>
          </cell>
          <cell r="J328">
            <v>40</v>
          </cell>
          <cell r="K328">
            <v>38</v>
          </cell>
          <cell r="L328">
            <v>37</v>
          </cell>
          <cell r="M328">
            <v>35</v>
          </cell>
        </row>
        <row r="329">
          <cell r="A329" t="str">
            <v>DQ9105L</v>
          </cell>
          <cell r="B329">
            <v>396</v>
          </cell>
          <cell r="C329">
            <v>21.1823959606667</v>
          </cell>
          <cell r="D329">
            <v>0</v>
          </cell>
          <cell r="E329">
            <v>21.1823959606667</v>
          </cell>
          <cell r="F329" t="str">
            <v>自制</v>
          </cell>
          <cell r="G329" t="str">
            <v>奇瑞QQ 0.8L</v>
          </cell>
          <cell r="H329">
            <v>29</v>
          </cell>
          <cell r="I329">
            <v>28</v>
          </cell>
          <cell r="J329">
            <v>27</v>
          </cell>
          <cell r="K329">
            <v>26</v>
          </cell>
          <cell r="L329">
            <v>25</v>
          </cell>
          <cell r="M329">
            <v>24</v>
          </cell>
        </row>
        <row r="330">
          <cell r="A330" t="str">
            <v>DQ133A</v>
          </cell>
          <cell r="B330">
            <v>393</v>
          </cell>
          <cell r="C330">
            <v>44.8702011790004</v>
          </cell>
          <cell r="D330">
            <v>-0.795099820999578</v>
          </cell>
          <cell r="E330">
            <v>45.665301</v>
          </cell>
          <cell r="F330" t="str">
            <v>自制</v>
          </cell>
          <cell r="G330" t="str">
            <v>福特(四头)</v>
          </cell>
          <cell r="H330">
            <v>61</v>
          </cell>
          <cell r="I330">
            <v>59</v>
          </cell>
          <cell r="J330">
            <v>57</v>
          </cell>
          <cell r="K330">
            <v>54</v>
          </cell>
          <cell r="L330">
            <v>52</v>
          </cell>
          <cell r="M330">
            <v>50</v>
          </cell>
        </row>
        <row r="331">
          <cell r="A331" t="str">
            <v>DQ9103H</v>
          </cell>
          <cell r="B331">
            <v>388</v>
          </cell>
          <cell r="C331">
            <v>30.42075383</v>
          </cell>
          <cell r="D331">
            <v>0</v>
          </cell>
          <cell r="E331">
            <v>30.42075383</v>
          </cell>
          <cell r="F331" t="str">
            <v>自制</v>
          </cell>
          <cell r="G331" t="str">
            <v>辉腾</v>
          </cell>
          <cell r="H331">
            <v>42</v>
          </cell>
          <cell r="I331">
            <v>40</v>
          </cell>
          <cell r="J331">
            <v>39</v>
          </cell>
          <cell r="K331">
            <v>37</v>
          </cell>
          <cell r="L331">
            <v>35</v>
          </cell>
          <cell r="M331">
            <v>34</v>
          </cell>
        </row>
        <row r="332">
          <cell r="A332" t="str">
            <v>DQ9060A1</v>
          </cell>
          <cell r="B332">
            <v>386</v>
          </cell>
          <cell r="C332">
            <v>26.06785247</v>
          </cell>
          <cell r="D332">
            <v>0</v>
          </cell>
          <cell r="E332">
            <v>26.06785247</v>
          </cell>
          <cell r="F332" t="str">
            <v>自制</v>
          </cell>
          <cell r="G332" t="str">
            <v>东风风光Ixi5</v>
          </cell>
          <cell r="H332">
            <v>36</v>
          </cell>
          <cell r="I332">
            <v>34</v>
          </cell>
          <cell r="J332">
            <v>33</v>
          </cell>
          <cell r="K332">
            <v>32</v>
          </cell>
          <cell r="L332">
            <v>30</v>
          </cell>
          <cell r="M332">
            <v>29</v>
          </cell>
        </row>
        <row r="333">
          <cell r="A333" t="str">
            <v>DQ9003A5</v>
          </cell>
          <cell r="B333">
            <v>385</v>
          </cell>
          <cell r="C333">
            <v>24.88534444</v>
          </cell>
          <cell r="D333">
            <v>0</v>
          </cell>
          <cell r="E333">
            <v>24.88534444</v>
          </cell>
          <cell r="F333" t="str">
            <v>自制</v>
          </cell>
          <cell r="G333" t="str">
            <v>SM3</v>
          </cell>
          <cell r="H333">
            <v>34</v>
          </cell>
          <cell r="I333">
            <v>33</v>
          </cell>
          <cell r="J333">
            <v>32</v>
          </cell>
          <cell r="K333">
            <v>30</v>
          </cell>
          <cell r="L333">
            <v>29</v>
          </cell>
          <cell r="M333">
            <v>28</v>
          </cell>
        </row>
        <row r="334">
          <cell r="A334" t="str">
            <v>DQ9023C2</v>
          </cell>
          <cell r="B334">
            <v>384</v>
          </cell>
          <cell r="C334">
            <v>30.8626322533333</v>
          </cell>
          <cell r="D334">
            <v>0</v>
          </cell>
          <cell r="E334">
            <v>30.8626322533333</v>
          </cell>
          <cell r="F334" t="str">
            <v>自制</v>
          </cell>
          <cell r="G334" t="str">
            <v>大众斯柯达</v>
          </cell>
          <cell r="H334">
            <v>42</v>
          </cell>
          <cell r="I334">
            <v>41</v>
          </cell>
          <cell r="J334">
            <v>39</v>
          </cell>
          <cell r="K334">
            <v>38</v>
          </cell>
          <cell r="L334">
            <v>36</v>
          </cell>
          <cell r="M334">
            <v>34</v>
          </cell>
        </row>
        <row r="335">
          <cell r="A335" t="str">
            <v>DQ9057A1</v>
          </cell>
          <cell r="B335">
            <v>376</v>
          </cell>
          <cell r="C335">
            <v>42.3658152808989</v>
          </cell>
          <cell r="D335">
            <v>0.785815280898877</v>
          </cell>
          <cell r="E335">
            <v>41.58</v>
          </cell>
          <cell r="F335" t="str">
            <v>调货</v>
          </cell>
          <cell r="G335" t="str">
            <v>比速T5</v>
          </cell>
          <cell r="H335">
            <v>51</v>
          </cell>
          <cell r="I335">
            <v>50</v>
          </cell>
          <cell r="J335">
            <v>49</v>
          </cell>
          <cell r="K335">
            <v>48</v>
          </cell>
          <cell r="L335">
            <v>48</v>
          </cell>
          <cell r="M335">
            <v>47</v>
          </cell>
        </row>
        <row r="336">
          <cell r="A336" t="str">
            <v>DQ6206</v>
          </cell>
          <cell r="B336">
            <v>375</v>
          </cell>
          <cell r="C336">
            <v>24.93</v>
          </cell>
          <cell r="D336">
            <v>0</v>
          </cell>
          <cell r="E336">
            <v>24.93</v>
          </cell>
          <cell r="F336" t="str">
            <v>调货</v>
          </cell>
          <cell r="G336" t="str">
            <v>三菱帕杰罗二代</v>
          </cell>
          <cell r="H336">
            <v>30</v>
          </cell>
          <cell r="I336">
            <v>30</v>
          </cell>
          <cell r="J336">
            <v>29</v>
          </cell>
          <cell r="K336">
            <v>29</v>
          </cell>
          <cell r="L336">
            <v>28</v>
          </cell>
          <cell r="M336">
            <v>28</v>
          </cell>
        </row>
        <row r="337">
          <cell r="A337" t="str">
            <v>DQ9113A</v>
          </cell>
          <cell r="B337">
            <v>371</v>
          </cell>
          <cell r="C337">
            <v>18.4441049666667</v>
          </cell>
          <cell r="D337">
            <v>0</v>
          </cell>
          <cell r="E337">
            <v>18.4441049666667</v>
          </cell>
          <cell r="F337" t="str">
            <v>自制</v>
          </cell>
          <cell r="G337" t="str">
            <v>长城嘉誉无模块</v>
          </cell>
          <cell r="H337">
            <v>25</v>
          </cell>
          <cell r="I337">
            <v>24</v>
          </cell>
          <cell r="J337">
            <v>24</v>
          </cell>
          <cell r="K337">
            <v>23</v>
          </cell>
          <cell r="L337">
            <v>22</v>
          </cell>
          <cell r="M337">
            <v>21</v>
          </cell>
        </row>
        <row r="338">
          <cell r="A338" t="str">
            <v>DQ6209</v>
          </cell>
          <cell r="B338">
            <v>371</v>
          </cell>
          <cell r="C338">
            <v>45.63</v>
          </cell>
          <cell r="D338">
            <v>0</v>
          </cell>
          <cell r="E338">
            <v>45.63</v>
          </cell>
          <cell r="F338" t="str">
            <v>调货</v>
          </cell>
          <cell r="G338" t="str">
            <v>丰田霸道2700</v>
          </cell>
          <cell r="H338">
            <v>55</v>
          </cell>
          <cell r="I338">
            <v>54</v>
          </cell>
          <cell r="J338">
            <v>53</v>
          </cell>
          <cell r="K338">
            <v>52</v>
          </cell>
          <cell r="L338">
            <v>52</v>
          </cell>
          <cell r="M338">
            <v>51</v>
          </cell>
        </row>
        <row r="339">
          <cell r="A339" t="str">
            <v>DQ9121A1</v>
          </cell>
          <cell r="B339">
            <v>368</v>
          </cell>
          <cell r="C339">
            <v>33.0486131083333</v>
          </cell>
          <cell r="D339">
            <v>0</v>
          </cell>
          <cell r="E339">
            <v>33.0486131083333</v>
          </cell>
          <cell r="F339" t="str">
            <v>自制</v>
          </cell>
          <cell r="G339" t="str">
            <v>凯迪拉克</v>
          </cell>
          <cell r="H339">
            <v>45</v>
          </cell>
          <cell r="I339">
            <v>43</v>
          </cell>
          <cell r="J339">
            <v>42</v>
          </cell>
          <cell r="K339">
            <v>40</v>
          </cell>
          <cell r="L339">
            <v>39</v>
          </cell>
          <cell r="M339">
            <v>37</v>
          </cell>
        </row>
        <row r="340">
          <cell r="A340" t="str">
            <v>DQ9150D1</v>
          </cell>
          <cell r="B340">
            <v>367</v>
          </cell>
          <cell r="C340">
            <v>49.791</v>
          </cell>
          <cell r="D340">
            <v>0</v>
          </cell>
          <cell r="E340">
            <v>49.791</v>
          </cell>
          <cell r="F340" t="str">
            <v>调货</v>
          </cell>
          <cell r="G340" t="str">
            <v>捷豹</v>
          </cell>
          <cell r="H340">
            <v>60</v>
          </cell>
          <cell r="I340">
            <v>59</v>
          </cell>
          <cell r="J340">
            <v>58</v>
          </cell>
          <cell r="K340">
            <v>57</v>
          </cell>
          <cell r="L340">
            <v>56</v>
          </cell>
          <cell r="M340">
            <v>55</v>
          </cell>
        </row>
        <row r="341">
          <cell r="A341" t="str">
            <v>DQ901872</v>
          </cell>
          <cell r="B341">
            <v>366</v>
          </cell>
          <cell r="C341">
            <v>47.11011411519</v>
          </cell>
          <cell r="D341">
            <v>1.31226411519</v>
          </cell>
          <cell r="E341">
            <v>45.79785</v>
          </cell>
          <cell r="F341" t="str">
            <v>调货</v>
          </cell>
          <cell r="G341" t="str">
            <v>丰田02272</v>
          </cell>
          <cell r="H341">
            <v>57</v>
          </cell>
          <cell r="I341">
            <v>56</v>
          </cell>
          <cell r="J341">
            <v>55</v>
          </cell>
          <cell r="K341">
            <v>54</v>
          </cell>
          <cell r="L341">
            <v>53</v>
          </cell>
          <cell r="M341">
            <v>52</v>
          </cell>
        </row>
        <row r="342">
          <cell r="A342" t="str">
            <v>DQ9154A1</v>
          </cell>
          <cell r="B342">
            <v>360</v>
          </cell>
          <cell r="C342">
            <v>45.78</v>
          </cell>
          <cell r="D342">
            <v>0</v>
          </cell>
          <cell r="E342">
            <v>45.78</v>
          </cell>
          <cell r="F342" t="str">
            <v>调货</v>
          </cell>
          <cell r="G342" t="str">
            <v>斯巴鲁</v>
          </cell>
          <cell r="H342">
            <v>55</v>
          </cell>
          <cell r="I342">
            <v>54</v>
          </cell>
          <cell r="J342">
            <v>53</v>
          </cell>
          <cell r="K342">
            <v>52</v>
          </cell>
          <cell r="L342">
            <v>52</v>
          </cell>
          <cell r="M342">
            <v>51</v>
          </cell>
        </row>
        <row r="343">
          <cell r="A343" t="str">
            <v>DQ134</v>
          </cell>
          <cell r="B343">
            <v>356</v>
          </cell>
          <cell r="C343">
            <v>44.7</v>
          </cell>
          <cell r="D343">
            <v>0</v>
          </cell>
          <cell r="E343">
            <v>44.7</v>
          </cell>
          <cell r="F343" t="str">
            <v>调货</v>
          </cell>
          <cell r="G343" t="str">
            <v>蒙迪欧新款（小头）2.0</v>
          </cell>
          <cell r="H343">
            <v>54</v>
          </cell>
          <cell r="I343">
            <v>53</v>
          </cell>
          <cell r="J343">
            <v>52</v>
          </cell>
          <cell r="K343">
            <v>51</v>
          </cell>
          <cell r="L343">
            <v>51</v>
          </cell>
          <cell r="M343">
            <v>50</v>
          </cell>
        </row>
        <row r="344">
          <cell r="A344" t="str">
            <v>DQ9007K1</v>
          </cell>
          <cell r="B344">
            <v>345</v>
          </cell>
          <cell r="C344">
            <v>32.577529765</v>
          </cell>
          <cell r="D344">
            <v>0</v>
          </cell>
          <cell r="E344">
            <v>32.577529765</v>
          </cell>
          <cell r="F344" t="str">
            <v>自制</v>
          </cell>
          <cell r="G344" t="str">
            <v>现代起亚</v>
          </cell>
          <cell r="H344">
            <v>44</v>
          </cell>
          <cell r="I344">
            <v>43</v>
          </cell>
          <cell r="J344">
            <v>41</v>
          </cell>
          <cell r="K344">
            <v>40</v>
          </cell>
          <cell r="L344">
            <v>38</v>
          </cell>
          <cell r="M344">
            <v>36</v>
          </cell>
        </row>
        <row r="345">
          <cell r="A345" t="str">
            <v>DQ9102</v>
          </cell>
          <cell r="B345">
            <v>337</v>
          </cell>
          <cell r="C345">
            <v>35.9784414762414</v>
          </cell>
          <cell r="D345">
            <v>0</v>
          </cell>
          <cell r="E345">
            <v>35.9784414762414</v>
          </cell>
          <cell r="F345" t="str">
            <v>自制</v>
          </cell>
          <cell r="G345" t="str">
            <v>帕萨特1.8</v>
          </cell>
          <cell r="H345">
            <v>49</v>
          </cell>
          <cell r="I345">
            <v>47</v>
          </cell>
          <cell r="J345">
            <v>45</v>
          </cell>
          <cell r="K345">
            <v>44</v>
          </cell>
          <cell r="L345">
            <v>42</v>
          </cell>
          <cell r="M345">
            <v>40</v>
          </cell>
        </row>
        <row r="346">
          <cell r="A346" t="str">
            <v>DQ9209</v>
          </cell>
          <cell r="B346">
            <v>329</v>
          </cell>
          <cell r="C346">
            <v>22.95544185</v>
          </cell>
          <cell r="D346">
            <v>0</v>
          </cell>
          <cell r="E346">
            <v>22.95544185</v>
          </cell>
          <cell r="F346" t="str">
            <v>自制</v>
          </cell>
          <cell r="G346" t="str">
            <v>五菱杨光</v>
          </cell>
          <cell r="H346">
            <v>31</v>
          </cell>
          <cell r="I346">
            <v>30</v>
          </cell>
          <cell r="J346">
            <v>29</v>
          </cell>
          <cell r="K346">
            <v>28</v>
          </cell>
          <cell r="L346">
            <v>27</v>
          </cell>
          <cell r="M346">
            <v>26</v>
          </cell>
        </row>
        <row r="347">
          <cell r="A347" t="str">
            <v>DQ9016D1</v>
          </cell>
          <cell r="B347">
            <v>329</v>
          </cell>
          <cell r="C347">
            <v>41.58</v>
          </cell>
          <cell r="D347">
            <v>0</v>
          </cell>
          <cell r="E347">
            <v>41.58</v>
          </cell>
          <cell r="F347" t="str">
            <v>调货</v>
          </cell>
          <cell r="G347" t="str">
            <v>全新凯越1.3L 2018-</v>
          </cell>
          <cell r="H347">
            <v>50</v>
          </cell>
          <cell r="I347">
            <v>49</v>
          </cell>
          <cell r="J347">
            <v>48</v>
          </cell>
          <cell r="K347">
            <v>47</v>
          </cell>
          <cell r="L347">
            <v>47</v>
          </cell>
          <cell r="M347">
            <v>46</v>
          </cell>
        </row>
        <row r="348">
          <cell r="A348" t="str">
            <v>DQ9050B1</v>
          </cell>
          <cell r="B348">
            <v>324</v>
          </cell>
          <cell r="C348">
            <v>48.94785</v>
          </cell>
          <cell r="D348">
            <v>0</v>
          </cell>
          <cell r="E348">
            <v>48.94785</v>
          </cell>
          <cell r="F348" t="str">
            <v>调货</v>
          </cell>
          <cell r="G348" t="str">
            <v>三菱 伊柯丽斯3.8L</v>
          </cell>
          <cell r="H348">
            <v>59</v>
          </cell>
          <cell r="I348">
            <v>58</v>
          </cell>
          <cell r="J348">
            <v>57</v>
          </cell>
          <cell r="K348">
            <v>56</v>
          </cell>
          <cell r="L348">
            <v>55</v>
          </cell>
          <cell r="M348">
            <v>54</v>
          </cell>
        </row>
        <row r="349">
          <cell r="A349" t="str">
            <v>DQ9065A1</v>
          </cell>
          <cell r="B349">
            <v>320</v>
          </cell>
          <cell r="C349">
            <v>39.48</v>
          </cell>
          <cell r="D349">
            <v>0</v>
          </cell>
          <cell r="E349">
            <v>39.48</v>
          </cell>
          <cell r="F349" t="str">
            <v>调货</v>
          </cell>
          <cell r="G349" t="str">
            <v>JEEP 牧马人 Sahara 2.0T</v>
          </cell>
          <cell r="H349">
            <v>47</v>
          </cell>
          <cell r="I349">
            <v>47</v>
          </cell>
          <cell r="J349">
            <v>46</v>
          </cell>
          <cell r="K349">
            <v>45</v>
          </cell>
          <cell r="L349">
            <v>45</v>
          </cell>
          <cell r="M349">
            <v>44</v>
          </cell>
        </row>
        <row r="350">
          <cell r="A350" t="str">
            <v>DQ9113B</v>
          </cell>
          <cell r="B350">
            <v>315</v>
          </cell>
          <cell r="C350">
            <v>29.69868454</v>
          </cell>
          <cell r="D350">
            <v>0</v>
          </cell>
          <cell r="E350">
            <v>29.69868454</v>
          </cell>
          <cell r="F350" t="str">
            <v>自制</v>
          </cell>
          <cell r="G350" t="str">
            <v>三菱欧蓝德</v>
          </cell>
          <cell r="H350">
            <v>41</v>
          </cell>
          <cell r="I350">
            <v>39</v>
          </cell>
          <cell r="J350">
            <v>38</v>
          </cell>
          <cell r="K350">
            <v>36</v>
          </cell>
          <cell r="L350">
            <v>35</v>
          </cell>
          <cell r="M350">
            <v>33</v>
          </cell>
        </row>
        <row r="351">
          <cell r="A351" t="str">
            <v>DQ6208</v>
          </cell>
          <cell r="B351">
            <v>313</v>
          </cell>
          <cell r="C351">
            <v>57.76</v>
          </cell>
          <cell r="D351">
            <v>0</v>
          </cell>
          <cell r="E351">
            <v>57.76</v>
          </cell>
          <cell r="F351" t="str">
            <v>调货</v>
          </cell>
          <cell r="G351" t="str">
            <v>千里马1.6L</v>
          </cell>
          <cell r="H351">
            <v>69</v>
          </cell>
          <cell r="I351">
            <v>68</v>
          </cell>
          <cell r="J351">
            <v>67</v>
          </cell>
          <cell r="K351">
            <v>66</v>
          </cell>
          <cell r="L351">
            <v>65</v>
          </cell>
          <cell r="M351">
            <v>64</v>
          </cell>
        </row>
        <row r="352">
          <cell r="A352" t="str">
            <v>DQ9034A2</v>
          </cell>
          <cell r="B352">
            <v>310</v>
          </cell>
          <cell r="C352">
            <v>26.5481481</v>
          </cell>
          <cell r="D352">
            <v>0</v>
          </cell>
          <cell r="E352">
            <v>26.5481481</v>
          </cell>
          <cell r="F352" t="str">
            <v>自制</v>
          </cell>
          <cell r="G352" t="str">
            <v>东风纳智捷</v>
          </cell>
          <cell r="H352">
            <v>36</v>
          </cell>
          <cell r="I352">
            <v>35</v>
          </cell>
          <cell r="J352">
            <v>34</v>
          </cell>
          <cell r="K352">
            <v>32</v>
          </cell>
          <cell r="L352">
            <v>31</v>
          </cell>
          <cell r="M352">
            <v>30</v>
          </cell>
        </row>
        <row r="353">
          <cell r="A353" t="str">
            <v>DQ9035A2</v>
          </cell>
          <cell r="B353">
            <v>310</v>
          </cell>
          <cell r="C353">
            <v>31.5941229866667</v>
          </cell>
          <cell r="D353">
            <v>0</v>
          </cell>
          <cell r="E353">
            <v>31.5941229866667</v>
          </cell>
          <cell r="F353" t="str">
            <v>自制</v>
          </cell>
          <cell r="G353" t="str">
            <v>奔腾 1.8T</v>
          </cell>
          <cell r="H353">
            <v>43</v>
          </cell>
          <cell r="I353">
            <v>42</v>
          </cell>
          <cell r="J353">
            <v>40</v>
          </cell>
          <cell r="K353">
            <v>38</v>
          </cell>
          <cell r="L353">
            <v>37</v>
          </cell>
          <cell r="M353">
            <v>35</v>
          </cell>
        </row>
        <row r="354">
          <cell r="A354" t="str">
            <v>DQ9039A2</v>
          </cell>
          <cell r="B354">
            <v>310</v>
          </cell>
          <cell r="C354">
            <v>23.7153673333333</v>
          </cell>
          <cell r="D354">
            <v>0</v>
          </cell>
          <cell r="E354">
            <v>23.7153673333333</v>
          </cell>
          <cell r="F354" t="str">
            <v>自制</v>
          </cell>
          <cell r="G354" t="str">
            <v>力帆迈威 1.8L</v>
          </cell>
          <cell r="H354">
            <v>33</v>
          </cell>
          <cell r="I354">
            <v>31</v>
          </cell>
          <cell r="J354">
            <v>30</v>
          </cell>
          <cell r="K354">
            <v>29</v>
          </cell>
          <cell r="L354">
            <v>28</v>
          </cell>
          <cell r="M354">
            <v>27</v>
          </cell>
        </row>
        <row r="355">
          <cell r="A355" t="str">
            <v>DQ9135A1</v>
          </cell>
          <cell r="B355">
            <v>301</v>
          </cell>
          <cell r="C355">
            <v>26.20984035</v>
          </cell>
          <cell r="D355">
            <v>0</v>
          </cell>
          <cell r="E355">
            <v>26.20984035</v>
          </cell>
          <cell r="F355" t="str">
            <v>自制</v>
          </cell>
          <cell r="G355" t="str">
            <v>标致 1.2T</v>
          </cell>
          <cell r="H355">
            <v>36</v>
          </cell>
          <cell r="I355">
            <v>35</v>
          </cell>
          <cell r="J355">
            <v>33</v>
          </cell>
          <cell r="K355">
            <v>32</v>
          </cell>
          <cell r="L355">
            <v>31</v>
          </cell>
          <cell r="M355">
            <v>29</v>
          </cell>
        </row>
        <row r="356">
          <cell r="A356" t="str">
            <v>DQ9209D</v>
          </cell>
          <cell r="B356">
            <v>299</v>
          </cell>
          <cell r="C356">
            <v>21.93079185</v>
          </cell>
          <cell r="D356">
            <v>0</v>
          </cell>
          <cell r="E356">
            <v>21.93079185</v>
          </cell>
          <cell r="F356" t="str">
            <v>自制</v>
          </cell>
          <cell r="G356" t="str">
            <v>哈飞赛马 比亚迪 菱帅</v>
          </cell>
          <cell r="H356">
            <v>30</v>
          </cell>
          <cell r="I356">
            <v>29</v>
          </cell>
          <cell r="J356">
            <v>28</v>
          </cell>
          <cell r="K356">
            <v>27</v>
          </cell>
          <cell r="L356">
            <v>26</v>
          </cell>
          <cell r="M356">
            <v>25</v>
          </cell>
        </row>
        <row r="357">
          <cell r="A357" t="str">
            <v>DQ9056A1</v>
          </cell>
          <cell r="B357">
            <v>299</v>
          </cell>
          <cell r="C357">
            <v>24.25705282</v>
          </cell>
          <cell r="D357">
            <v>0</v>
          </cell>
          <cell r="E357">
            <v>24.25705282</v>
          </cell>
          <cell r="F357" t="str">
            <v>自制</v>
          </cell>
          <cell r="G357" t="str">
            <v>东方小康</v>
          </cell>
          <cell r="H357">
            <v>33</v>
          </cell>
          <cell r="I357">
            <v>32</v>
          </cell>
          <cell r="J357">
            <v>31</v>
          </cell>
          <cell r="K357">
            <v>30</v>
          </cell>
          <cell r="L357">
            <v>28</v>
          </cell>
          <cell r="M357">
            <v>27</v>
          </cell>
        </row>
        <row r="358">
          <cell r="A358" t="str">
            <v>DQ9040C1</v>
          </cell>
          <cell r="B358">
            <v>296</v>
          </cell>
          <cell r="C358">
            <v>24.0677369333333</v>
          </cell>
          <cell r="D358">
            <v>0</v>
          </cell>
          <cell r="E358">
            <v>24.0677369333333</v>
          </cell>
          <cell r="F358" t="str">
            <v>自制</v>
          </cell>
          <cell r="G358" t="str">
            <v>长安CS35</v>
          </cell>
          <cell r="H358">
            <v>33</v>
          </cell>
          <cell r="I358">
            <v>32</v>
          </cell>
          <cell r="J358">
            <v>31</v>
          </cell>
          <cell r="K358">
            <v>29</v>
          </cell>
          <cell r="L358">
            <v>28</v>
          </cell>
          <cell r="M358">
            <v>27</v>
          </cell>
        </row>
        <row r="359">
          <cell r="A359" t="str">
            <v>DQ9068A2</v>
          </cell>
          <cell r="B359">
            <v>284</v>
          </cell>
          <cell r="C359">
            <v>43.68</v>
          </cell>
          <cell r="D359">
            <v>0</v>
          </cell>
          <cell r="E359">
            <v>43.68</v>
          </cell>
          <cell r="F359" t="str">
            <v>调货</v>
          </cell>
          <cell r="G359" t="str">
            <v>宝沃BX5</v>
          </cell>
          <cell r="H359">
            <v>52</v>
          </cell>
          <cell r="I359">
            <v>52</v>
          </cell>
          <cell r="J359">
            <v>51</v>
          </cell>
          <cell r="K359">
            <v>50</v>
          </cell>
          <cell r="L359">
            <v>49</v>
          </cell>
          <cell r="M359">
            <v>49</v>
          </cell>
        </row>
        <row r="360">
          <cell r="A360" t="str">
            <v>DQ9007Q1</v>
          </cell>
          <cell r="B360">
            <v>284</v>
          </cell>
          <cell r="C360">
            <v>33.951872075</v>
          </cell>
          <cell r="D360">
            <v>0</v>
          </cell>
          <cell r="E360">
            <v>33.951872075</v>
          </cell>
          <cell r="F360" t="str">
            <v>自制</v>
          </cell>
          <cell r="G360" t="str">
            <v>现代起亚</v>
          </cell>
          <cell r="H360">
            <v>46</v>
          </cell>
          <cell r="I360">
            <v>45</v>
          </cell>
          <cell r="J360">
            <v>43</v>
          </cell>
          <cell r="K360">
            <v>41</v>
          </cell>
          <cell r="L360">
            <v>40</v>
          </cell>
          <cell r="M360">
            <v>38</v>
          </cell>
        </row>
        <row r="361">
          <cell r="A361" t="str">
            <v>DQ9003K1</v>
          </cell>
          <cell r="B361">
            <v>280</v>
          </cell>
          <cell r="C361">
            <v>43.68</v>
          </cell>
          <cell r="D361">
            <v>0</v>
          </cell>
          <cell r="E361">
            <v>43.68</v>
          </cell>
          <cell r="F361" t="str">
            <v>调货</v>
          </cell>
          <cell r="G361">
            <v>0</v>
          </cell>
          <cell r="H361">
            <v>52</v>
          </cell>
          <cell r="I361">
            <v>52</v>
          </cell>
          <cell r="J361">
            <v>51</v>
          </cell>
          <cell r="K361">
            <v>50</v>
          </cell>
          <cell r="L361">
            <v>49</v>
          </cell>
          <cell r="M361">
            <v>49</v>
          </cell>
        </row>
        <row r="362">
          <cell r="A362" t="str">
            <v>DQ6108A</v>
          </cell>
          <cell r="B362">
            <v>274</v>
          </cell>
          <cell r="C362">
            <v>27.8985</v>
          </cell>
          <cell r="D362">
            <v>0</v>
          </cell>
          <cell r="E362">
            <v>27.8985</v>
          </cell>
          <cell r="F362" t="str">
            <v>调货</v>
          </cell>
          <cell r="G362" t="str">
            <v>丰田</v>
          </cell>
          <cell r="H362">
            <v>34</v>
          </cell>
          <cell r="I362">
            <v>33</v>
          </cell>
          <cell r="J362">
            <v>33</v>
          </cell>
          <cell r="K362">
            <v>32</v>
          </cell>
          <cell r="L362">
            <v>32</v>
          </cell>
          <cell r="M362">
            <v>31</v>
          </cell>
        </row>
        <row r="363">
          <cell r="A363" t="str">
            <v>DQ6109</v>
          </cell>
          <cell r="B363">
            <v>269</v>
          </cell>
          <cell r="C363">
            <v>22.2539185</v>
          </cell>
          <cell r="D363">
            <v>0</v>
          </cell>
          <cell r="E363">
            <v>22.2539185</v>
          </cell>
          <cell r="F363" t="str">
            <v>自制</v>
          </cell>
          <cell r="G363" t="str">
            <v>奇瑞QQ0.8（老）</v>
          </cell>
          <cell r="H363">
            <v>31</v>
          </cell>
          <cell r="I363">
            <v>29</v>
          </cell>
          <cell r="J363">
            <v>28</v>
          </cell>
          <cell r="K363">
            <v>27</v>
          </cell>
          <cell r="L363">
            <v>26</v>
          </cell>
          <cell r="M363">
            <v>25</v>
          </cell>
        </row>
        <row r="364">
          <cell r="A364" t="str">
            <v>DQ6206A</v>
          </cell>
          <cell r="B364">
            <v>262</v>
          </cell>
          <cell r="C364">
            <v>26.93</v>
          </cell>
          <cell r="D364">
            <v>0</v>
          </cell>
          <cell r="E364">
            <v>26.93</v>
          </cell>
          <cell r="F364" t="str">
            <v>调货</v>
          </cell>
          <cell r="G364" t="str">
            <v>三菱 速跑 猎豹</v>
          </cell>
          <cell r="H364">
            <v>33</v>
          </cell>
          <cell r="I364">
            <v>32</v>
          </cell>
          <cell r="J364">
            <v>31</v>
          </cell>
          <cell r="K364">
            <v>31</v>
          </cell>
          <cell r="L364">
            <v>31</v>
          </cell>
          <cell r="M364">
            <v>30</v>
          </cell>
        </row>
        <row r="365">
          <cell r="A365" t="str">
            <v>DQ9007C3</v>
          </cell>
          <cell r="B365">
            <v>260</v>
          </cell>
          <cell r="C365">
            <v>30.88468944</v>
          </cell>
          <cell r="D365">
            <v>0</v>
          </cell>
          <cell r="E365">
            <v>30.88468944</v>
          </cell>
          <cell r="F365" t="str">
            <v>自制</v>
          </cell>
          <cell r="G365" t="str">
            <v>起亚K3极睿</v>
          </cell>
          <cell r="H365">
            <v>42</v>
          </cell>
          <cell r="I365">
            <v>41</v>
          </cell>
          <cell r="J365">
            <v>39</v>
          </cell>
          <cell r="K365">
            <v>38</v>
          </cell>
          <cell r="L365">
            <v>36</v>
          </cell>
          <cell r="M365">
            <v>34</v>
          </cell>
        </row>
        <row r="366">
          <cell r="A366" t="str">
            <v>DQ9003J2</v>
          </cell>
          <cell r="B366">
            <v>260</v>
          </cell>
          <cell r="C366">
            <v>32.4531028733161</v>
          </cell>
          <cell r="D366">
            <v>4.88807230331606</v>
          </cell>
          <cell r="E366">
            <v>27.56503057</v>
          </cell>
          <cell r="F366" t="str">
            <v>自制</v>
          </cell>
          <cell r="G366" t="str">
            <v>途乐4.0L</v>
          </cell>
          <cell r="H366">
            <v>44</v>
          </cell>
          <cell r="I366">
            <v>43</v>
          </cell>
          <cell r="J366">
            <v>41</v>
          </cell>
          <cell r="K366">
            <v>39</v>
          </cell>
          <cell r="L366">
            <v>38</v>
          </cell>
          <cell r="M366">
            <v>36</v>
          </cell>
        </row>
        <row r="367">
          <cell r="A367" t="str">
            <v>DQ9101W1</v>
          </cell>
          <cell r="B367">
            <v>260</v>
          </cell>
          <cell r="C367">
            <v>18.5060887266667</v>
          </cell>
          <cell r="D367">
            <v>0</v>
          </cell>
          <cell r="E367">
            <v>18.5060887266667</v>
          </cell>
          <cell r="F367" t="str">
            <v>自制</v>
          </cell>
          <cell r="G367" t="str">
            <v>PICANTO(TA)1.2</v>
          </cell>
          <cell r="H367">
            <v>25</v>
          </cell>
          <cell r="I367">
            <v>25</v>
          </cell>
          <cell r="J367">
            <v>24</v>
          </cell>
          <cell r="K367">
            <v>23</v>
          </cell>
          <cell r="L367">
            <v>22</v>
          </cell>
          <cell r="M367">
            <v>21</v>
          </cell>
        </row>
        <row r="368">
          <cell r="A368" t="str">
            <v>DQ9070A1</v>
          </cell>
          <cell r="B368">
            <v>257</v>
          </cell>
          <cell r="C368">
            <v>41.58</v>
          </cell>
          <cell r="D368">
            <v>0</v>
          </cell>
          <cell r="E368">
            <v>41.58</v>
          </cell>
          <cell r="F368" t="str">
            <v>调货</v>
          </cell>
          <cell r="G368" t="str">
            <v>北汽BJ40 PLUS</v>
          </cell>
          <cell r="H368">
            <v>50</v>
          </cell>
          <cell r="I368">
            <v>49</v>
          </cell>
          <cell r="J368">
            <v>48</v>
          </cell>
          <cell r="K368">
            <v>47</v>
          </cell>
          <cell r="L368">
            <v>47</v>
          </cell>
          <cell r="M368">
            <v>46</v>
          </cell>
        </row>
        <row r="369">
          <cell r="A369" t="str">
            <v>DQ9026A3</v>
          </cell>
          <cell r="B369">
            <v>255</v>
          </cell>
          <cell r="C369">
            <v>33.2648570751413</v>
          </cell>
          <cell r="D369">
            <v>3.58331199514135</v>
          </cell>
          <cell r="E369">
            <v>29.68154508</v>
          </cell>
          <cell r="F369" t="str">
            <v>自制</v>
          </cell>
          <cell r="G369" t="str">
            <v>捷豹/路虎 2.0T</v>
          </cell>
          <cell r="H369">
            <v>45</v>
          </cell>
          <cell r="I369">
            <v>44</v>
          </cell>
          <cell r="J369">
            <v>42</v>
          </cell>
          <cell r="K369">
            <v>40</v>
          </cell>
          <cell r="L369">
            <v>39</v>
          </cell>
          <cell r="M369">
            <v>37</v>
          </cell>
        </row>
        <row r="370">
          <cell r="A370" t="str">
            <v>DQ9204</v>
          </cell>
          <cell r="B370">
            <v>248</v>
          </cell>
          <cell r="C370">
            <v>32.89220847</v>
          </cell>
          <cell r="D370">
            <v>0</v>
          </cell>
          <cell r="E370">
            <v>32.89220847</v>
          </cell>
          <cell r="F370" t="str">
            <v>自制</v>
          </cell>
          <cell r="G370" t="str">
            <v>嘉华3.5</v>
          </cell>
          <cell r="H370">
            <v>45</v>
          </cell>
          <cell r="I370">
            <v>43</v>
          </cell>
          <cell r="J370">
            <v>42</v>
          </cell>
          <cell r="K370">
            <v>40</v>
          </cell>
          <cell r="L370">
            <v>38</v>
          </cell>
          <cell r="M370">
            <v>37</v>
          </cell>
        </row>
        <row r="371">
          <cell r="A371" t="str">
            <v>DQ9029A1</v>
          </cell>
          <cell r="B371">
            <v>247</v>
          </cell>
          <cell r="C371">
            <v>42.82508475</v>
          </cell>
          <cell r="D371">
            <v>1.14008475</v>
          </cell>
          <cell r="E371">
            <v>41.685</v>
          </cell>
          <cell r="F371" t="str">
            <v>调货</v>
          </cell>
          <cell r="G371" t="str">
            <v>宝马BMW</v>
          </cell>
          <cell r="H371">
            <v>51</v>
          </cell>
          <cell r="I371">
            <v>51</v>
          </cell>
          <cell r="J371">
            <v>50</v>
          </cell>
          <cell r="K371">
            <v>49</v>
          </cell>
          <cell r="L371">
            <v>48</v>
          </cell>
          <cell r="M371">
            <v>48</v>
          </cell>
        </row>
        <row r="372">
          <cell r="A372" t="str">
            <v>DQ9103HR</v>
          </cell>
          <cell r="B372">
            <v>245</v>
          </cell>
          <cell r="C372">
            <v>30.43615383</v>
          </cell>
          <cell r="D372">
            <v>0</v>
          </cell>
          <cell r="E372">
            <v>30.43615383</v>
          </cell>
          <cell r="F372" t="str">
            <v>自制</v>
          </cell>
          <cell r="G372" t="str">
            <v>奥迪A8</v>
          </cell>
          <cell r="H372">
            <v>42</v>
          </cell>
          <cell r="I372">
            <v>40</v>
          </cell>
          <cell r="J372">
            <v>39</v>
          </cell>
          <cell r="K372">
            <v>37</v>
          </cell>
          <cell r="L372">
            <v>36</v>
          </cell>
          <cell r="M372">
            <v>34</v>
          </cell>
        </row>
        <row r="373">
          <cell r="A373" t="str">
            <v>DQ9219B2</v>
          </cell>
          <cell r="B373">
            <v>242</v>
          </cell>
          <cell r="C373">
            <v>22.5361208246667</v>
          </cell>
          <cell r="D373">
            <v>0</v>
          </cell>
          <cell r="E373">
            <v>22.5361208246667</v>
          </cell>
          <cell r="F373" t="str">
            <v>自制</v>
          </cell>
          <cell r="G373" t="str">
            <v>江淮RIII2.0T</v>
          </cell>
          <cell r="H373">
            <v>31</v>
          </cell>
          <cell r="I373">
            <v>30</v>
          </cell>
          <cell r="J373">
            <v>29</v>
          </cell>
          <cell r="K373">
            <v>28</v>
          </cell>
          <cell r="L373">
            <v>26</v>
          </cell>
          <cell r="M373">
            <v>25</v>
          </cell>
        </row>
        <row r="374">
          <cell r="A374" t="str">
            <v>DQ9219A9</v>
          </cell>
          <cell r="B374">
            <v>233</v>
          </cell>
          <cell r="C374">
            <v>19.871569575</v>
          </cell>
          <cell r="D374">
            <v>0</v>
          </cell>
          <cell r="E374">
            <v>19.871569575</v>
          </cell>
          <cell r="F374" t="str">
            <v>自制</v>
          </cell>
          <cell r="G374" t="str">
            <v>东风风神A60 1.4T</v>
          </cell>
          <cell r="H374">
            <v>27</v>
          </cell>
          <cell r="I374">
            <v>26</v>
          </cell>
          <cell r="J374">
            <v>25</v>
          </cell>
          <cell r="K374">
            <v>24</v>
          </cell>
          <cell r="L374">
            <v>23</v>
          </cell>
          <cell r="M374">
            <v>22</v>
          </cell>
        </row>
        <row r="375">
          <cell r="A375" t="str">
            <v>DQ9030C1</v>
          </cell>
          <cell r="B375">
            <v>232</v>
          </cell>
          <cell r="C375">
            <v>35.186393</v>
          </cell>
          <cell r="D375">
            <v>0</v>
          </cell>
          <cell r="E375">
            <v>35.186393</v>
          </cell>
          <cell r="F375" t="str">
            <v>自制</v>
          </cell>
          <cell r="G375" t="str">
            <v>长安福特  金牛座2.7T</v>
          </cell>
          <cell r="H375">
            <v>48</v>
          </cell>
          <cell r="I375">
            <v>46</v>
          </cell>
          <cell r="J375">
            <v>44</v>
          </cell>
          <cell r="K375">
            <v>43</v>
          </cell>
          <cell r="L375">
            <v>41</v>
          </cell>
          <cell r="M375">
            <v>39</v>
          </cell>
        </row>
        <row r="376">
          <cell r="A376" t="str">
            <v>DQ493</v>
          </cell>
          <cell r="B376">
            <v>231</v>
          </cell>
          <cell r="C376">
            <v>53.8590508761545</v>
          </cell>
          <cell r="D376">
            <v>0.572989916154538</v>
          </cell>
          <cell r="E376">
            <v>53.28606096</v>
          </cell>
          <cell r="F376" t="str">
            <v>自制</v>
          </cell>
          <cell r="G376" t="str">
            <v>德尔福一代</v>
          </cell>
          <cell r="H376">
            <v>73</v>
          </cell>
          <cell r="I376">
            <v>71</v>
          </cell>
          <cell r="J376">
            <v>68</v>
          </cell>
          <cell r="K376">
            <v>65</v>
          </cell>
          <cell r="L376">
            <v>62</v>
          </cell>
          <cell r="M376">
            <v>60</v>
          </cell>
        </row>
        <row r="377">
          <cell r="A377" t="str">
            <v>DQ9113B3</v>
          </cell>
          <cell r="B377">
            <v>225</v>
          </cell>
          <cell r="C377">
            <v>29.53148454</v>
          </cell>
          <cell r="D377">
            <v>0</v>
          </cell>
          <cell r="E377">
            <v>29.53148454</v>
          </cell>
          <cell r="F377" t="str">
            <v>自制</v>
          </cell>
          <cell r="G377" t="str">
            <v>帕杰罗3.8L</v>
          </cell>
          <cell r="H377">
            <v>40</v>
          </cell>
          <cell r="I377">
            <v>39</v>
          </cell>
          <cell r="J377">
            <v>37</v>
          </cell>
          <cell r="K377">
            <v>36</v>
          </cell>
          <cell r="L377">
            <v>34</v>
          </cell>
          <cell r="M377">
            <v>33</v>
          </cell>
        </row>
        <row r="378">
          <cell r="A378" t="str">
            <v>DQ921813</v>
          </cell>
          <cell r="B378">
            <v>223</v>
          </cell>
          <cell r="C378">
            <v>25.481891325</v>
          </cell>
          <cell r="D378">
            <v>0</v>
          </cell>
          <cell r="E378">
            <v>25.481891325</v>
          </cell>
          <cell r="F378" t="str">
            <v>自制</v>
          </cell>
          <cell r="G378" t="str">
            <v>汉兰达 普拉多</v>
          </cell>
          <cell r="H378">
            <v>35</v>
          </cell>
          <cell r="I378">
            <v>34</v>
          </cell>
          <cell r="J378">
            <v>32</v>
          </cell>
          <cell r="K378">
            <v>31</v>
          </cell>
          <cell r="L378">
            <v>30</v>
          </cell>
          <cell r="M378">
            <v>29</v>
          </cell>
        </row>
        <row r="379">
          <cell r="A379" t="str">
            <v>DQ9007B2</v>
          </cell>
          <cell r="B379">
            <v>222</v>
          </cell>
          <cell r="C379">
            <v>31.81828947</v>
          </cell>
          <cell r="D379">
            <v>0</v>
          </cell>
          <cell r="E379">
            <v>31.81828947</v>
          </cell>
          <cell r="F379" t="str">
            <v>自制</v>
          </cell>
          <cell r="G379" t="str">
            <v>名图1.8L</v>
          </cell>
          <cell r="H379">
            <v>43</v>
          </cell>
          <cell r="I379">
            <v>42</v>
          </cell>
          <cell r="J379">
            <v>40</v>
          </cell>
          <cell r="K379">
            <v>39</v>
          </cell>
          <cell r="L379">
            <v>37</v>
          </cell>
          <cell r="M379">
            <v>36</v>
          </cell>
        </row>
        <row r="380">
          <cell r="A380" t="str">
            <v>DQ9015B1</v>
          </cell>
          <cell r="B380">
            <v>215</v>
          </cell>
          <cell r="C380">
            <v>25.2569541533333</v>
          </cell>
          <cell r="D380">
            <v>0</v>
          </cell>
          <cell r="E380">
            <v>25.2569541533333</v>
          </cell>
          <cell r="F380" t="str">
            <v>自制</v>
          </cell>
          <cell r="G380" t="str">
            <v>长城腾翼C30/1.5L 西门子系统</v>
          </cell>
          <cell r="H380">
            <v>35</v>
          </cell>
          <cell r="I380">
            <v>33</v>
          </cell>
          <cell r="J380">
            <v>32</v>
          </cell>
          <cell r="K380">
            <v>31</v>
          </cell>
          <cell r="L380">
            <v>30</v>
          </cell>
          <cell r="M380">
            <v>28</v>
          </cell>
        </row>
        <row r="381">
          <cell r="A381" t="str">
            <v>DQ9013B1</v>
          </cell>
          <cell r="B381">
            <v>212</v>
          </cell>
          <cell r="C381">
            <v>31.09785</v>
          </cell>
          <cell r="D381">
            <v>0</v>
          </cell>
          <cell r="E381">
            <v>31.09785</v>
          </cell>
          <cell r="F381" t="str">
            <v>调货</v>
          </cell>
          <cell r="G381" t="str">
            <v>grand vitara</v>
          </cell>
          <cell r="H381">
            <v>38</v>
          </cell>
          <cell r="I381">
            <v>37</v>
          </cell>
          <cell r="J381">
            <v>36</v>
          </cell>
          <cell r="K381">
            <v>36</v>
          </cell>
          <cell r="L381">
            <v>35</v>
          </cell>
          <cell r="M381">
            <v>35</v>
          </cell>
        </row>
        <row r="382">
          <cell r="A382" t="str">
            <v>DQ9225A1</v>
          </cell>
          <cell r="B382">
            <v>210</v>
          </cell>
          <cell r="C382">
            <v>39.7635</v>
          </cell>
          <cell r="D382">
            <v>0</v>
          </cell>
          <cell r="E382">
            <v>39.7635</v>
          </cell>
          <cell r="F382" t="str">
            <v>调货</v>
          </cell>
          <cell r="G382" t="str">
            <v>奔驰W140发动机</v>
          </cell>
          <cell r="H382">
            <v>48</v>
          </cell>
          <cell r="I382">
            <v>47</v>
          </cell>
          <cell r="J382">
            <v>46</v>
          </cell>
          <cell r="K382">
            <v>45</v>
          </cell>
          <cell r="L382">
            <v>45</v>
          </cell>
          <cell r="M382">
            <v>44</v>
          </cell>
        </row>
        <row r="383">
          <cell r="A383" t="str">
            <v>DQ4107A1</v>
          </cell>
          <cell r="B383">
            <v>210</v>
          </cell>
          <cell r="C383">
            <v>31.0985895</v>
          </cell>
          <cell r="D383">
            <v>0</v>
          </cell>
          <cell r="E383">
            <v>31.0985895</v>
          </cell>
          <cell r="F383" t="str">
            <v>自制</v>
          </cell>
          <cell r="G383" t="str">
            <v>雪佛兰GMC</v>
          </cell>
          <cell r="H383">
            <v>42</v>
          </cell>
          <cell r="I383">
            <v>41</v>
          </cell>
          <cell r="J383">
            <v>39</v>
          </cell>
          <cell r="K383">
            <v>38</v>
          </cell>
          <cell r="L383">
            <v>36</v>
          </cell>
          <cell r="M383">
            <v>35</v>
          </cell>
        </row>
        <row r="384">
          <cell r="A384" t="str">
            <v>DQ9219A2</v>
          </cell>
          <cell r="B384">
            <v>208</v>
          </cell>
          <cell r="C384">
            <v>19.696669575</v>
          </cell>
          <cell r="D384">
            <v>0</v>
          </cell>
          <cell r="E384">
            <v>19.696669575</v>
          </cell>
          <cell r="F384" t="str">
            <v>自制</v>
          </cell>
          <cell r="G384" t="str">
            <v>广汽传祺GS5</v>
          </cell>
          <cell r="H384">
            <v>27</v>
          </cell>
          <cell r="I384">
            <v>26</v>
          </cell>
          <cell r="J384">
            <v>25</v>
          </cell>
          <cell r="K384">
            <v>24</v>
          </cell>
          <cell r="L384">
            <v>23</v>
          </cell>
          <cell r="M384">
            <v>22</v>
          </cell>
        </row>
        <row r="385">
          <cell r="A385" t="str">
            <v>DQ9041A2</v>
          </cell>
          <cell r="B385">
            <v>207</v>
          </cell>
          <cell r="C385">
            <v>30.03</v>
          </cell>
          <cell r="D385">
            <v>0</v>
          </cell>
          <cell r="E385">
            <v>30.03</v>
          </cell>
          <cell r="F385" t="str">
            <v>调货</v>
          </cell>
          <cell r="G385" t="str">
            <v>东风风行T5L1.5T</v>
          </cell>
          <cell r="H385">
            <v>36</v>
          </cell>
          <cell r="I385">
            <v>36</v>
          </cell>
          <cell r="J385">
            <v>35</v>
          </cell>
          <cell r="K385">
            <v>34</v>
          </cell>
          <cell r="L385">
            <v>34</v>
          </cell>
          <cell r="M385">
            <v>34</v>
          </cell>
        </row>
        <row r="386">
          <cell r="A386" t="str">
            <v>DQ6402</v>
          </cell>
          <cell r="B386">
            <v>201</v>
          </cell>
          <cell r="C386">
            <v>61.103699667807</v>
          </cell>
          <cell r="D386">
            <v>1.27648716780702</v>
          </cell>
          <cell r="E386">
            <v>59.8272125</v>
          </cell>
          <cell r="F386" t="str">
            <v>自制</v>
          </cell>
          <cell r="G386" t="str">
            <v>斯巴鲁</v>
          </cell>
          <cell r="H386">
            <v>83</v>
          </cell>
          <cell r="I386">
            <v>80</v>
          </cell>
          <cell r="J386">
            <v>77</v>
          </cell>
          <cell r="K386">
            <v>74</v>
          </cell>
          <cell r="L386">
            <v>71</v>
          </cell>
          <cell r="M386">
            <v>68</v>
          </cell>
        </row>
        <row r="387">
          <cell r="A387" t="str">
            <v>DQ9157A1</v>
          </cell>
          <cell r="B387">
            <v>201</v>
          </cell>
          <cell r="C387">
            <v>25.83</v>
          </cell>
          <cell r="D387">
            <v>0</v>
          </cell>
          <cell r="E387">
            <v>25.83</v>
          </cell>
          <cell r="F387" t="str">
            <v>调货</v>
          </cell>
          <cell r="G387" t="str">
            <v>时风风云 1.8L</v>
          </cell>
          <cell r="H387">
            <v>31</v>
          </cell>
          <cell r="I387">
            <v>31</v>
          </cell>
          <cell r="J387">
            <v>30</v>
          </cell>
          <cell r="K387">
            <v>30</v>
          </cell>
          <cell r="L387">
            <v>29</v>
          </cell>
          <cell r="M387">
            <v>29</v>
          </cell>
        </row>
        <row r="388">
          <cell r="A388" t="str">
            <v>DQ1213</v>
          </cell>
          <cell r="B388">
            <v>196</v>
          </cell>
          <cell r="C388">
            <v>57.8</v>
          </cell>
          <cell r="D388">
            <v>0</v>
          </cell>
          <cell r="E388">
            <v>57.8</v>
          </cell>
          <cell r="F388" t="str">
            <v>调货</v>
          </cell>
          <cell r="G388" t="str">
            <v>旗云 宝马发动机</v>
          </cell>
          <cell r="H388">
            <v>69</v>
          </cell>
          <cell r="I388">
            <v>68</v>
          </cell>
          <cell r="J388">
            <v>67</v>
          </cell>
          <cell r="K388">
            <v>66</v>
          </cell>
          <cell r="L388">
            <v>65</v>
          </cell>
          <cell r="M388">
            <v>64</v>
          </cell>
        </row>
        <row r="389">
          <cell r="A389" t="str">
            <v>DQ9128B2</v>
          </cell>
          <cell r="B389">
            <v>192</v>
          </cell>
          <cell r="C389">
            <v>43.6</v>
          </cell>
          <cell r="D389">
            <v>0</v>
          </cell>
          <cell r="E389">
            <v>43.6</v>
          </cell>
          <cell r="F389" t="str">
            <v>调货</v>
          </cell>
          <cell r="G389" t="str">
            <v>凯迪拉克 SLS赛威 4.6L</v>
          </cell>
          <cell r="H389">
            <v>52</v>
          </cell>
          <cell r="I389">
            <v>52</v>
          </cell>
          <cell r="J389">
            <v>51</v>
          </cell>
          <cell r="K389">
            <v>50</v>
          </cell>
          <cell r="L389">
            <v>49</v>
          </cell>
          <cell r="M389">
            <v>48</v>
          </cell>
        </row>
        <row r="390">
          <cell r="A390" t="str">
            <v>DQ9209H</v>
          </cell>
          <cell r="B390">
            <v>191</v>
          </cell>
          <cell r="C390">
            <v>22.89274185</v>
          </cell>
          <cell r="D390">
            <v>0</v>
          </cell>
          <cell r="E390">
            <v>22.89274185</v>
          </cell>
          <cell r="F390" t="str">
            <v>自制</v>
          </cell>
          <cell r="G390" t="str">
            <v>新普力马1.8</v>
          </cell>
          <cell r="H390">
            <v>31</v>
          </cell>
          <cell r="I390">
            <v>30</v>
          </cell>
          <cell r="J390">
            <v>29</v>
          </cell>
          <cell r="K390">
            <v>28</v>
          </cell>
          <cell r="L390">
            <v>27</v>
          </cell>
          <cell r="M390">
            <v>26</v>
          </cell>
        </row>
        <row r="391">
          <cell r="A391" t="str">
            <v>DQ9072A1</v>
          </cell>
          <cell r="B391">
            <v>191</v>
          </cell>
          <cell r="C391">
            <v>43.785</v>
          </cell>
          <cell r="D391">
            <v>0</v>
          </cell>
          <cell r="E391">
            <v>43.785</v>
          </cell>
          <cell r="F391" t="str">
            <v>调货</v>
          </cell>
          <cell r="G391" t="str">
            <v>北汽幻速S51.3T</v>
          </cell>
          <cell r="H391">
            <v>53</v>
          </cell>
          <cell r="I391">
            <v>52</v>
          </cell>
          <cell r="J391">
            <v>51</v>
          </cell>
          <cell r="K391">
            <v>50</v>
          </cell>
          <cell r="L391">
            <v>50</v>
          </cell>
          <cell r="M391">
            <v>49</v>
          </cell>
        </row>
        <row r="392">
          <cell r="A392" t="str">
            <v>DQ9133B1</v>
          </cell>
          <cell r="B392">
            <v>190</v>
          </cell>
          <cell r="C392">
            <v>54.18</v>
          </cell>
          <cell r="D392">
            <v>0</v>
          </cell>
          <cell r="E392">
            <v>54.18</v>
          </cell>
          <cell r="F392" t="str">
            <v>调货</v>
          </cell>
          <cell r="G392" t="str">
            <v>保时捷cayman 2.9L</v>
          </cell>
          <cell r="H392">
            <v>65</v>
          </cell>
          <cell r="I392">
            <v>64</v>
          </cell>
          <cell r="J392">
            <v>63</v>
          </cell>
          <cell r="K392">
            <v>62</v>
          </cell>
          <cell r="L392">
            <v>61</v>
          </cell>
          <cell r="M392">
            <v>60</v>
          </cell>
        </row>
        <row r="393">
          <cell r="A393" t="str">
            <v>DQ9050A3</v>
          </cell>
          <cell r="B393">
            <v>190</v>
          </cell>
          <cell r="C393">
            <v>34.9480671198852</v>
          </cell>
          <cell r="D393">
            <v>1.74975350988518</v>
          </cell>
          <cell r="E393">
            <v>33.19831361</v>
          </cell>
          <cell r="F393" t="str">
            <v>自制</v>
          </cell>
          <cell r="G393" t="str">
            <v>铃木 Celerio</v>
          </cell>
          <cell r="H393">
            <v>48</v>
          </cell>
          <cell r="I393">
            <v>46</v>
          </cell>
          <cell r="J393">
            <v>44</v>
          </cell>
          <cell r="K393">
            <v>42</v>
          </cell>
          <cell r="L393">
            <v>41</v>
          </cell>
          <cell r="M393">
            <v>39</v>
          </cell>
        </row>
        <row r="394">
          <cell r="A394" t="str">
            <v>DQ9061A1</v>
          </cell>
          <cell r="B394">
            <v>189</v>
          </cell>
          <cell r="C394">
            <v>43.68</v>
          </cell>
          <cell r="D394">
            <v>0</v>
          </cell>
          <cell r="E394">
            <v>43.68</v>
          </cell>
          <cell r="F394" t="str">
            <v>调货</v>
          </cell>
          <cell r="G394" t="str">
            <v>吉利缤瑞1.0T</v>
          </cell>
          <cell r="H394">
            <v>52</v>
          </cell>
          <cell r="I394">
            <v>52</v>
          </cell>
          <cell r="J394">
            <v>51</v>
          </cell>
          <cell r="K394">
            <v>50</v>
          </cell>
          <cell r="L394">
            <v>49</v>
          </cell>
          <cell r="M394">
            <v>49</v>
          </cell>
        </row>
        <row r="395">
          <cell r="A395" t="str">
            <v>DQ9402A5</v>
          </cell>
          <cell r="B395">
            <v>180</v>
          </cell>
          <cell r="C395">
            <v>94.5525</v>
          </cell>
          <cell r="D395">
            <v>0</v>
          </cell>
          <cell r="E395">
            <v>94.5525</v>
          </cell>
          <cell r="F395" t="str">
            <v>调货</v>
          </cell>
          <cell r="G395" t="str">
            <v>雪铁龙 C3（白插）</v>
          </cell>
          <cell r="H395">
            <v>113</v>
          </cell>
          <cell r="I395">
            <v>111</v>
          </cell>
          <cell r="J395">
            <v>109</v>
          </cell>
          <cell r="K395">
            <v>107</v>
          </cell>
          <cell r="L395">
            <v>106</v>
          </cell>
          <cell r="M395">
            <v>105</v>
          </cell>
        </row>
        <row r="396">
          <cell r="A396" t="str">
            <v>DQ9023E1</v>
          </cell>
          <cell r="B396">
            <v>178</v>
          </cell>
          <cell r="C396">
            <v>52.08</v>
          </cell>
          <cell r="D396">
            <v>0</v>
          </cell>
          <cell r="E396">
            <v>52.08</v>
          </cell>
          <cell r="F396" t="str">
            <v>调货</v>
          </cell>
          <cell r="G396" t="str">
            <v>大众 途昂 4MOTION 奥迪 4.0T</v>
          </cell>
          <cell r="H396">
            <v>62</v>
          </cell>
          <cell r="I396">
            <v>61</v>
          </cell>
          <cell r="J396">
            <v>60</v>
          </cell>
          <cell r="K396">
            <v>59</v>
          </cell>
          <cell r="L396">
            <v>59</v>
          </cell>
          <cell r="M396">
            <v>58</v>
          </cell>
        </row>
        <row r="397">
          <cell r="A397" t="str">
            <v>DQ9003J1</v>
          </cell>
          <cell r="B397">
            <v>170</v>
          </cell>
          <cell r="C397">
            <v>32.4531028733161</v>
          </cell>
          <cell r="D397">
            <v>4.88807230331606</v>
          </cell>
          <cell r="E397">
            <v>27.56503057</v>
          </cell>
          <cell r="F397" t="str">
            <v>自制</v>
          </cell>
          <cell r="G397" t="str">
            <v>途乐5.6L</v>
          </cell>
          <cell r="H397">
            <v>44</v>
          </cell>
          <cell r="I397">
            <v>43</v>
          </cell>
          <cell r="J397">
            <v>41</v>
          </cell>
          <cell r="K397">
            <v>39</v>
          </cell>
          <cell r="L397">
            <v>38</v>
          </cell>
          <cell r="M397">
            <v>36</v>
          </cell>
        </row>
        <row r="398">
          <cell r="A398" t="str">
            <v>DQ9226A1</v>
          </cell>
          <cell r="B398">
            <v>170</v>
          </cell>
          <cell r="C398">
            <v>32.372448316</v>
          </cell>
          <cell r="D398">
            <v>0</v>
          </cell>
          <cell r="E398">
            <v>32.372448316</v>
          </cell>
          <cell r="F398" t="str">
            <v>自制</v>
          </cell>
          <cell r="G398" t="str">
            <v>大切诺基</v>
          </cell>
          <cell r="H398">
            <v>44</v>
          </cell>
          <cell r="I398">
            <v>43</v>
          </cell>
          <cell r="J398">
            <v>41</v>
          </cell>
          <cell r="K398">
            <v>39</v>
          </cell>
          <cell r="L398">
            <v>38</v>
          </cell>
          <cell r="M398">
            <v>36</v>
          </cell>
        </row>
        <row r="399">
          <cell r="A399" t="str">
            <v>DQ9201A2</v>
          </cell>
          <cell r="B399">
            <v>168</v>
          </cell>
          <cell r="C399">
            <v>23.1847275</v>
          </cell>
          <cell r="D399">
            <v>0</v>
          </cell>
          <cell r="E399">
            <v>23.1847275</v>
          </cell>
          <cell r="F399" t="str">
            <v>自制</v>
          </cell>
          <cell r="G399" t="str">
            <v>新款东风小康465</v>
          </cell>
          <cell r="H399">
            <v>32</v>
          </cell>
          <cell r="I399">
            <v>31</v>
          </cell>
          <cell r="J399">
            <v>29</v>
          </cell>
          <cell r="K399">
            <v>28</v>
          </cell>
          <cell r="L399">
            <v>27</v>
          </cell>
          <cell r="M399">
            <v>26</v>
          </cell>
        </row>
        <row r="400">
          <cell r="A400" t="str">
            <v>DQ9133A2</v>
          </cell>
          <cell r="B400">
            <v>167</v>
          </cell>
          <cell r="C400">
            <v>50.5575</v>
          </cell>
          <cell r="D400">
            <v>0</v>
          </cell>
          <cell r="E400">
            <v>50.5575</v>
          </cell>
          <cell r="F400" t="str">
            <v>调货</v>
          </cell>
          <cell r="G400" t="str">
            <v>保时捷 卡宴 4.5L/4.5T</v>
          </cell>
          <cell r="H400">
            <v>61</v>
          </cell>
          <cell r="I400">
            <v>60</v>
          </cell>
          <cell r="J400">
            <v>59</v>
          </cell>
          <cell r="K400">
            <v>58</v>
          </cell>
          <cell r="L400">
            <v>57</v>
          </cell>
          <cell r="M400">
            <v>56</v>
          </cell>
        </row>
        <row r="401">
          <cell r="A401" t="str">
            <v>DQ9031A199</v>
          </cell>
          <cell r="B401">
            <v>163</v>
          </cell>
          <cell r="C401">
            <v>35.76272524</v>
          </cell>
          <cell r="D401">
            <v>0</v>
          </cell>
          <cell r="E401">
            <v>35.76272524</v>
          </cell>
          <cell r="F401" t="str">
            <v>自制</v>
          </cell>
          <cell r="G401" t="str">
            <v>14款科鲁兹（专用）</v>
          </cell>
          <cell r="H401">
            <v>49</v>
          </cell>
          <cell r="I401">
            <v>47</v>
          </cell>
          <cell r="J401">
            <v>45</v>
          </cell>
          <cell r="K401">
            <v>43</v>
          </cell>
          <cell r="L401">
            <v>42</v>
          </cell>
          <cell r="M401">
            <v>40</v>
          </cell>
        </row>
        <row r="402">
          <cell r="A402" t="str">
            <v>DQ9023G1</v>
          </cell>
          <cell r="B402">
            <v>161</v>
          </cell>
          <cell r="C402">
            <v>54.18</v>
          </cell>
          <cell r="D402">
            <v>0</v>
          </cell>
          <cell r="E402">
            <v>54.18</v>
          </cell>
          <cell r="F402" t="str">
            <v>调货</v>
          </cell>
          <cell r="G402" t="str">
            <v>玛莎拉蒂总裁3.0T</v>
          </cell>
          <cell r="H402">
            <v>65</v>
          </cell>
          <cell r="I402">
            <v>64</v>
          </cell>
          <cell r="J402">
            <v>63</v>
          </cell>
          <cell r="K402">
            <v>62</v>
          </cell>
          <cell r="L402">
            <v>61</v>
          </cell>
          <cell r="M402">
            <v>60</v>
          </cell>
        </row>
        <row r="403">
          <cell r="A403" t="str">
            <v>DQ9081A1</v>
          </cell>
          <cell r="B403">
            <v>160</v>
          </cell>
          <cell r="C403">
            <v>21.6898737</v>
          </cell>
          <cell r="D403">
            <v>0</v>
          </cell>
          <cell r="E403">
            <v>21.6898737</v>
          </cell>
          <cell r="F403" t="str">
            <v>自制</v>
          </cell>
          <cell r="G403" t="str">
            <v>风骏 5</v>
          </cell>
          <cell r="H403">
            <v>30</v>
          </cell>
          <cell r="I403">
            <v>29</v>
          </cell>
          <cell r="J403">
            <v>28</v>
          </cell>
          <cell r="K403">
            <v>27</v>
          </cell>
          <cell r="L403">
            <v>25</v>
          </cell>
          <cell r="M403">
            <v>24</v>
          </cell>
        </row>
        <row r="404">
          <cell r="A404" t="str">
            <v>DQ9132G1</v>
          </cell>
          <cell r="B404">
            <v>160</v>
          </cell>
          <cell r="C404">
            <v>29.9473831933333</v>
          </cell>
          <cell r="D404">
            <v>0</v>
          </cell>
          <cell r="E404">
            <v>29.9473831933333</v>
          </cell>
          <cell r="F404" t="str">
            <v>自制</v>
          </cell>
          <cell r="G404" t="str">
            <v>丰田Agya 2012-2016</v>
          </cell>
          <cell r="H404">
            <v>41</v>
          </cell>
          <cell r="I404">
            <v>39</v>
          </cell>
          <cell r="J404">
            <v>38</v>
          </cell>
          <cell r="K404">
            <v>36</v>
          </cell>
          <cell r="L404">
            <v>35</v>
          </cell>
          <cell r="M404">
            <v>33</v>
          </cell>
        </row>
        <row r="405">
          <cell r="A405" t="str">
            <v>DQ9008A1</v>
          </cell>
          <cell r="B405">
            <v>158</v>
          </cell>
          <cell r="C405">
            <v>37.7</v>
          </cell>
          <cell r="D405">
            <v>0</v>
          </cell>
          <cell r="E405">
            <v>37.7</v>
          </cell>
          <cell r="F405" t="str">
            <v>调货</v>
          </cell>
          <cell r="G405" t="str">
            <v>三菱蓝瑟4G93</v>
          </cell>
          <cell r="H405">
            <v>45</v>
          </cell>
          <cell r="I405">
            <v>45</v>
          </cell>
          <cell r="J405">
            <v>44</v>
          </cell>
          <cell r="K405">
            <v>43</v>
          </cell>
          <cell r="L405">
            <v>43</v>
          </cell>
          <cell r="M405">
            <v>42</v>
          </cell>
        </row>
        <row r="406">
          <cell r="A406" t="str">
            <v>DQ9215</v>
          </cell>
          <cell r="B406">
            <v>152</v>
          </cell>
          <cell r="C406">
            <v>23.3895145</v>
          </cell>
          <cell r="D406">
            <v>0</v>
          </cell>
          <cell r="E406">
            <v>23.3895145</v>
          </cell>
          <cell r="F406" t="str">
            <v>自制</v>
          </cell>
          <cell r="G406" t="str">
            <v>中华骏捷</v>
          </cell>
          <cell r="H406">
            <v>32</v>
          </cell>
          <cell r="I406">
            <v>31</v>
          </cell>
          <cell r="J406">
            <v>30</v>
          </cell>
          <cell r="K406">
            <v>29</v>
          </cell>
          <cell r="L406">
            <v>27</v>
          </cell>
          <cell r="M406">
            <v>26</v>
          </cell>
        </row>
        <row r="407">
          <cell r="A407" t="str">
            <v>DQ9003B3</v>
          </cell>
          <cell r="B407">
            <v>152</v>
          </cell>
          <cell r="C407">
            <v>26.854633718</v>
          </cell>
          <cell r="D407">
            <v>0</v>
          </cell>
          <cell r="E407">
            <v>26.854633718</v>
          </cell>
          <cell r="F407" t="str">
            <v>自制</v>
          </cell>
          <cell r="G407" t="str">
            <v>日产</v>
          </cell>
          <cell r="H407">
            <v>37</v>
          </cell>
          <cell r="I407">
            <v>35</v>
          </cell>
          <cell r="J407">
            <v>34</v>
          </cell>
          <cell r="K407">
            <v>33</v>
          </cell>
          <cell r="L407">
            <v>31</v>
          </cell>
          <cell r="M407">
            <v>30</v>
          </cell>
        </row>
        <row r="408">
          <cell r="A408" t="str">
            <v>DQ6607</v>
          </cell>
          <cell r="B408">
            <v>152</v>
          </cell>
          <cell r="C408">
            <v>66.6337378609943</v>
          </cell>
          <cell r="D408">
            <v>0.229402390994328</v>
          </cell>
          <cell r="E408">
            <v>66.40433547</v>
          </cell>
          <cell r="F408" t="str">
            <v>自制</v>
          </cell>
          <cell r="G408" t="str">
            <v>蒙迪欧六缸</v>
          </cell>
          <cell r="H408">
            <v>90</v>
          </cell>
          <cell r="I408">
            <v>87</v>
          </cell>
          <cell r="J408">
            <v>84</v>
          </cell>
          <cell r="K408">
            <v>80</v>
          </cell>
          <cell r="L408">
            <v>77</v>
          </cell>
          <cell r="M408">
            <v>74</v>
          </cell>
        </row>
        <row r="409">
          <cell r="A409" t="str">
            <v>DQ910836</v>
          </cell>
          <cell r="B409">
            <v>152</v>
          </cell>
          <cell r="C409">
            <v>41.42</v>
          </cell>
          <cell r="D409">
            <v>0</v>
          </cell>
          <cell r="E409">
            <v>41.42</v>
          </cell>
          <cell r="F409" t="str">
            <v>调货</v>
          </cell>
          <cell r="G409" t="str">
            <v>丰田凌志</v>
          </cell>
          <cell r="H409">
            <v>50</v>
          </cell>
          <cell r="I409">
            <v>49</v>
          </cell>
          <cell r="J409">
            <v>48</v>
          </cell>
          <cell r="K409">
            <v>47</v>
          </cell>
          <cell r="L409">
            <v>47</v>
          </cell>
          <cell r="M409">
            <v>46</v>
          </cell>
        </row>
        <row r="410">
          <cell r="A410" t="str">
            <v>DQ91087402</v>
          </cell>
          <cell r="B410">
            <v>151</v>
          </cell>
          <cell r="C410">
            <v>34.913395854</v>
          </cell>
          <cell r="D410">
            <v>0</v>
          </cell>
          <cell r="E410">
            <v>34.913395854</v>
          </cell>
          <cell r="F410" t="str">
            <v>自制</v>
          </cell>
          <cell r="G410" t="str">
            <v>丰田02274</v>
          </cell>
          <cell r="H410">
            <v>48</v>
          </cell>
          <cell r="I410">
            <v>46</v>
          </cell>
          <cell r="J410">
            <v>44</v>
          </cell>
          <cell r="K410">
            <v>42</v>
          </cell>
          <cell r="L410">
            <v>41</v>
          </cell>
          <cell r="M410">
            <v>39</v>
          </cell>
        </row>
        <row r="411">
          <cell r="A411" t="str">
            <v>DQ6410A1</v>
          </cell>
          <cell r="B411">
            <v>150</v>
          </cell>
          <cell r="C411">
            <v>40.4471384562608</v>
          </cell>
          <cell r="D411">
            <v>-0.182051970405948</v>
          </cell>
          <cell r="E411">
            <v>40.6291904266667</v>
          </cell>
          <cell r="F411" t="str">
            <v>自制</v>
          </cell>
          <cell r="G411" t="str">
            <v>德尔福四代</v>
          </cell>
          <cell r="H411">
            <v>55</v>
          </cell>
          <cell r="I411">
            <v>53</v>
          </cell>
          <cell r="J411">
            <v>51</v>
          </cell>
          <cell r="K411">
            <v>49</v>
          </cell>
          <cell r="L411">
            <v>47</v>
          </cell>
          <cell r="M411">
            <v>45</v>
          </cell>
        </row>
        <row r="412">
          <cell r="A412" t="str">
            <v>DQ9211B1</v>
          </cell>
          <cell r="B412">
            <v>150</v>
          </cell>
          <cell r="C412">
            <v>40.53</v>
          </cell>
          <cell r="D412">
            <v>0</v>
          </cell>
          <cell r="E412">
            <v>40.53</v>
          </cell>
          <cell r="F412" t="str">
            <v>调货</v>
          </cell>
          <cell r="G412" t="str">
            <v>丰田</v>
          </cell>
          <cell r="H412">
            <v>49</v>
          </cell>
          <cell r="I412">
            <v>48</v>
          </cell>
          <cell r="J412">
            <v>47</v>
          </cell>
          <cell r="K412">
            <v>46</v>
          </cell>
          <cell r="L412">
            <v>46</v>
          </cell>
          <cell r="M412">
            <v>45</v>
          </cell>
        </row>
        <row r="413">
          <cell r="A413" t="str">
            <v>DQ9117F1</v>
          </cell>
          <cell r="B413">
            <v>150</v>
          </cell>
          <cell r="C413">
            <v>41.59785</v>
          </cell>
          <cell r="D413">
            <v>0</v>
          </cell>
          <cell r="E413">
            <v>41.59785</v>
          </cell>
          <cell r="F413" t="str">
            <v>调货</v>
          </cell>
          <cell r="G413" t="str">
            <v>铃木阿尔托</v>
          </cell>
          <cell r="H413">
            <v>50</v>
          </cell>
          <cell r="I413">
            <v>49</v>
          </cell>
          <cell r="J413">
            <v>48</v>
          </cell>
          <cell r="K413">
            <v>48</v>
          </cell>
          <cell r="L413">
            <v>47</v>
          </cell>
          <cell r="M413">
            <v>46</v>
          </cell>
        </row>
        <row r="414">
          <cell r="A414" t="str">
            <v>DQ9101</v>
          </cell>
          <cell r="B414">
            <v>149</v>
          </cell>
          <cell r="C414">
            <v>19.2997986562069</v>
          </cell>
          <cell r="D414">
            <v>0</v>
          </cell>
          <cell r="E414">
            <v>19.2997986562069</v>
          </cell>
          <cell r="F414" t="str">
            <v>自制</v>
          </cell>
          <cell r="G414" t="str">
            <v>老索纳塔</v>
          </cell>
          <cell r="H414">
            <v>27</v>
          </cell>
          <cell r="I414">
            <v>26</v>
          </cell>
          <cell r="J414">
            <v>25</v>
          </cell>
          <cell r="K414">
            <v>24</v>
          </cell>
          <cell r="L414">
            <v>23</v>
          </cell>
          <cell r="M414">
            <v>22</v>
          </cell>
        </row>
        <row r="415">
          <cell r="A415" t="str">
            <v>DQ6407A</v>
          </cell>
          <cell r="B415">
            <v>146</v>
          </cell>
          <cell r="C415">
            <v>39.3199559581381</v>
          </cell>
          <cell r="D415">
            <v>-0.721613741861941</v>
          </cell>
          <cell r="E415">
            <v>40.0415697</v>
          </cell>
          <cell r="F415" t="str">
            <v>自制</v>
          </cell>
          <cell r="G415" t="str">
            <v>马六2.0L</v>
          </cell>
          <cell r="H415">
            <v>54</v>
          </cell>
          <cell r="I415">
            <v>52</v>
          </cell>
          <cell r="J415">
            <v>50</v>
          </cell>
          <cell r="K415">
            <v>48</v>
          </cell>
          <cell r="L415">
            <v>46</v>
          </cell>
          <cell r="M415">
            <v>44</v>
          </cell>
        </row>
        <row r="416">
          <cell r="A416" t="str">
            <v>DQ9036B2</v>
          </cell>
          <cell r="B416">
            <v>145</v>
          </cell>
          <cell r="C416">
            <v>26.51877107</v>
          </cell>
          <cell r="D416">
            <v>0</v>
          </cell>
          <cell r="E416">
            <v>26.51877107</v>
          </cell>
          <cell r="F416" t="str">
            <v>自制</v>
          </cell>
          <cell r="G416" t="str">
            <v>JEEP（红插）</v>
          </cell>
          <cell r="H416">
            <v>36</v>
          </cell>
          <cell r="I416">
            <v>35</v>
          </cell>
          <cell r="J416">
            <v>34</v>
          </cell>
          <cell r="K416">
            <v>32</v>
          </cell>
          <cell r="L416">
            <v>31</v>
          </cell>
          <cell r="M416">
            <v>30</v>
          </cell>
        </row>
        <row r="417">
          <cell r="A417" t="str">
            <v>DQ9023C1</v>
          </cell>
          <cell r="B417">
            <v>144</v>
          </cell>
          <cell r="C417">
            <v>30.8538322533333</v>
          </cell>
          <cell r="D417">
            <v>0</v>
          </cell>
          <cell r="E417">
            <v>30.8538322533333</v>
          </cell>
          <cell r="F417" t="str">
            <v>自制</v>
          </cell>
          <cell r="G417" t="str">
            <v>新款大众</v>
          </cell>
          <cell r="H417">
            <v>42</v>
          </cell>
          <cell r="I417">
            <v>41</v>
          </cell>
          <cell r="J417">
            <v>39</v>
          </cell>
          <cell r="K417">
            <v>38</v>
          </cell>
          <cell r="L417">
            <v>36</v>
          </cell>
          <cell r="M417">
            <v>34</v>
          </cell>
        </row>
        <row r="418">
          <cell r="A418" t="str">
            <v>DQ9067A1</v>
          </cell>
          <cell r="B418">
            <v>140</v>
          </cell>
          <cell r="C418">
            <v>23.50774547</v>
          </cell>
          <cell r="D418">
            <v>0</v>
          </cell>
          <cell r="E418">
            <v>23.50774547</v>
          </cell>
          <cell r="F418" t="str">
            <v>自制</v>
          </cell>
          <cell r="G418" t="str">
            <v>鑫源 X30L 1.5L/小海狮X30 1.5L</v>
          </cell>
          <cell r="H418">
            <v>32</v>
          </cell>
          <cell r="I418">
            <v>31</v>
          </cell>
          <cell r="J418">
            <v>30</v>
          </cell>
          <cell r="K418">
            <v>29</v>
          </cell>
          <cell r="L418">
            <v>28</v>
          </cell>
          <cell r="M418">
            <v>26</v>
          </cell>
        </row>
        <row r="419">
          <cell r="A419" t="str">
            <v>DQ9211A1</v>
          </cell>
          <cell r="B419">
            <v>136</v>
          </cell>
          <cell r="C419">
            <v>33.03820333</v>
          </cell>
          <cell r="D419">
            <v>0</v>
          </cell>
          <cell r="E419">
            <v>33.03820333</v>
          </cell>
          <cell r="F419" t="str">
            <v>自制</v>
          </cell>
          <cell r="G419" t="str">
            <v>丰田大发</v>
          </cell>
          <cell r="H419">
            <v>45</v>
          </cell>
          <cell r="I419">
            <v>43</v>
          </cell>
          <cell r="J419">
            <v>42</v>
          </cell>
          <cell r="K419">
            <v>40</v>
          </cell>
          <cell r="L419">
            <v>38</v>
          </cell>
          <cell r="M419">
            <v>37</v>
          </cell>
        </row>
        <row r="420">
          <cell r="A420" t="str">
            <v>DQ9156A1</v>
          </cell>
          <cell r="B420">
            <v>131</v>
          </cell>
          <cell r="C420">
            <v>36.33</v>
          </cell>
          <cell r="D420">
            <v>0</v>
          </cell>
          <cell r="E420">
            <v>36.33</v>
          </cell>
          <cell r="F420" t="str">
            <v>调货</v>
          </cell>
          <cell r="G420" t="str">
            <v>福特、福克斯</v>
          </cell>
          <cell r="H420">
            <v>44</v>
          </cell>
          <cell r="I420">
            <v>43</v>
          </cell>
          <cell r="J420">
            <v>42</v>
          </cell>
          <cell r="K420">
            <v>42</v>
          </cell>
          <cell r="L420">
            <v>41</v>
          </cell>
          <cell r="M420">
            <v>40</v>
          </cell>
        </row>
        <row r="421">
          <cell r="A421" t="str">
            <v>DQ9021F1</v>
          </cell>
          <cell r="B421">
            <v>130</v>
          </cell>
          <cell r="C421">
            <v>22.86925784</v>
          </cell>
          <cell r="D421">
            <v>0</v>
          </cell>
          <cell r="E421">
            <v>22.86925784</v>
          </cell>
          <cell r="F421" t="str">
            <v>自制</v>
          </cell>
          <cell r="G421" t="str">
            <v>新款奇瑞 1.0L</v>
          </cell>
          <cell r="H421">
            <v>31</v>
          </cell>
          <cell r="I421">
            <v>30</v>
          </cell>
          <cell r="J421">
            <v>29</v>
          </cell>
          <cell r="K421">
            <v>28</v>
          </cell>
          <cell r="L421">
            <v>27</v>
          </cell>
          <cell r="M421">
            <v>26</v>
          </cell>
        </row>
        <row r="422">
          <cell r="A422" t="str">
            <v>DQ9089A1</v>
          </cell>
          <cell r="B422">
            <v>129</v>
          </cell>
          <cell r="C422">
            <v>46.747785</v>
          </cell>
          <cell r="D422">
            <v>0</v>
          </cell>
          <cell r="E422">
            <v>46.747785</v>
          </cell>
          <cell r="F422" t="str">
            <v>调货</v>
          </cell>
          <cell r="G422" t="str">
            <v>风神、奕炫</v>
          </cell>
          <cell r="H422">
            <v>56</v>
          </cell>
          <cell r="I422">
            <v>55</v>
          </cell>
          <cell r="J422">
            <v>54</v>
          </cell>
          <cell r="K422">
            <v>53</v>
          </cell>
          <cell r="L422">
            <v>53</v>
          </cell>
          <cell r="M422">
            <v>52</v>
          </cell>
        </row>
        <row r="423">
          <cell r="A423" t="str">
            <v>DQ9017E1</v>
          </cell>
          <cell r="B423">
            <v>122</v>
          </cell>
          <cell r="C423">
            <v>41.6</v>
          </cell>
          <cell r="D423">
            <v>0</v>
          </cell>
          <cell r="E423">
            <v>41.6</v>
          </cell>
          <cell r="F423" t="str">
            <v>调货</v>
          </cell>
          <cell r="G423" t="str">
            <v>沃尔沃</v>
          </cell>
          <cell r="H423">
            <v>50</v>
          </cell>
          <cell r="I423">
            <v>49</v>
          </cell>
          <cell r="J423">
            <v>48</v>
          </cell>
          <cell r="K423">
            <v>48</v>
          </cell>
          <cell r="L423">
            <v>47</v>
          </cell>
          <cell r="M423">
            <v>46</v>
          </cell>
        </row>
        <row r="424">
          <cell r="A424" t="str">
            <v>DQ9005A</v>
          </cell>
          <cell r="B424">
            <v>121</v>
          </cell>
          <cell r="C424">
            <v>15.248946669</v>
          </cell>
          <cell r="D424">
            <v>0</v>
          </cell>
          <cell r="E424">
            <v>15.248946669</v>
          </cell>
          <cell r="F424" t="str">
            <v>自制</v>
          </cell>
          <cell r="G424" t="str">
            <v>江南奥拓</v>
          </cell>
          <cell r="H424">
            <v>21</v>
          </cell>
          <cell r="I424">
            <v>20</v>
          </cell>
          <cell r="J424">
            <v>20</v>
          </cell>
          <cell r="K424">
            <v>19</v>
          </cell>
          <cell r="L424">
            <v>18</v>
          </cell>
          <cell r="M424">
            <v>17</v>
          </cell>
        </row>
        <row r="425">
          <cell r="A425" t="str">
            <v>DQ9077A1</v>
          </cell>
          <cell r="B425">
            <v>120</v>
          </cell>
          <cell r="C425">
            <v>41.685</v>
          </cell>
          <cell r="D425">
            <v>0</v>
          </cell>
          <cell r="E425">
            <v>41.685</v>
          </cell>
          <cell r="F425" t="str">
            <v>调货</v>
          </cell>
          <cell r="G425" t="str">
            <v>上汽通用雪佛兰 科沃兹</v>
          </cell>
          <cell r="H425">
            <v>50</v>
          </cell>
          <cell r="I425">
            <v>49</v>
          </cell>
          <cell r="J425">
            <v>48</v>
          </cell>
          <cell r="K425">
            <v>48</v>
          </cell>
          <cell r="L425">
            <v>47</v>
          </cell>
          <cell r="M425">
            <v>46</v>
          </cell>
        </row>
        <row r="426">
          <cell r="A426" t="str">
            <v>DQ9037B1</v>
          </cell>
          <cell r="B426">
            <v>119</v>
          </cell>
          <cell r="C426">
            <v>22.57877854</v>
          </cell>
          <cell r="D426">
            <v>0</v>
          </cell>
          <cell r="E426">
            <v>22.57877854</v>
          </cell>
          <cell r="F426" t="str">
            <v>自制</v>
          </cell>
          <cell r="G426" t="str">
            <v>长城腾翼C30</v>
          </cell>
          <cell r="H426">
            <v>31</v>
          </cell>
          <cell r="I426">
            <v>30</v>
          </cell>
          <cell r="J426">
            <v>29</v>
          </cell>
          <cell r="K426">
            <v>28</v>
          </cell>
          <cell r="L426">
            <v>26</v>
          </cell>
          <cell r="M426">
            <v>25</v>
          </cell>
        </row>
        <row r="427">
          <cell r="A427" t="str">
            <v>DQ9107C1</v>
          </cell>
          <cell r="B427">
            <v>117</v>
          </cell>
          <cell r="C427">
            <v>21.2441080966667</v>
          </cell>
          <cell r="D427">
            <v>0</v>
          </cell>
          <cell r="E427">
            <v>21.2441080966667</v>
          </cell>
          <cell r="F427" t="str">
            <v>自制</v>
          </cell>
          <cell r="G427" t="str">
            <v>一汽森雅S80</v>
          </cell>
          <cell r="H427">
            <v>29</v>
          </cell>
          <cell r="I427">
            <v>28</v>
          </cell>
          <cell r="J427">
            <v>27</v>
          </cell>
          <cell r="K427">
            <v>26</v>
          </cell>
          <cell r="L427">
            <v>25</v>
          </cell>
          <cell r="M427">
            <v>24</v>
          </cell>
        </row>
        <row r="428">
          <cell r="A428" t="str">
            <v>DQ9153A2</v>
          </cell>
          <cell r="B428">
            <v>117</v>
          </cell>
          <cell r="C428">
            <v>21.1523680966667</v>
          </cell>
          <cell r="D428">
            <v>0</v>
          </cell>
          <cell r="E428">
            <v>21.1523680966667</v>
          </cell>
          <cell r="F428" t="str">
            <v>自制</v>
          </cell>
          <cell r="G428" t="str">
            <v>长城 自动挡 H6 2.4L</v>
          </cell>
          <cell r="H428">
            <v>29</v>
          </cell>
          <cell r="I428">
            <v>28</v>
          </cell>
          <cell r="J428">
            <v>27</v>
          </cell>
          <cell r="K428">
            <v>26</v>
          </cell>
          <cell r="L428">
            <v>25</v>
          </cell>
          <cell r="M428">
            <v>24</v>
          </cell>
        </row>
        <row r="429">
          <cell r="A429" t="str">
            <v>DQ9003G4</v>
          </cell>
          <cell r="B429">
            <v>113</v>
          </cell>
          <cell r="C429">
            <v>26.88757544</v>
          </cell>
          <cell r="D429">
            <v>0</v>
          </cell>
          <cell r="E429">
            <v>26.88757544</v>
          </cell>
          <cell r="F429" t="str">
            <v>自制</v>
          </cell>
          <cell r="G429" t="str">
            <v>奇骏2.0L</v>
          </cell>
          <cell r="H429">
            <v>37</v>
          </cell>
          <cell r="I429">
            <v>35</v>
          </cell>
          <cell r="J429">
            <v>34</v>
          </cell>
          <cell r="K429">
            <v>33</v>
          </cell>
          <cell r="L429">
            <v>31</v>
          </cell>
          <cell r="M429">
            <v>30</v>
          </cell>
        </row>
        <row r="430">
          <cell r="A430" t="str">
            <v>DQ9114A</v>
          </cell>
          <cell r="B430">
            <v>112</v>
          </cell>
          <cell r="C430">
            <v>31.6873635353793</v>
          </cell>
          <cell r="D430">
            <v>0</v>
          </cell>
          <cell r="E430">
            <v>31.6873635353793</v>
          </cell>
          <cell r="F430" t="str">
            <v>自制</v>
          </cell>
          <cell r="G430" t="str">
            <v>途锐长杆</v>
          </cell>
          <cell r="H430">
            <v>43</v>
          </cell>
          <cell r="I430">
            <v>42</v>
          </cell>
          <cell r="J430">
            <v>40</v>
          </cell>
          <cell r="K430">
            <v>39</v>
          </cell>
          <cell r="L430">
            <v>37</v>
          </cell>
          <cell r="M430">
            <v>35</v>
          </cell>
        </row>
        <row r="431">
          <cell r="A431" t="str">
            <v>DQ9005B</v>
          </cell>
          <cell r="B431">
            <v>112</v>
          </cell>
          <cell r="C431">
            <v>15.732891669</v>
          </cell>
          <cell r="D431">
            <v>0</v>
          </cell>
          <cell r="E431">
            <v>15.732891669</v>
          </cell>
          <cell r="F431" t="str">
            <v>自制</v>
          </cell>
          <cell r="G431" t="str">
            <v>福特水星03-05</v>
          </cell>
          <cell r="H431">
            <v>22</v>
          </cell>
          <cell r="I431">
            <v>21</v>
          </cell>
          <cell r="J431">
            <v>20</v>
          </cell>
          <cell r="K431">
            <v>19</v>
          </cell>
          <cell r="L431">
            <v>19</v>
          </cell>
          <cell r="M431">
            <v>18</v>
          </cell>
        </row>
        <row r="432">
          <cell r="A432" t="str">
            <v>DQ9007H1</v>
          </cell>
          <cell r="B432">
            <v>111</v>
          </cell>
          <cell r="C432">
            <v>32.88790747</v>
          </cell>
          <cell r="D432">
            <v>0</v>
          </cell>
          <cell r="E432">
            <v>32.88790747</v>
          </cell>
          <cell r="F432" t="str">
            <v>自制</v>
          </cell>
          <cell r="G432" t="str">
            <v>2019 Kia Cadenza 3.3l</v>
          </cell>
          <cell r="H432">
            <v>45</v>
          </cell>
          <cell r="I432">
            <v>43</v>
          </cell>
          <cell r="J432">
            <v>42</v>
          </cell>
          <cell r="K432">
            <v>40</v>
          </cell>
          <cell r="L432">
            <v>38</v>
          </cell>
          <cell r="M432">
            <v>37</v>
          </cell>
        </row>
        <row r="433">
          <cell r="A433" t="str">
            <v>DQ9038A3</v>
          </cell>
          <cell r="B433">
            <v>108</v>
          </cell>
          <cell r="C433">
            <v>22.9161843333333</v>
          </cell>
          <cell r="D433">
            <v>0</v>
          </cell>
          <cell r="E433">
            <v>22.9161843333333</v>
          </cell>
          <cell r="F433" t="str">
            <v>自制</v>
          </cell>
          <cell r="G433" t="str">
            <v>力帆</v>
          </cell>
          <cell r="H433">
            <v>31</v>
          </cell>
          <cell r="I433">
            <v>30</v>
          </cell>
          <cell r="J433">
            <v>29</v>
          </cell>
          <cell r="K433">
            <v>28</v>
          </cell>
          <cell r="L433">
            <v>27</v>
          </cell>
          <cell r="M433">
            <v>26</v>
          </cell>
        </row>
        <row r="434">
          <cell r="A434" t="str">
            <v>DQ9130A1</v>
          </cell>
          <cell r="B434">
            <v>108</v>
          </cell>
          <cell r="C434">
            <v>50.358</v>
          </cell>
          <cell r="D434">
            <v>0</v>
          </cell>
          <cell r="E434">
            <v>50.358</v>
          </cell>
          <cell r="F434" t="str">
            <v>调货</v>
          </cell>
          <cell r="G434" t="str">
            <v>福特</v>
          </cell>
          <cell r="H434">
            <v>60</v>
          </cell>
          <cell r="I434">
            <v>59</v>
          </cell>
          <cell r="J434">
            <v>58</v>
          </cell>
          <cell r="K434">
            <v>57</v>
          </cell>
          <cell r="L434">
            <v>57</v>
          </cell>
          <cell r="M434">
            <v>56</v>
          </cell>
        </row>
        <row r="435">
          <cell r="A435" t="str">
            <v>DQ9071A1</v>
          </cell>
          <cell r="B435">
            <v>108</v>
          </cell>
          <cell r="C435">
            <v>33.18</v>
          </cell>
          <cell r="D435">
            <v>0</v>
          </cell>
          <cell r="E435">
            <v>33.18</v>
          </cell>
          <cell r="F435" t="str">
            <v>调货</v>
          </cell>
          <cell r="G435" t="str">
            <v>东风小康C31</v>
          </cell>
          <cell r="H435">
            <v>40</v>
          </cell>
          <cell r="I435">
            <v>39</v>
          </cell>
          <cell r="J435">
            <v>39</v>
          </cell>
          <cell r="K435">
            <v>38</v>
          </cell>
          <cell r="L435">
            <v>38</v>
          </cell>
          <cell r="M435">
            <v>37</v>
          </cell>
        </row>
        <row r="436">
          <cell r="A436" t="str">
            <v>DQ9206A</v>
          </cell>
          <cell r="B436">
            <v>106</v>
          </cell>
          <cell r="C436">
            <v>32.0641475</v>
          </cell>
          <cell r="D436">
            <v>0</v>
          </cell>
          <cell r="E436">
            <v>32.0641475</v>
          </cell>
          <cell r="F436" t="str">
            <v>自制</v>
          </cell>
          <cell r="G436" t="str">
            <v>三菱兰瑟</v>
          </cell>
          <cell r="H436">
            <v>44</v>
          </cell>
          <cell r="I436">
            <v>42</v>
          </cell>
          <cell r="J436">
            <v>41</v>
          </cell>
          <cell r="K436">
            <v>39</v>
          </cell>
          <cell r="L436">
            <v>37</v>
          </cell>
          <cell r="M436">
            <v>36</v>
          </cell>
        </row>
        <row r="437">
          <cell r="A437" t="str">
            <v>DQ9074A2</v>
          </cell>
          <cell r="B437">
            <v>102</v>
          </cell>
          <cell r="C437">
            <v>43.69785</v>
          </cell>
          <cell r="D437">
            <v>0</v>
          </cell>
          <cell r="E437">
            <v>43.69785</v>
          </cell>
          <cell r="F437" t="str">
            <v>调货</v>
          </cell>
          <cell r="G437" t="str">
            <v>东风小康D71</v>
          </cell>
          <cell r="H437">
            <v>53</v>
          </cell>
          <cell r="I437">
            <v>52</v>
          </cell>
          <cell r="J437">
            <v>51</v>
          </cell>
          <cell r="K437">
            <v>50</v>
          </cell>
          <cell r="L437">
            <v>49</v>
          </cell>
          <cell r="M437">
            <v>49</v>
          </cell>
        </row>
        <row r="438">
          <cell r="A438" t="str">
            <v>DQ9128A2</v>
          </cell>
          <cell r="B438">
            <v>100</v>
          </cell>
          <cell r="C438">
            <v>32.1765339066667</v>
          </cell>
          <cell r="D438">
            <v>0</v>
          </cell>
          <cell r="E438">
            <v>32.1765339066667</v>
          </cell>
          <cell r="F438" t="str">
            <v>自制</v>
          </cell>
          <cell r="G438" t="str">
            <v>林荫大道</v>
          </cell>
          <cell r="H438">
            <v>44</v>
          </cell>
          <cell r="I438">
            <v>42</v>
          </cell>
          <cell r="J438">
            <v>41</v>
          </cell>
          <cell r="K438">
            <v>39</v>
          </cell>
          <cell r="L438">
            <v>38</v>
          </cell>
          <cell r="M438">
            <v>36</v>
          </cell>
        </row>
        <row r="439">
          <cell r="A439" t="str">
            <v>DQ6207</v>
          </cell>
          <cell r="B439">
            <v>99</v>
          </cell>
          <cell r="C439">
            <v>93.3302475</v>
          </cell>
          <cell r="D439">
            <v>-0.539752500000005</v>
          </cell>
          <cell r="E439">
            <v>93.87</v>
          </cell>
          <cell r="F439" t="str">
            <v>调货</v>
          </cell>
          <cell r="G439" t="str">
            <v>圣达菲2.7</v>
          </cell>
          <cell r="H439">
            <v>112</v>
          </cell>
          <cell r="I439">
            <v>110</v>
          </cell>
          <cell r="J439">
            <v>108</v>
          </cell>
          <cell r="K439">
            <v>106</v>
          </cell>
          <cell r="L439">
            <v>105</v>
          </cell>
          <cell r="M439">
            <v>103</v>
          </cell>
        </row>
        <row r="440">
          <cell r="A440" t="str">
            <v>DQ9021A</v>
          </cell>
          <cell r="B440">
            <v>98</v>
          </cell>
          <cell r="C440">
            <v>19.43359781</v>
          </cell>
          <cell r="D440">
            <v>0</v>
          </cell>
          <cell r="E440">
            <v>19.43359781</v>
          </cell>
          <cell r="F440" t="str">
            <v>自制</v>
          </cell>
          <cell r="G440" t="str">
            <v>天津夏利</v>
          </cell>
          <cell r="H440">
            <v>27</v>
          </cell>
          <cell r="I440">
            <v>26</v>
          </cell>
          <cell r="J440">
            <v>25</v>
          </cell>
          <cell r="K440">
            <v>24</v>
          </cell>
          <cell r="L440">
            <v>23</v>
          </cell>
          <cell r="M440">
            <v>22</v>
          </cell>
        </row>
        <row r="441">
          <cell r="A441" t="str">
            <v>DQ9010L1</v>
          </cell>
          <cell r="B441">
            <v>97</v>
          </cell>
          <cell r="C441">
            <v>24.83236657</v>
          </cell>
          <cell r="D441">
            <v>0</v>
          </cell>
          <cell r="E441">
            <v>24.83236657</v>
          </cell>
          <cell r="F441" t="str">
            <v>自制</v>
          </cell>
          <cell r="G441" t="str">
            <v>本田飞度混动2013款</v>
          </cell>
          <cell r="H441">
            <v>34</v>
          </cell>
          <cell r="I441">
            <v>33</v>
          </cell>
          <cell r="J441">
            <v>32</v>
          </cell>
          <cell r="K441">
            <v>30</v>
          </cell>
          <cell r="L441">
            <v>29</v>
          </cell>
          <cell r="M441">
            <v>28</v>
          </cell>
        </row>
        <row r="442">
          <cell r="A442" t="str">
            <v>DQ9050A2</v>
          </cell>
          <cell r="B442">
            <v>96</v>
          </cell>
          <cell r="C442">
            <v>33.7119196348473</v>
          </cell>
          <cell r="D442">
            <v>1.60535602484727</v>
          </cell>
          <cell r="E442">
            <v>32.10656361</v>
          </cell>
          <cell r="F442" t="str">
            <v>自制</v>
          </cell>
          <cell r="G442" t="str">
            <v>三菱欧蓝德2.4L</v>
          </cell>
          <cell r="H442">
            <v>46</v>
          </cell>
          <cell r="I442">
            <v>44</v>
          </cell>
          <cell r="J442">
            <v>43</v>
          </cell>
          <cell r="K442">
            <v>41</v>
          </cell>
          <cell r="L442">
            <v>39</v>
          </cell>
          <cell r="M442">
            <v>38</v>
          </cell>
        </row>
        <row r="443">
          <cell r="A443" t="str">
            <v>DQ6402C1</v>
          </cell>
          <cell r="B443">
            <v>94</v>
          </cell>
          <cell r="C443">
            <v>61.202559</v>
          </cell>
          <cell r="D443">
            <v>0</v>
          </cell>
          <cell r="E443">
            <v>61.202559</v>
          </cell>
          <cell r="F443" t="str">
            <v>自制</v>
          </cell>
          <cell r="G443" t="str">
            <v>斯巴鲁</v>
          </cell>
          <cell r="H443">
            <v>83</v>
          </cell>
          <cell r="I443">
            <v>80</v>
          </cell>
          <cell r="J443">
            <v>77</v>
          </cell>
          <cell r="K443">
            <v>74</v>
          </cell>
          <cell r="L443">
            <v>71</v>
          </cell>
          <cell r="M443">
            <v>68</v>
          </cell>
        </row>
        <row r="444">
          <cell r="A444" t="str">
            <v>DQ4202A1</v>
          </cell>
          <cell r="B444">
            <v>94</v>
          </cell>
          <cell r="C444">
            <v>49.749</v>
          </cell>
          <cell r="D444">
            <v>0</v>
          </cell>
          <cell r="E444">
            <v>49.749</v>
          </cell>
          <cell r="F444" t="str">
            <v>调货</v>
          </cell>
          <cell r="G444" t="str">
            <v>丰田SR40</v>
          </cell>
          <cell r="H444">
            <v>60</v>
          </cell>
          <cell r="I444">
            <v>59</v>
          </cell>
          <cell r="J444">
            <v>58</v>
          </cell>
          <cell r="K444">
            <v>57</v>
          </cell>
          <cell r="L444">
            <v>56</v>
          </cell>
          <cell r="M444">
            <v>55</v>
          </cell>
        </row>
        <row r="445">
          <cell r="A445" t="str">
            <v>DQ9003G7</v>
          </cell>
          <cell r="B445">
            <v>92</v>
          </cell>
          <cell r="C445">
            <v>38.44785</v>
          </cell>
          <cell r="D445">
            <v>0</v>
          </cell>
          <cell r="E445">
            <v>38.44785</v>
          </cell>
          <cell r="F445" t="str">
            <v>调货</v>
          </cell>
          <cell r="G445" t="str">
            <v>22448-6LBOA</v>
          </cell>
          <cell r="H445">
            <v>46</v>
          </cell>
          <cell r="I445">
            <v>45</v>
          </cell>
          <cell r="J445">
            <v>45</v>
          </cell>
          <cell r="K445">
            <v>44</v>
          </cell>
          <cell r="L445">
            <v>44</v>
          </cell>
          <cell r="M445">
            <v>43</v>
          </cell>
        </row>
        <row r="446">
          <cell r="A446" t="str">
            <v>DQ9033A1</v>
          </cell>
          <cell r="B446">
            <v>90</v>
          </cell>
          <cell r="C446">
            <v>28.8032628466667</v>
          </cell>
          <cell r="D446">
            <v>0</v>
          </cell>
          <cell r="E446">
            <v>28.8032628466667</v>
          </cell>
          <cell r="F446" t="str">
            <v>自制</v>
          </cell>
          <cell r="G446" t="str">
            <v>青年莲花</v>
          </cell>
          <cell r="H446">
            <v>39</v>
          </cell>
          <cell r="I446">
            <v>38</v>
          </cell>
          <cell r="J446">
            <v>37</v>
          </cell>
          <cell r="K446">
            <v>35</v>
          </cell>
          <cell r="L446">
            <v>34</v>
          </cell>
          <cell r="M446">
            <v>32</v>
          </cell>
        </row>
        <row r="447">
          <cell r="A447" t="str">
            <v>DQ6211</v>
          </cell>
          <cell r="B447">
            <v>90</v>
          </cell>
          <cell r="C447">
            <v>58.4</v>
          </cell>
          <cell r="D447">
            <v>0</v>
          </cell>
          <cell r="E447">
            <v>58.4</v>
          </cell>
          <cell r="F447" t="str">
            <v>调货</v>
          </cell>
          <cell r="G447" t="str">
            <v>现代</v>
          </cell>
          <cell r="H447">
            <v>70</v>
          </cell>
          <cell r="I447">
            <v>69</v>
          </cell>
          <cell r="J447">
            <v>68</v>
          </cell>
          <cell r="K447">
            <v>66</v>
          </cell>
          <cell r="L447">
            <v>66</v>
          </cell>
          <cell r="M447">
            <v>65</v>
          </cell>
        </row>
        <row r="448">
          <cell r="A448" t="str">
            <v>DQ9004D2</v>
          </cell>
          <cell r="B448">
            <v>90</v>
          </cell>
          <cell r="C448">
            <v>27.86388</v>
          </cell>
          <cell r="D448">
            <v>0</v>
          </cell>
          <cell r="E448">
            <v>27.86388</v>
          </cell>
          <cell r="F448" t="str">
            <v>自制</v>
          </cell>
          <cell r="G448" t="str">
            <v>尼桑</v>
          </cell>
          <cell r="H448">
            <v>38</v>
          </cell>
          <cell r="I448">
            <v>37</v>
          </cell>
          <cell r="J448">
            <v>35</v>
          </cell>
          <cell r="K448">
            <v>34</v>
          </cell>
          <cell r="L448">
            <v>33</v>
          </cell>
          <cell r="M448">
            <v>31</v>
          </cell>
        </row>
        <row r="449">
          <cell r="A449" t="str">
            <v>DQ9085A1</v>
          </cell>
          <cell r="B449">
            <v>90</v>
          </cell>
          <cell r="C449">
            <v>46.747785</v>
          </cell>
          <cell r="D449">
            <v>0</v>
          </cell>
          <cell r="E449">
            <v>46.747785</v>
          </cell>
          <cell r="F449" t="str">
            <v>调货</v>
          </cell>
          <cell r="G449" t="str">
            <v>福特福克斯</v>
          </cell>
          <cell r="H449">
            <v>56</v>
          </cell>
          <cell r="I449">
            <v>55</v>
          </cell>
          <cell r="J449">
            <v>54</v>
          </cell>
          <cell r="K449">
            <v>53</v>
          </cell>
          <cell r="L449">
            <v>53</v>
          </cell>
          <cell r="M449">
            <v>52</v>
          </cell>
        </row>
        <row r="450">
          <cell r="A450" t="str">
            <v>DQ9120A</v>
          </cell>
          <cell r="B450">
            <v>89</v>
          </cell>
          <cell r="C450">
            <v>31.42</v>
          </cell>
          <cell r="D450">
            <v>0</v>
          </cell>
          <cell r="E450">
            <v>31.42</v>
          </cell>
          <cell r="F450" t="str">
            <v>调货</v>
          </cell>
          <cell r="G450" t="str">
            <v>荣威 750 2.5L（黑色铁管）</v>
          </cell>
          <cell r="H450">
            <v>38</v>
          </cell>
          <cell r="I450">
            <v>37</v>
          </cell>
          <cell r="J450">
            <v>37</v>
          </cell>
          <cell r="K450">
            <v>36</v>
          </cell>
          <cell r="L450">
            <v>36</v>
          </cell>
          <cell r="M450">
            <v>35</v>
          </cell>
        </row>
        <row r="451">
          <cell r="A451" t="str">
            <v>DQ6407</v>
          </cell>
          <cell r="B451">
            <v>88</v>
          </cell>
          <cell r="C451">
            <v>39.1401436967359</v>
          </cell>
          <cell r="D451">
            <v>-0.502621003264082</v>
          </cell>
          <cell r="E451">
            <v>39.6427647</v>
          </cell>
          <cell r="F451" t="str">
            <v>自制</v>
          </cell>
          <cell r="G451" t="str">
            <v>蒙迪欧</v>
          </cell>
          <cell r="H451">
            <v>53</v>
          </cell>
          <cell r="I451">
            <v>51</v>
          </cell>
          <cell r="J451">
            <v>49</v>
          </cell>
          <cell r="K451">
            <v>47</v>
          </cell>
          <cell r="L451">
            <v>46</v>
          </cell>
          <cell r="M451">
            <v>44</v>
          </cell>
        </row>
        <row r="452">
          <cell r="A452" t="str">
            <v>DQ9130B1</v>
          </cell>
          <cell r="B452">
            <v>87</v>
          </cell>
          <cell r="C452">
            <v>50.358</v>
          </cell>
          <cell r="D452">
            <v>0</v>
          </cell>
          <cell r="E452">
            <v>50.358</v>
          </cell>
          <cell r="F452" t="str">
            <v>调货</v>
          </cell>
          <cell r="G452" t="str">
            <v>福特猛禽F-150(右排)</v>
          </cell>
          <cell r="H452">
            <v>60</v>
          </cell>
          <cell r="I452">
            <v>59</v>
          </cell>
          <cell r="J452">
            <v>58</v>
          </cell>
          <cell r="K452">
            <v>57</v>
          </cell>
          <cell r="L452">
            <v>57</v>
          </cell>
          <cell r="M452">
            <v>56</v>
          </cell>
        </row>
        <row r="453">
          <cell r="A453" t="str">
            <v>DQ9210A4</v>
          </cell>
          <cell r="B453">
            <v>86</v>
          </cell>
          <cell r="C453">
            <v>21.15075402</v>
          </cell>
          <cell r="D453">
            <v>0</v>
          </cell>
          <cell r="E453">
            <v>21.15075402</v>
          </cell>
          <cell r="F453" t="str">
            <v>自制</v>
          </cell>
          <cell r="G453" t="str">
            <v>比亚迪G3</v>
          </cell>
          <cell r="H453">
            <v>29</v>
          </cell>
          <cell r="I453">
            <v>28</v>
          </cell>
          <cell r="J453">
            <v>27</v>
          </cell>
          <cell r="K453">
            <v>26</v>
          </cell>
          <cell r="L453">
            <v>25</v>
          </cell>
          <cell r="M453">
            <v>24</v>
          </cell>
        </row>
        <row r="454">
          <cell r="A454" t="str">
            <v>DQ9036D1</v>
          </cell>
          <cell r="B454">
            <v>82</v>
          </cell>
          <cell r="C454">
            <v>38.44785</v>
          </cell>
          <cell r="D454">
            <v>0</v>
          </cell>
          <cell r="E454">
            <v>38.44785</v>
          </cell>
          <cell r="F454" t="str">
            <v>调货</v>
          </cell>
          <cell r="G454" t="str">
            <v>指南者</v>
          </cell>
          <cell r="H454">
            <v>46</v>
          </cell>
          <cell r="I454">
            <v>45</v>
          </cell>
          <cell r="J454">
            <v>45</v>
          </cell>
          <cell r="K454">
            <v>44</v>
          </cell>
          <cell r="L454">
            <v>44</v>
          </cell>
          <cell r="M454">
            <v>43</v>
          </cell>
        </row>
        <row r="455">
          <cell r="A455" t="str">
            <v>DQ9034A6</v>
          </cell>
          <cell r="B455">
            <v>81</v>
          </cell>
          <cell r="C455">
            <v>35.385</v>
          </cell>
          <cell r="D455">
            <v>0</v>
          </cell>
          <cell r="E455">
            <v>35.385</v>
          </cell>
          <cell r="F455" t="str">
            <v>调货</v>
          </cell>
          <cell r="G455" t="str">
            <v>北汽绅宝</v>
          </cell>
          <cell r="H455">
            <v>43</v>
          </cell>
          <cell r="I455">
            <v>42</v>
          </cell>
          <cell r="J455">
            <v>41</v>
          </cell>
          <cell r="K455">
            <v>40</v>
          </cell>
          <cell r="L455">
            <v>40</v>
          </cell>
          <cell r="M455">
            <v>39</v>
          </cell>
        </row>
        <row r="456">
          <cell r="A456" t="str">
            <v>DQ9039F1</v>
          </cell>
          <cell r="B456">
            <v>81</v>
          </cell>
          <cell r="C456">
            <v>23.3193422</v>
          </cell>
          <cell r="D456">
            <v>0</v>
          </cell>
          <cell r="E456">
            <v>23.3193422</v>
          </cell>
          <cell r="F456" t="str">
            <v>自制</v>
          </cell>
          <cell r="G456" t="str">
            <v>福瑞达M50S 1.4L</v>
          </cell>
          <cell r="H456">
            <v>32</v>
          </cell>
          <cell r="I456">
            <v>31</v>
          </cell>
          <cell r="J456">
            <v>30</v>
          </cell>
          <cell r="K456">
            <v>28</v>
          </cell>
          <cell r="L456">
            <v>27</v>
          </cell>
          <cell r="M456">
            <v>26</v>
          </cell>
        </row>
        <row r="457">
          <cell r="A457" t="str">
            <v>DQ9209K</v>
          </cell>
          <cell r="B457">
            <v>79</v>
          </cell>
          <cell r="C457">
            <v>25.8373995</v>
          </cell>
          <cell r="D457">
            <v>0</v>
          </cell>
          <cell r="E457">
            <v>25.8373995</v>
          </cell>
          <cell r="F457" t="str">
            <v>自制</v>
          </cell>
          <cell r="G457" t="str">
            <v>新羚羊</v>
          </cell>
          <cell r="H457">
            <v>35</v>
          </cell>
          <cell r="I457">
            <v>34</v>
          </cell>
          <cell r="J457">
            <v>33</v>
          </cell>
          <cell r="K457">
            <v>32</v>
          </cell>
          <cell r="L457">
            <v>30</v>
          </cell>
          <cell r="M457">
            <v>29</v>
          </cell>
        </row>
        <row r="458">
          <cell r="A458" t="str">
            <v>DQ9135B1</v>
          </cell>
          <cell r="B458">
            <v>79</v>
          </cell>
          <cell r="C458">
            <v>36.42</v>
          </cell>
          <cell r="D458">
            <v>0</v>
          </cell>
          <cell r="E458">
            <v>36.42</v>
          </cell>
          <cell r="F458" t="str">
            <v>调货</v>
          </cell>
          <cell r="G458" t="str">
            <v>标致 3.0L</v>
          </cell>
          <cell r="H458">
            <v>44</v>
          </cell>
          <cell r="I458">
            <v>43</v>
          </cell>
          <cell r="J458">
            <v>42</v>
          </cell>
          <cell r="K458">
            <v>42</v>
          </cell>
          <cell r="L458">
            <v>41</v>
          </cell>
          <cell r="M458">
            <v>41</v>
          </cell>
        </row>
        <row r="459">
          <cell r="A459" t="str">
            <v>DQ9402A2</v>
          </cell>
          <cell r="B459">
            <v>78</v>
          </cell>
          <cell r="C459">
            <v>104.758018181818</v>
          </cell>
          <cell r="D459">
            <v>-0.64198181818182</v>
          </cell>
          <cell r="E459">
            <v>105.4</v>
          </cell>
          <cell r="F459" t="str">
            <v>调货</v>
          </cell>
          <cell r="G459" t="str">
            <v>标致2.0L 老款</v>
          </cell>
          <cell r="H459">
            <v>125</v>
          </cell>
          <cell r="I459">
            <v>123</v>
          </cell>
          <cell r="J459">
            <v>121</v>
          </cell>
          <cell r="K459">
            <v>119</v>
          </cell>
          <cell r="L459">
            <v>118</v>
          </cell>
          <cell r="M459">
            <v>116</v>
          </cell>
        </row>
        <row r="460">
          <cell r="A460" t="str">
            <v>DQ6409</v>
          </cell>
          <cell r="B460">
            <v>76</v>
          </cell>
          <cell r="C460">
            <v>145.1</v>
          </cell>
          <cell r="D460">
            <v>0</v>
          </cell>
          <cell r="E460">
            <v>145.1</v>
          </cell>
          <cell r="F460" t="str">
            <v>调货</v>
          </cell>
          <cell r="G460" t="str">
            <v>通用别克陆尊</v>
          </cell>
          <cell r="H460">
            <v>173</v>
          </cell>
          <cell r="I460">
            <v>170</v>
          </cell>
          <cell r="J460">
            <v>167</v>
          </cell>
          <cell r="K460">
            <v>164</v>
          </cell>
          <cell r="L460">
            <v>163</v>
          </cell>
          <cell r="M460">
            <v>160</v>
          </cell>
        </row>
        <row r="461">
          <cell r="A461" t="str">
            <v>DQ9106LR</v>
          </cell>
          <cell r="B461">
            <v>76</v>
          </cell>
          <cell r="C461">
            <v>27.6587421066667</v>
          </cell>
          <cell r="D461">
            <v>0</v>
          </cell>
          <cell r="E461">
            <v>27.6587421066667</v>
          </cell>
          <cell r="F461" t="str">
            <v>自制</v>
          </cell>
          <cell r="G461" t="str">
            <v>波罗 红头</v>
          </cell>
          <cell r="H461">
            <v>38</v>
          </cell>
          <cell r="I461">
            <v>36</v>
          </cell>
          <cell r="J461">
            <v>35</v>
          </cell>
          <cell r="K461">
            <v>34</v>
          </cell>
          <cell r="L461">
            <v>32</v>
          </cell>
          <cell r="M461">
            <v>31</v>
          </cell>
        </row>
        <row r="462">
          <cell r="A462" t="str">
            <v>DQ9063A1</v>
          </cell>
          <cell r="B462">
            <v>75</v>
          </cell>
          <cell r="C462">
            <v>52.185</v>
          </cell>
          <cell r="D462">
            <v>0</v>
          </cell>
          <cell r="E462">
            <v>52.185</v>
          </cell>
          <cell r="F462" t="str">
            <v>调货</v>
          </cell>
          <cell r="G462" t="str">
            <v>凯迪拉克 CT6 3.0T</v>
          </cell>
          <cell r="H462">
            <v>63</v>
          </cell>
          <cell r="I462">
            <v>62</v>
          </cell>
          <cell r="J462">
            <v>61</v>
          </cell>
          <cell r="K462">
            <v>59</v>
          </cell>
          <cell r="L462">
            <v>59</v>
          </cell>
          <cell r="M462">
            <v>58</v>
          </cell>
        </row>
        <row r="463">
          <cell r="A463" t="str">
            <v>DQ9080A1</v>
          </cell>
          <cell r="B463">
            <v>75</v>
          </cell>
          <cell r="C463">
            <v>69.94785</v>
          </cell>
          <cell r="D463">
            <v>0</v>
          </cell>
          <cell r="E463">
            <v>69.94785</v>
          </cell>
          <cell r="F463" t="str">
            <v>调货</v>
          </cell>
          <cell r="G463" t="str">
            <v>标致308</v>
          </cell>
          <cell r="H463">
            <v>84</v>
          </cell>
          <cell r="I463">
            <v>82</v>
          </cell>
          <cell r="J463">
            <v>81</v>
          </cell>
          <cell r="K463">
            <v>80</v>
          </cell>
          <cell r="L463">
            <v>79</v>
          </cell>
          <cell r="M463">
            <v>77</v>
          </cell>
        </row>
        <row r="464">
          <cell r="A464" t="str">
            <v>DQ9132L1</v>
          </cell>
          <cell r="B464">
            <v>72</v>
          </cell>
          <cell r="C464">
            <v>48.93</v>
          </cell>
          <cell r="D464">
            <v>0</v>
          </cell>
          <cell r="E464">
            <v>48.93</v>
          </cell>
          <cell r="F464" t="str">
            <v>调货</v>
          </cell>
          <cell r="G464" t="str">
            <v>大发97204</v>
          </cell>
          <cell r="H464">
            <v>59</v>
          </cell>
          <cell r="I464">
            <v>58</v>
          </cell>
          <cell r="J464">
            <v>57</v>
          </cell>
          <cell r="K464">
            <v>56</v>
          </cell>
          <cell r="L464">
            <v>55</v>
          </cell>
          <cell r="M464">
            <v>54</v>
          </cell>
        </row>
        <row r="465">
          <cell r="A465" t="str">
            <v>DQ1212Y</v>
          </cell>
          <cell r="B465">
            <v>72</v>
          </cell>
          <cell r="C465">
            <v>52.395</v>
          </cell>
          <cell r="D465">
            <v>0</v>
          </cell>
          <cell r="E465">
            <v>52.395</v>
          </cell>
          <cell r="F465" t="str">
            <v>调货</v>
          </cell>
          <cell r="G465" t="str">
            <v>标致</v>
          </cell>
          <cell r="H465">
            <v>63</v>
          </cell>
          <cell r="I465">
            <v>62</v>
          </cell>
          <cell r="J465">
            <v>61</v>
          </cell>
          <cell r="K465">
            <v>60</v>
          </cell>
          <cell r="L465">
            <v>59</v>
          </cell>
          <cell r="M465">
            <v>58</v>
          </cell>
        </row>
        <row r="466">
          <cell r="A466" t="str">
            <v>DQ132</v>
          </cell>
          <cell r="B466">
            <v>71</v>
          </cell>
          <cell r="C466">
            <v>24.95</v>
          </cell>
          <cell r="D466">
            <v>0</v>
          </cell>
          <cell r="E466">
            <v>24.95</v>
          </cell>
          <cell r="F466" t="str">
            <v>调货</v>
          </cell>
          <cell r="G466" t="str">
            <v>99新秀</v>
          </cell>
          <cell r="H466">
            <v>30</v>
          </cell>
          <cell r="I466">
            <v>30</v>
          </cell>
          <cell r="J466">
            <v>29</v>
          </cell>
          <cell r="K466">
            <v>29</v>
          </cell>
          <cell r="L466">
            <v>28</v>
          </cell>
          <cell r="M466">
            <v>28</v>
          </cell>
        </row>
        <row r="467">
          <cell r="A467" t="str">
            <v>DQ6210</v>
          </cell>
          <cell r="B467">
            <v>70</v>
          </cell>
          <cell r="C467">
            <v>58.76</v>
          </cell>
          <cell r="D467">
            <v>0</v>
          </cell>
          <cell r="E467">
            <v>58.76</v>
          </cell>
          <cell r="F467" t="str">
            <v>调货</v>
          </cell>
          <cell r="G467" t="str">
            <v>千里马1.3L</v>
          </cell>
          <cell r="H467">
            <v>70</v>
          </cell>
          <cell r="I467">
            <v>69</v>
          </cell>
          <cell r="J467">
            <v>68</v>
          </cell>
          <cell r="K467">
            <v>67</v>
          </cell>
          <cell r="L467">
            <v>66</v>
          </cell>
          <cell r="M467">
            <v>65</v>
          </cell>
        </row>
        <row r="468">
          <cell r="A468" t="str">
            <v>DQ9003G3</v>
          </cell>
          <cell r="B468">
            <v>70</v>
          </cell>
          <cell r="C468">
            <v>26.80397544</v>
          </cell>
          <cell r="D468">
            <v>0</v>
          </cell>
          <cell r="E468">
            <v>26.80397544</v>
          </cell>
          <cell r="F468" t="str">
            <v>自制</v>
          </cell>
          <cell r="G468" t="str">
            <v>国外版日产楼兰15-19款/英菲尼迪</v>
          </cell>
          <cell r="H468">
            <v>37</v>
          </cell>
          <cell r="I468">
            <v>35</v>
          </cell>
          <cell r="J468">
            <v>34</v>
          </cell>
          <cell r="K468">
            <v>33</v>
          </cell>
          <cell r="L468">
            <v>31</v>
          </cell>
          <cell r="M468">
            <v>30</v>
          </cell>
        </row>
        <row r="469">
          <cell r="A469" t="str">
            <v>DQ6401B1</v>
          </cell>
          <cell r="B469">
            <v>70</v>
          </cell>
          <cell r="C469">
            <v>60.27</v>
          </cell>
          <cell r="D469">
            <v>0</v>
          </cell>
          <cell r="E469">
            <v>60.27</v>
          </cell>
          <cell r="F469" t="str">
            <v>调货</v>
          </cell>
          <cell r="G469" t="str">
            <v>雷诺Dacia</v>
          </cell>
          <cell r="H469">
            <v>72</v>
          </cell>
          <cell r="I469">
            <v>71</v>
          </cell>
          <cell r="J469">
            <v>70</v>
          </cell>
          <cell r="K469">
            <v>69</v>
          </cell>
          <cell r="L469">
            <v>68</v>
          </cell>
          <cell r="M469">
            <v>67</v>
          </cell>
        </row>
        <row r="470">
          <cell r="A470" t="str">
            <v>DQ9210B1</v>
          </cell>
          <cell r="B470">
            <v>69</v>
          </cell>
          <cell r="C470">
            <v>22.76648902</v>
          </cell>
          <cell r="D470">
            <v>0</v>
          </cell>
          <cell r="E470">
            <v>22.76648902</v>
          </cell>
          <cell r="F470" t="str">
            <v>自制</v>
          </cell>
          <cell r="G470" t="str">
            <v>铃木 雨燕1.3L</v>
          </cell>
          <cell r="H470">
            <v>31</v>
          </cell>
          <cell r="I470">
            <v>30</v>
          </cell>
          <cell r="J470">
            <v>29</v>
          </cell>
          <cell r="K470">
            <v>28</v>
          </cell>
          <cell r="L470">
            <v>27</v>
          </cell>
          <cell r="M470">
            <v>26</v>
          </cell>
        </row>
        <row r="471">
          <cell r="A471" t="str">
            <v>DQ9035A4</v>
          </cell>
          <cell r="B471">
            <v>68</v>
          </cell>
          <cell r="C471">
            <v>30.8461229866667</v>
          </cell>
          <cell r="D471">
            <v>0</v>
          </cell>
          <cell r="E471">
            <v>30.8461229866667</v>
          </cell>
          <cell r="F471" t="str">
            <v>自制</v>
          </cell>
          <cell r="G471" t="str">
            <v>长城H7</v>
          </cell>
          <cell r="H471">
            <v>42</v>
          </cell>
          <cell r="I471">
            <v>41</v>
          </cell>
          <cell r="J471">
            <v>39</v>
          </cell>
          <cell r="K471">
            <v>38</v>
          </cell>
          <cell r="L471">
            <v>36</v>
          </cell>
          <cell r="M471">
            <v>34</v>
          </cell>
        </row>
        <row r="472">
          <cell r="A472" t="str">
            <v>DQ9112</v>
          </cell>
          <cell r="B472">
            <v>68</v>
          </cell>
          <cell r="C472">
            <v>41.6</v>
          </cell>
          <cell r="D472">
            <v>0</v>
          </cell>
          <cell r="E472">
            <v>41.6</v>
          </cell>
          <cell r="F472" t="str">
            <v>调货</v>
          </cell>
          <cell r="G472" t="str">
            <v>金杯格瑞斯</v>
          </cell>
          <cell r="H472">
            <v>50</v>
          </cell>
          <cell r="I472">
            <v>49</v>
          </cell>
          <cell r="J472">
            <v>48</v>
          </cell>
          <cell r="K472">
            <v>48</v>
          </cell>
          <cell r="L472">
            <v>47</v>
          </cell>
          <cell r="M472">
            <v>46</v>
          </cell>
        </row>
        <row r="473">
          <cell r="A473" t="str">
            <v>DQ6108B</v>
          </cell>
          <cell r="B473">
            <v>67</v>
          </cell>
          <cell r="C473">
            <v>31.87</v>
          </cell>
          <cell r="D473">
            <v>0</v>
          </cell>
          <cell r="E473">
            <v>31.87</v>
          </cell>
          <cell r="F473" t="str">
            <v>调货</v>
          </cell>
          <cell r="G473" t="str">
            <v>丰田</v>
          </cell>
          <cell r="H473">
            <v>38</v>
          </cell>
          <cell r="I473">
            <v>38</v>
          </cell>
          <cell r="J473">
            <v>37</v>
          </cell>
          <cell r="K473">
            <v>37</v>
          </cell>
          <cell r="L473">
            <v>36</v>
          </cell>
          <cell r="M473">
            <v>36</v>
          </cell>
        </row>
        <row r="474">
          <cell r="A474" t="str">
            <v>DQ6408</v>
          </cell>
          <cell r="B474">
            <v>66</v>
          </cell>
          <cell r="C474">
            <v>139.809742777928</v>
          </cell>
          <cell r="D474">
            <v>-5.77674222207159</v>
          </cell>
          <cell r="E474">
            <v>145.586485</v>
          </cell>
          <cell r="F474" t="str">
            <v>自制</v>
          </cell>
          <cell r="G474" t="str">
            <v>桑塔纳3000</v>
          </cell>
          <cell r="H474">
            <v>189</v>
          </cell>
          <cell r="I474">
            <v>182</v>
          </cell>
          <cell r="J474">
            <v>175</v>
          </cell>
          <cell r="K474">
            <v>168</v>
          </cell>
          <cell r="L474">
            <v>161</v>
          </cell>
          <cell r="M474">
            <v>154</v>
          </cell>
        </row>
        <row r="475">
          <cell r="A475" t="str">
            <v>DQ9091A1</v>
          </cell>
          <cell r="B475">
            <v>66</v>
          </cell>
          <cell r="C475">
            <v>43.597785</v>
          </cell>
          <cell r="D475">
            <v>0</v>
          </cell>
          <cell r="E475">
            <v>43.597785</v>
          </cell>
          <cell r="F475" t="str">
            <v>调货</v>
          </cell>
          <cell r="G475" t="str">
            <v>红旗HS5 2.0T</v>
          </cell>
          <cell r="H475">
            <v>52</v>
          </cell>
          <cell r="I475">
            <v>52</v>
          </cell>
          <cell r="J475">
            <v>51</v>
          </cell>
          <cell r="K475">
            <v>50</v>
          </cell>
          <cell r="L475">
            <v>49</v>
          </cell>
          <cell r="M475">
            <v>48</v>
          </cell>
        </row>
        <row r="476">
          <cell r="A476" t="str">
            <v>DQ9206A4</v>
          </cell>
          <cell r="B476">
            <v>65</v>
          </cell>
          <cell r="C476">
            <v>32.102345</v>
          </cell>
          <cell r="D476">
            <v>0</v>
          </cell>
          <cell r="E476">
            <v>32.102345</v>
          </cell>
          <cell r="F476" t="str">
            <v>自制</v>
          </cell>
          <cell r="G476" t="str">
            <v>三菱帕杰罗3.8V6</v>
          </cell>
          <cell r="H476">
            <v>44</v>
          </cell>
          <cell r="I476">
            <v>42</v>
          </cell>
          <cell r="J476">
            <v>41</v>
          </cell>
          <cell r="K476">
            <v>39</v>
          </cell>
          <cell r="L476">
            <v>37</v>
          </cell>
          <cell r="M476">
            <v>36</v>
          </cell>
        </row>
        <row r="477">
          <cell r="A477" t="str">
            <v>DQ9005F</v>
          </cell>
          <cell r="B477">
            <v>64</v>
          </cell>
          <cell r="C477">
            <v>17.63146</v>
          </cell>
          <cell r="D477">
            <v>0</v>
          </cell>
          <cell r="E477">
            <v>17.63146</v>
          </cell>
          <cell r="F477" t="str">
            <v>自制</v>
          </cell>
          <cell r="G477" t="str">
            <v>福特 捷豹</v>
          </cell>
          <cell r="H477">
            <v>24</v>
          </cell>
          <cell r="I477">
            <v>23</v>
          </cell>
          <cell r="J477">
            <v>23</v>
          </cell>
          <cell r="K477">
            <v>22</v>
          </cell>
          <cell r="L477">
            <v>21</v>
          </cell>
          <cell r="M477">
            <v>20</v>
          </cell>
        </row>
        <row r="478">
          <cell r="A478" t="str">
            <v>DQ9034A7</v>
          </cell>
          <cell r="B478">
            <v>62</v>
          </cell>
          <cell r="C478">
            <v>35.385</v>
          </cell>
          <cell r="D478">
            <v>0</v>
          </cell>
          <cell r="E478">
            <v>35.385</v>
          </cell>
          <cell r="F478" t="str">
            <v>调货</v>
          </cell>
          <cell r="G478" t="str">
            <v>北汽绅宝</v>
          </cell>
          <cell r="H478">
            <v>43</v>
          </cell>
          <cell r="I478">
            <v>42</v>
          </cell>
          <cell r="J478">
            <v>41</v>
          </cell>
          <cell r="K478">
            <v>40</v>
          </cell>
          <cell r="L478">
            <v>40</v>
          </cell>
          <cell r="M478">
            <v>39</v>
          </cell>
        </row>
        <row r="479">
          <cell r="A479" t="str">
            <v>DQ9030D1</v>
          </cell>
          <cell r="B479">
            <v>62</v>
          </cell>
          <cell r="C479">
            <v>45.2359</v>
          </cell>
          <cell r="D479">
            <v>0</v>
          </cell>
          <cell r="E479">
            <v>46.747785</v>
          </cell>
          <cell r="F479" t="str">
            <v>调货</v>
          </cell>
          <cell r="G479" t="str">
            <v>福特/林肯</v>
          </cell>
          <cell r="H479">
            <v>54</v>
          </cell>
          <cell r="I479">
            <v>53</v>
          </cell>
          <cell r="J479">
            <v>53</v>
          </cell>
          <cell r="K479">
            <v>52</v>
          </cell>
          <cell r="L479">
            <v>51</v>
          </cell>
          <cell r="M479">
            <v>50</v>
          </cell>
        </row>
        <row r="480">
          <cell r="A480" t="str">
            <v>DQ9201B</v>
          </cell>
          <cell r="B480">
            <v>58</v>
          </cell>
          <cell r="C480">
            <v>22.7082075</v>
          </cell>
          <cell r="D480">
            <v>0</v>
          </cell>
          <cell r="E480">
            <v>22.7082075</v>
          </cell>
          <cell r="F480" t="str">
            <v>自制</v>
          </cell>
          <cell r="G480" t="str">
            <v>中华尊驰</v>
          </cell>
          <cell r="H480">
            <v>31</v>
          </cell>
          <cell r="I480">
            <v>30</v>
          </cell>
          <cell r="J480">
            <v>29</v>
          </cell>
          <cell r="K480">
            <v>28</v>
          </cell>
          <cell r="L480">
            <v>27</v>
          </cell>
          <cell r="M480">
            <v>25</v>
          </cell>
        </row>
        <row r="481">
          <cell r="A481" t="str">
            <v>DQ9149B1</v>
          </cell>
          <cell r="B481">
            <v>58</v>
          </cell>
          <cell r="C481">
            <v>56.6</v>
          </cell>
          <cell r="D481">
            <v>0</v>
          </cell>
          <cell r="E481">
            <v>56.6</v>
          </cell>
          <cell r="F481" t="str">
            <v>调货</v>
          </cell>
          <cell r="G481" t="str">
            <v>沃尔沃S80</v>
          </cell>
          <cell r="H481">
            <v>68</v>
          </cell>
          <cell r="I481">
            <v>67</v>
          </cell>
          <cell r="J481">
            <v>66</v>
          </cell>
          <cell r="K481">
            <v>64</v>
          </cell>
          <cell r="L481">
            <v>64</v>
          </cell>
          <cell r="M481">
            <v>63</v>
          </cell>
        </row>
        <row r="482">
          <cell r="A482" t="str">
            <v>DQ6492</v>
          </cell>
          <cell r="B482">
            <v>57</v>
          </cell>
          <cell r="C482">
            <v>46.1255968014314</v>
          </cell>
          <cell r="D482">
            <v>-3.40459136523531</v>
          </cell>
          <cell r="E482">
            <v>49.5301881666667</v>
          </cell>
          <cell r="F482" t="str">
            <v>自制</v>
          </cell>
          <cell r="G482" t="str">
            <v>奇瑞多点</v>
          </cell>
          <cell r="H482">
            <v>63</v>
          </cell>
          <cell r="I482">
            <v>60</v>
          </cell>
          <cell r="J482">
            <v>58</v>
          </cell>
          <cell r="K482">
            <v>56</v>
          </cell>
          <cell r="L482">
            <v>54</v>
          </cell>
          <cell r="M482">
            <v>51</v>
          </cell>
        </row>
        <row r="483">
          <cell r="A483" t="str">
            <v>DQ6106A</v>
          </cell>
          <cell r="B483">
            <v>56</v>
          </cell>
          <cell r="C483">
            <v>24.145275</v>
          </cell>
          <cell r="D483">
            <v>0</v>
          </cell>
          <cell r="E483">
            <v>24.145275</v>
          </cell>
          <cell r="F483" t="str">
            <v>自制</v>
          </cell>
          <cell r="G483" t="str">
            <v>猎豹（化油器）</v>
          </cell>
          <cell r="H483">
            <v>33</v>
          </cell>
          <cell r="I483">
            <v>32</v>
          </cell>
          <cell r="J483">
            <v>31</v>
          </cell>
          <cell r="K483">
            <v>29</v>
          </cell>
          <cell r="L483">
            <v>28</v>
          </cell>
          <cell r="M483">
            <v>27</v>
          </cell>
        </row>
        <row r="484">
          <cell r="A484" t="str">
            <v>DQ9101AR</v>
          </cell>
          <cell r="B484">
            <v>54</v>
          </cell>
          <cell r="C484">
            <v>17.5806726028736</v>
          </cell>
          <cell r="D484">
            <v>0</v>
          </cell>
          <cell r="E484">
            <v>17.5806726028736</v>
          </cell>
          <cell r="F484" t="str">
            <v>自制</v>
          </cell>
          <cell r="G484" t="str">
            <v>伊兰特 VVT 圆头</v>
          </cell>
          <cell r="H484">
            <v>24</v>
          </cell>
          <cell r="I484">
            <v>23</v>
          </cell>
          <cell r="J484">
            <v>22</v>
          </cell>
          <cell r="K484">
            <v>22</v>
          </cell>
          <cell r="L484">
            <v>21</v>
          </cell>
          <cell r="M484">
            <v>20</v>
          </cell>
        </row>
        <row r="485">
          <cell r="A485" t="str">
            <v>DQ9025B1</v>
          </cell>
          <cell r="B485">
            <v>53</v>
          </cell>
          <cell r="C485">
            <v>38.451</v>
          </cell>
          <cell r="D485">
            <v>0</v>
          </cell>
          <cell r="E485">
            <v>38.451</v>
          </cell>
          <cell r="F485" t="str">
            <v>调货</v>
          </cell>
          <cell r="G485" t="str">
            <v>奔驰S320/ML350</v>
          </cell>
          <cell r="H485">
            <v>46</v>
          </cell>
          <cell r="I485">
            <v>45</v>
          </cell>
          <cell r="J485">
            <v>45</v>
          </cell>
          <cell r="K485">
            <v>44</v>
          </cell>
          <cell r="L485">
            <v>44</v>
          </cell>
          <cell r="M485">
            <v>43</v>
          </cell>
        </row>
        <row r="486">
          <cell r="A486" t="str">
            <v>DQ6201</v>
          </cell>
          <cell r="B486">
            <v>52</v>
          </cell>
          <cell r="C486">
            <v>22.674509</v>
          </cell>
          <cell r="D486">
            <v>0</v>
          </cell>
          <cell r="E486">
            <v>22.674509</v>
          </cell>
          <cell r="F486" t="str">
            <v>自制</v>
          </cell>
          <cell r="G486" t="str">
            <v>金杯单点</v>
          </cell>
          <cell r="H486">
            <v>31</v>
          </cell>
          <cell r="I486">
            <v>30</v>
          </cell>
          <cell r="J486">
            <v>29</v>
          </cell>
          <cell r="K486">
            <v>28</v>
          </cell>
          <cell r="L486">
            <v>27</v>
          </cell>
          <cell r="M486">
            <v>25</v>
          </cell>
        </row>
        <row r="487">
          <cell r="A487" t="str">
            <v>DQ9034A5</v>
          </cell>
          <cell r="B487">
            <v>50</v>
          </cell>
          <cell r="C487">
            <v>35.385</v>
          </cell>
          <cell r="D487">
            <v>0</v>
          </cell>
          <cell r="E487">
            <v>35.385</v>
          </cell>
          <cell r="F487" t="str">
            <v>调货</v>
          </cell>
          <cell r="G487" t="str">
            <v>北汽绅宝</v>
          </cell>
          <cell r="H487">
            <v>43</v>
          </cell>
          <cell r="I487">
            <v>42</v>
          </cell>
          <cell r="J487">
            <v>41</v>
          </cell>
          <cell r="K487">
            <v>40</v>
          </cell>
          <cell r="L487">
            <v>40</v>
          </cell>
          <cell r="M487">
            <v>39</v>
          </cell>
        </row>
        <row r="488">
          <cell r="A488" t="str">
            <v>DQ9101L1</v>
          </cell>
          <cell r="B488">
            <v>50</v>
          </cell>
          <cell r="C488">
            <v>19.356289175</v>
          </cell>
          <cell r="D488">
            <v>0</v>
          </cell>
          <cell r="E488">
            <v>19.356289175</v>
          </cell>
          <cell r="F488" t="str">
            <v>自制</v>
          </cell>
          <cell r="G488" t="str">
            <v>起亚LPI</v>
          </cell>
          <cell r="H488">
            <v>27</v>
          </cell>
          <cell r="I488">
            <v>26</v>
          </cell>
          <cell r="J488">
            <v>25</v>
          </cell>
          <cell r="K488">
            <v>24</v>
          </cell>
          <cell r="L488">
            <v>23</v>
          </cell>
          <cell r="M488">
            <v>22</v>
          </cell>
        </row>
        <row r="489">
          <cell r="A489" t="str">
            <v>DQ9402A4</v>
          </cell>
          <cell r="B489">
            <v>49</v>
          </cell>
          <cell r="C489">
            <v>92.3895</v>
          </cell>
          <cell r="D489">
            <v>0</v>
          </cell>
          <cell r="E489">
            <v>92.3895</v>
          </cell>
          <cell r="F489" t="str">
            <v>调货</v>
          </cell>
          <cell r="G489" t="str">
            <v>标致 206 1.4L（黑插）</v>
          </cell>
          <cell r="H489">
            <v>110</v>
          </cell>
          <cell r="I489">
            <v>109</v>
          </cell>
          <cell r="J489">
            <v>107</v>
          </cell>
          <cell r="K489">
            <v>105</v>
          </cell>
          <cell r="L489">
            <v>104</v>
          </cell>
          <cell r="M489">
            <v>102</v>
          </cell>
        </row>
        <row r="490">
          <cell r="A490" t="str">
            <v>DQ9025D1</v>
          </cell>
          <cell r="B490">
            <v>49</v>
          </cell>
          <cell r="C490">
            <v>56.385</v>
          </cell>
          <cell r="D490">
            <v>0</v>
          </cell>
          <cell r="E490">
            <v>56.385</v>
          </cell>
          <cell r="F490" t="str">
            <v>调货</v>
          </cell>
          <cell r="G490" t="str">
            <v>奔驰C200K(W203) 2.0T</v>
          </cell>
          <cell r="H490">
            <v>68</v>
          </cell>
          <cell r="I490">
            <v>66</v>
          </cell>
          <cell r="J490">
            <v>65</v>
          </cell>
          <cell r="K490">
            <v>64</v>
          </cell>
          <cell r="L490">
            <v>64</v>
          </cell>
          <cell r="M490">
            <v>63</v>
          </cell>
        </row>
        <row r="491">
          <cell r="A491" t="str">
            <v>DQ9081A2</v>
          </cell>
          <cell r="B491">
            <v>46</v>
          </cell>
          <cell r="C491">
            <v>23.73786107</v>
          </cell>
          <cell r="D491">
            <v>0</v>
          </cell>
          <cell r="E491">
            <v>23.73786107</v>
          </cell>
          <cell r="F491" t="str">
            <v>自制</v>
          </cell>
          <cell r="G491" t="str">
            <v>哈弗M6</v>
          </cell>
          <cell r="H491">
            <v>33</v>
          </cell>
          <cell r="I491">
            <v>31</v>
          </cell>
          <cell r="J491">
            <v>30</v>
          </cell>
          <cell r="K491">
            <v>29</v>
          </cell>
          <cell r="L491">
            <v>28</v>
          </cell>
          <cell r="M491">
            <v>27</v>
          </cell>
        </row>
        <row r="492">
          <cell r="A492" t="str">
            <v>DQ9082A1</v>
          </cell>
          <cell r="B492">
            <v>44</v>
          </cell>
          <cell r="C492">
            <v>38.44785</v>
          </cell>
          <cell r="D492">
            <v>0</v>
          </cell>
          <cell r="E492">
            <v>38.44785</v>
          </cell>
          <cell r="F492" t="str">
            <v>调货</v>
          </cell>
          <cell r="G492" t="str">
            <v>凯马</v>
          </cell>
          <cell r="H492">
            <v>46</v>
          </cell>
          <cell r="I492">
            <v>45</v>
          </cell>
          <cell r="J492">
            <v>45</v>
          </cell>
          <cell r="K492">
            <v>44</v>
          </cell>
          <cell r="L492">
            <v>44</v>
          </cell>
          <cell r="M492">
            <v>43</v>
          </cell>
        </row>
        <row r="493">
          <cell r="A493" t="str">
            <v>DQ4120A1</v>
          </cell>
          <cell r="B493">
            <v>43</v>
          </cell>
          <cell r="C493">
            <v>48.847785</v>
          </cell>
          <cell r="D493">
            <v>0</v>
          </cell>
          <cell r="E493">
            <v>48.847785</v>
          </cell>
          <cell r="F493" t="str">
            <v>调货</v>
          </cell>
          <cell r="G493" t="str">
            <v>雷克萨斯</v>
          </cell>
          <cell r="H493">
            <v>59</v>
          </cell>
          <cell r="I493">
            <v>58</v>
          </cell>
          <cell r="J493">
            <v>57</v>
          </cell>
          <cell r="K493">
            <v>56</v>
          </cell>
          <cell r="L493">
            <v>55</v>
          </cell>
          <cell r="M493">
            <v>54</v>
          </cell>
        </row>
        <row r="494">
          <cell r="A494" t="str">
            <v>DQ9407A</v>
          </cell>
          <cell r="B494">
            <v>42</v>
          </cell>
          <cell r="C494">
            <v>143.05</v>
          </cell>
          <cell r="D494">
            <v>0</v>
          </cell>
          <cell r="E494">
            <v>143.05</v>
          </cell>
          <cell r="F494" t="str">
            <v>调货</v>
          </cell>
          <cell r="G494" t="str">
            <v>雪佛兰拉赛蒂1.8</v>
          </cell>
          <cell r="H494">
            <v>171</v>
          </cell>
          <cell r="I494">
            <v>168</v>
          </cell>
          <cell r="J494">
            <v>165</v>
          </cell>
          <cell r="K494">
            <v>162</v>
          </cell>
          <cell r="L494">
            <v>161</v>
          </cell>
          <cell r="M494">
            <v>158</v>
          </cell>
        </row>
        <row r="495">
          <cell r="A495" t="str">
            <v>DQ9155A1</v>
          </cell>
          <cell r="B495">
            <v>42</v>
          </cell>
          <cell r="C495">
            <v>48.93</v>
          </cell>
          <cell r="D495">
            <v>0</v>
          </cell>
          <cell r="E495">
            <v>48.93</v>
          </cell>
          <cell r="F495" t="str">
            <v>调货</v>
          </cell>
          <cell r="G495" t="str">
            <v>奇瑞瑞麟G6 2.0T</v>
          </cell>
          <cell r="H495">
            <v>59</v>
          </cell>
          <cell r="I495">
            <v>58</v>
          </cell>
          <cell r="J495">
            <v>57</v>
          </cell>
          <cell r="K495">
            <v>56</v>
          </cell>
          <cell r="L495">
            <v>55</v>
          </cell>
          <cell r="M495">
            <v>54</v>
          </cell>
        </row>
        <row r="496">
          <cell r="A496" t="str">
            <v>DQ9002B2</v>
          </cell>
          <cell r="B496">
            <v>42</v>
          </cell>
          <cell r="C496">
            <v>25.019426718</v>
          </cell>
          <cell r="D496">
            <v>0</v>
          </cell>
          <cell r="E496">
            <v>25.019426718</v>
          </cell>
          <cell r="F496" t="str">
            <v>自制</v>
          </cell>
          <cell r="G496" t="str">
            <v>Mazda 5 / MX5</v>
          </cell>
          <cell r="H496">
            <v>34</v>
          </cell>
          <cell r="I496">
            <v>33</v>
          </cell>
          <cell r="J496">
            <v>32</v>
          </cell>
          <cell r="K496">
            <v>31</v>
          </cell>
          <cell r="L496">
            <v>29</v>
          </cell>
          <cell r="M496">
            <v>28</v>
          </cell>
        </row>
        <row r="497">
          <cell r="A497" t="str">
            <v>DQ6109A</v>
          </cell>
          <cell r="B497">
            <v>41</v>
          </cell>
          <cell r="C497">
            <v>25.4288485</v>
          </cell>
          <cell r="D497">
            <v>0</v>
          </cell>
          <cell r="E497">
            <v>25.4288485</v>
          </cell>
          <cell r="F497" t="str">
            <v>自制</v>
          </cell>
          <cell r="G497" t="str">
            <v>乐驰0.8</v>
          </cell>
          <cell r="H497">
            <v>35</v>
          </cell>
          <cell r="I497">
            <v>34</v>
          </cell>
          <cell r="J497">
            <v>32</v>
          </cell>
          <cell r="K497">
            <v>31</v>
          </cell>
          <cell r="L497">
            <v>30</v>
          </cell>
          <cell r="M497">
            <v>28</v>
          </cell>
        </row>
        <row r="498">
          <cell r="A498" t="str">
            <v>DQ9215C</v>
          </cell>
          <cell r="B498">
            <v>40</v>
          </cell>
          <cell r="C498">
            <v>29.3387644</v>
          </cell>
          <cell r="D498">
            <v>0</v>
          </cell>
          <cell r="E498">
            <v>29.3387644</v>
          </cell>
          <cell r="F498" t="str">
            <v>自制</v>
          </cell>
          <cell r="G498" t="str">
            <v>长城哈弗 H6/H5 2.0L</v>
          </cell>
          <cell r="H498">
            <v>40</v>
          </cell>
          <cell r="I498">
            <v>39</v>
          </cell>
          <cell r="J498">
            <v>37</v>
          </cell>
          <cell r="K498">
            <v>36</v>
          </cell>
          <cell r="L498">
            <v>34</v>
          </cell>
          <cell r="M498">
            <v>33</v>
          </cell>
        </row>
        <row r="499">
          <cell r="A499" t="str">
            <v>DQ9214A</v>
          </cell>
          <cell r="B499">
            <v>40</v>
          </cell>
          <cell r="C499">
            <v>36.7</v>
          </cell>
          <cell r="D499">
            <v>0</v>
          </cell>
          <cell r="E499">
            <v>36.7</v>
          </cell>
          <cell r="F499" t="str">
            <v>调货</v>
          </cell>
          <cell r="G499" t="str">
            <v>现代</v>
          </cell>
          <cell r="H499">
            <v>44</v>
          </cell>
          <cell r="I499">
            <v>43</v>
          </cell>
          <cell r="J499">
            <v>43</v>
          </cell>
          <cell r="K499">
            <v>42</v>
          </cell>
          <cell r="L499">
            <v>42</v>
          </cell>
          <cell r="M499">
            <v>41</v>
          </cell>
        </row>
        <row r="500">
          <cell r="A500" t="str">
            <v>DQ901881</v>
          </cell>
          <cell r="B500">
            <v>40</v>
          </cell>
          <cell r="C500">
            <v>34.794234255</v>
          </cell>
          <cell r="D500">
            <v>0</v>
          </cell>
          <cell r="E500">
            <v>34.794234255</v>
          </cell>
          <cell r="F500" t="str">
            <v>自制</v>
          </cell>
          <cell r="G500" t="str">
            <v>丰田Aygo2014-2016</v>
          </cell>
          <cell r="H500">
            <v>47</v>
          </cell>
          <cell r="I500">
            <v>46</v>
          </cell>
          <cell r="J500">
            <v>44</v>
          </cell>
          <cell r="K500">
            <v>42</v>
          </cell>
          <cell r="L500">
            <v>41</v>
          </cell>
          <cell r="M500">
            <v>39</v>
          </cell>
        </row>
        <row r="501">
          <cell r="A501" t="str">
            <v>DQ9097A1</v>
          </cell>
          <cell r="B501">
            <v>40</v>
          </cell>
          <cell r="C501">
            <v>34.147785</v>
          </cell>
          <cell r="D501">
            <v>0</v>
          </cell>
          <cell r="E501">
            <v>34.147785</v>
          </cell>
          <cell r="F501" t="str">
            <v>调货</v>
          </cell>
          <cell r="G501" t="str">
            <v>奇瑞E3</v>
          </cell>
          <cell r="H501">
            <v>41</v>
          </cell>
          <cell r="I501">
            <v>40</v>
          </cell>
          <cell r="J501">
            <v>40</v>
          </cell>
          <cell r="K501">
            <v>39</v>
          </cell>
          <cell r="L501">
            <v>39</v>
          </cell>
          <cell r="M501">
            <v>38</v>
          </cell>
        </row>
        <row r="502">
          <cell r="A502" t="str">
            <v>DQ6403</v>
          </cell>
          <cell r="B502">
            <v>39</v>
          </cell>
          <cell r="C502">
            <v>107.7</v>
          </cell>
          <cell r="D502">
            <v>0</v>
          </cell>
          <cell r="E502">
            <v>107.7</v>
          </cell>
          <cell r="F502" t="str">
            <v>调货</v>
          </cell>
          <cell r="G502" t="str">
            <v>斯巴鲁</v>
          </cell>
          <cell r="H502">
            <v>129</v>
          </cell>
          <cell r="I502">
            <v>127</v>
          </cell>
          <cell r="J502">
            <v>124</v>
          </cell>
          <cell r="K502">
            <v>122</v>
          </cell>
          <cell r="L502">
            <v>121</v>
          </cell>
          <cell r="M502">
            <v>119</v>
          </cell>
        </row>
        <row r="503">
          <cell r="A503" t="str">
            <v>DQ9078A1</v>
          </cell>
          <cell r="B503">
            <v>39</v>
          </cell>
          <cell r="C503">
            <v>46.83</v>
          </cell>
          <cell r="D503">
            <v>0</v>
          </cell>
          <cell r="E503">
            <v>46.83</v>
          </cell>
          <cell r="F503" t="str">
            <v>调货</v>
          </cell>
          <cell r="G503" t="str">
            <v>海马8S 1.6T</v>
          </cell>
          <cell r="H503">
            <v>56</v>
          </cell>
          <cell r="I503">
            <v>55</v>
          </cell>
          <cell r="J503">
            <v>54</v>
          </cell>
          <cell r="K503">
            <v>53</v>
          </cell>
          <cell r="L503">
            <v>53</v>
          </cell>
          <cell r="M503">
            <v>52</v>
          </cell>
        </row>
        <row r="504">
          <cell r="A504" t="str">
            <v>DQ9209C</v>
          </cell>
          <cell r="B504">
            <v>35</v>
          </cell>
          <cell r="C504">
            <v>23.47392685</v>
          </cell>
          <cell r="D504">
            <v>0</v>
          </cell>
          <cell r="E504">
            <v>23.47392685</v>
          </cell>
          <cell r="F504" t="str">
            <v>自制</v>
          </cell>
          <cell r="G504" t="str">
            <v>比亚迪483</v>
          </cell>
          <cell r="H504">
            <v>32</v>
          </cell>
          <cell r="I504">
            <v>31</v>
          </cell>
          <cell r="J504">
            <v>30</v>
          </cell>
          <cell r="K504">
            <v>29</v>
          </cell>
          <cell r="L504">
            <v>27</v>
          </cell>
          <cell r="M504">
            <v>26</v>
          </cell>
        </row>
        <row r="505">
          <cell r="A505" t="str">
            <v>DQ9008B1</v>
          </cell>
          <cell r="B505">
            <v>35</v>
          </cell>
          <cell r="C505">
            <v>42.42</v>
          </cell>
          <cell r="D505">
            <v>0</v>
          </cell>
          <cell r="E505">
            <v>42.42</v>
          </cell>
          <cell r="F505" t="str">
            <v>调货</v>
          </cell>
          <cell r="G505" t="str">
            <v>三菱蓝瑟08-12  2.0L</v>
          </cell>
          <cell r="H505">
            <v>51</v>
          </cell>
          <cell r="I505">
            <v>50</v>
          </cell>
          <cell r="J505">
            <v>49</v>
          </cell>
          <cell r="K505">
            <v>48</v>
          </cell>
          <cell r="L505">
            <v>48</v>
          </cell>
          <cell r="M505">
            <v>47</v>
          </cell>
        </row>
        <row r="506">
          <cell r="A506" t="str">
            <v>DQ9406B1</v>
          </cell>
          <cell r="B506">
            <v>34</v>
          </cell>
          <cell r="C506">
            <v>115.05</v>
          </cell>
          <cell r="D506">
            <v>0</v>
          </cell>
          <cell r="E506">
            <v>115.05</v>
          </cell>
          <cell r="F506" t="str">
            <v>调货</v>
          </cell>
          <cell r="G506" t="str">
            <v>欧宝10458316</v>
          </cell>
          <cell r="H506">
            <v>137</v>
          </cell>
          <cell r="I506">
            <v>135</v>
          </cell>
          <cell r="J506">
            <v>133</v>
          </cell>
          <cell r="K506">
            <v>131</v>
          </cell>
          <cell r="L506">
            <v>129</v>
          </cell>
          <cell r="M506">
            <v>127</v>
          </cell>
        </row>
        <row r="507">
          <cell r="A507" t="str">
            <v>DQ6203</v>
          </cell>
          <cell r="B507">
            <v>34</v>
          </cell>
          <cell r="C507">
            <v>97.3</v>
          </cell>
          <cell r="D507">
            <v>0</v>
          </cell>
          <cell r="E507">
            <v>97.3</v>
          </cell>
          <cell r="F507" t="str">
            <v>调货</v>
          </cell>
          <cell r="G507" t="str">
            <v>特拉卡途胜2.7</v>
          </cell>
          <cell r="H507">
            <v>116</v>
          </cell>
          <cell r="I507">
            <v>114</v>
          </cell>
          <cell r="J507">
            <v>112</v>
          </cell>
          <cell r="K507">
            <v>110</v>
          </cell>
          <cell r="L507">
            <v>109</v>
          </cell>
          <cell r="M507">
            <v>108</v>
          </cell>
        </row>
        <row r="508">
          <cell r="A508" t="str">
            <v>DQ6110</v>
          </cell>
          <cell r="B508">
            <v>33</v>
          </cell>
          <cell r="C508">
            <v>43.0366748333333</v>
          </cell>
          <cell r="D508">
            <v>0</v>
          </cell>
          <cell r="E508">
            <v>43.0366748333333</v>
          </cell>
          <cell r="F508" t="str">
            <v>自制</v>
          </cell>
          <cell r="G508" t="str">
            <v>红旗世纪星</v>
          </cell>
          <cell r="H508">
            <v>59</v>
          </cell>
          <cell r="I508">
            <v>56</v>
          </cell>
          <cell r="J508">
            <v>54</v>
          </cell>
          <cell r="K508">
            <v>52</v>
          </cell>
          <cell r="L508">
            <v>50</v>
          </cell>
          <cell r="M508">
            <v>48</v>
          </cell>
        </row>
        <row r="509">
          <cell r="A509" t="str">
            <v>DQ9405</v>
          </cell>
          <cell r="B509">
            <v>30</v>
          </cell>
          <cell r="C509">
            <v>125.05</v>
          </cell>
          <cell r="D509">
            <v>0</v>
          </cell>
          <cell r="E509">
            <v>125.05</v>
          </cell>
          <cell r="F509" t="str">
            <v>调货</v>
          </cell>
          <cell r="G509" t="str">
            <v>欧宝</v>
          </cell>
          <cell r="H509">
            <v>149</v>
          </cell>
          <cell r="I509">
            <v>147</v>
          </cell>
          <cell r="J509">
            <v>144</v>
          </cell>
          <cell r="K509">
            <v>142</v>
          </cell>
          <cell r="L509">
            <v>141</v>
          </cell>
          <cell r="M509">
            <v>138</v>
          </cell>
        </row>
        <row r="510">
          <cell r="A510" t="str">
            <v>DQ4108A1</v>
          </cell>
          <cell r="B510">
            <v>30</v>
          </cell>
          <cell r="C510">
            <v>43.950375</v>
          </cell>
          <cell r="D510">
            <v>0</v>
          </cell>
          <cell r="E510">
            <v>43.950375</v>
          </cell>
          <cell r="F510" t="str">
            <v>调货</v>
          </cell>
          <cell r="G510" t="str">
            <v>雪佛兰罗德</v>
          </cell>
          <cell r="H510">
            <v>53</v>
          </cell>
          <cell r="I510">
            <v>52</v>
          </cell>
          <cell r="J510">
            <v>51</v>
          </cell>
          <cell r="K510">
            <v>50</v>
          </cell>
          <cell r="L510">
            <v>50</v>
          </cell>
          <cell r="M510">
            <v>49</v>
          </cell>
        </row>
        <row r="511">
          <cell r="A511" t="str">
            <v>DQ4110A1</v>
          </cell>
          <cell r="B511">
            <v>30</v>
          </cell>
          <cell r="C511">
            <v>43.950375</v>
          </cell>
          <cell r="D511">
            <v>0</v>
          </cell>
          <cell r="E511">
            <v>43.950375</v>
          </cell>
          <cell r="F511" t="str">
            <v>调货</v>
          </cell>
          <cell r="G511" t="str">
            <v>雪佛兰英帕拉</v>
          </cell>
          <cell r="H511">
            <v>53</v>
          </cell>
          <cell r="I511">
            <v>52</v>
          </cell>
          <cell r="J511">
            <v>51</v>
          </cell>
          <cell r="K511">
            <v>50</v>
          </cell>
          <cell r="L511">
            <v>50</v>
          </cell>
          <cell r="M511">
            <v>49</v>
          </cell>
        </row>
        <row r="512">
          <cell r="A512" t="str">
            <v>DQ9017B1</v>
          </cell>
          <cell r="B512">
            <v>28</v>
          </cell>
          <cell r="C512">
            <v>32.2317770069214</v>
          </cell>
          <cell r="D512">
            <v>0.464844436254727</v>
          </cell>
          <cell r="E512">
            <v>31.7669325706667</v>
          </cell>
          <cell r="F512" t="str">
            <v>自制</v>
          </cell>
          <cell r="G512" t="str">
            <v>沃尔沃 S80 (长杆)</v>
          </cell>
          <cell r="H512">
            <v>44</v>
          </cell>
          <cell r="I512">
            <v>42</v>
          </cell>
          <cell r="J512">
            <v>41</v>
          </cell>
          <cell r="K512">
            <v>39</v>
          </cell>
          <cell r="L512">
            <v>38</v>
          </cell>
          <cell r="M512">
            <v>36</v>
          </cell>
        </row>
        <row r="513">
          <cell r="A513" t="str">
            <v>DQ4102B1</v>
          </cell>
          <cell r="B513">
            <v>26</v>
          </cell>
          <cell r="C513">
            <v>31.101</v>
          </cell>
          <cell r="D513">
            <v>0</v>
          </cell>
          <cell r="E513">
            <v>31.101</v>
          </cell>
          <cell r="F513" t="str">
            <v>调货</v>
          </cell>
          <cell r="G513" t="str">
            <v>日产帕拉丁</v>
          </cell>
          <cell r="H513">
            <v>38</v>
          </cell>
          <cell r="I513">
            <v>37</v>
          </cell>
          <cell r="J513">
            <v>36</v>
          </cell>
          <cell r="K513">
            <v>36</v>
          </cell>
          <cell r="L513">
            <v>35</v>
          </cell>
          <cell r="M513">
            <v>35</v>
          </cell>
        </row>
        <row r="514">
          <cell r="A514" t="str">
            <v>DQ9139A1</v>
          </cell>
          <cell r="B514">
            <v>25</v>
          </cell>
          <cell r="C514">
            <v>30.688351354</v>
          </cell>
          <cell r="D514">
            <v>0</v>
          </cell>
          <cell r="E514">
            <v>30.688351354</v>
          </cell>
          <cell r="F514" t="str">
            <v>自制</v>
          </cell>
          <cell r="G514" t="str">
            <v>丰田大发HijetAtrai2010</v>
          </cell>
          <cell r="H514">
            <v>42</v>
          </cell>
          <cell r="I514">
            <v>40</v>
          </cell>
          <cell r="J514">
            <v>39</v>
          </cell>
          <cell r="K514">
            <v>37</v>
          </cell>
          <cell r="L514">
            <v>36</v>
          </cell>
          <cell r="M514">
            <v>34</v>
          </cell>
        </row>
        <row r="515">
          <cell r="A515" t="str">
            <v>DQ134A</v>
          </cell>
          <cell r="B515">
            <v>24</v>
          </cell>
          <cell r="C515">
            <v>47.21</v>
          </cell>
          <cell r="D515">
            <v>0</v>
          </cell>
          <cell r="E515">
            <v>47.21</v>
          </cell>
          <cell r="F515" t="str">
            <v>调货</v>
          </cell>
          <cell r="G515" t="str">
            <v>05款大插口蒙迪欧</v>
          </cell>
          <cell r="H515">
            <v>57</v>
          </cell>
          <cell r="I515">
            <v>56</v>
          </cell>
          <cell r="J515">
            <v>55</v>
          </cell>
          <cell r="K515">
            <v>54</v>
          </cell>
          <cell r="L515">
            <v>53</v>
          </cell>
          <cell r="M515">
            <v>52</v>
          </cell>
        </row>
        <row r="516">
          <cell r="A516" t="str">
            <v>DQ132A</v>
          </cell>
          <cell r="B516">
            <v>22</v>
          </cell>
          <cell r="C516">
            <v>24.93</v>
          </cell>
          <cell r="D516">
            <v>0</v>
          </cell>
          <cell r="E516">
            <v>24.93</v>
          </cell>
          <cell r="F516" t="str">
            <v>调货</v>
          </cell>
          <cell r="G516" t="str">
            <v>奇瑞QQ1.1</v>
          </cell>
          <cell r="H516">
            <v>30</v>
          </cell>
          <cell r="I516">
            <v>30</v>
          </cell>
          <cell r="J516">
            <v>29</v>
          </cell>
          <cell r="K516">
            <v>29</v>
          </cell>
          <cell r="L516">
            <v>28</v>
          </cell>
          <cell r="M516">
            <v>28</v>
          </cell>
        </row>
        <row r="517">
          <cell r="A517" t="str">
            <v>DQ6205</v>
          </cell>
          <cell r="B517">
            <v>21</v>
          </cell>
          <cell r="C517">
            <v>136.08222375</v>
          </cell>
          <cell r="D517">
            <v>0</v>
          </cell>
          <cell r="E517">
            <v>136.08222375</v>
          </cell>
          <cell r="F517" t="str">
            <v>自制</v>
          </cell>
          <cell r="G517" t="str">
            <v>帕萨特2.8</v>
          </cell>
          <cell r="H517">
            <v>184</v>
          </cell>
          <cell r="I517">
            <v>177</v>
          </cell>
          <cell r="J517">
            <v>171</v>
          </cell>
          <cell r="K517">
            <v>164</v>
          </cell>
          <cell r="L517">
            <v>157</v>
          </cell>
          <cell r="M517">
            <v>150</v>
          </cell>
        </row>
        <row r="518">
          <cell r="A518" t="str">
            <v>DQ9017D1</v>
          </cell>
          <cell r="B518">
            <v>21</v>
          </cell>
          <cell r="C518">
            <v>39.6</v>
          </cell>
          <cell r="D518">
            <v>0</v>
          </cell>
          <cell r="E518">
            <v>39.6</v>
          </cell>
          <cell r="F518" t="str">
            <v>调货</v>
          </cell>
          <cell r="G518" t="str">
            <v>沃尔沃</v>
          </cell>
          <cell r="H518">
            <v>48</v>
          </cell>
          <cell r="I518">
            <v>47</v>
          </cell>
          <cell r="J518">
            <v>46</v>
          </cell>
          <cell r="K518">
            <v>45</v>
          </cell>
          <cell r="L518">
            <v>45</v>
          </cell>
          <cell r="M518">
            <v>44</v>
          </cell>
        </row>
        <row r="519">
          <cell r="A519" t="str">
            <v>DQ4401A1</v>
          </cell>
          <cell r="B519">
            <v>20</v>
          </cell>
          <cell r="C519">
            <v>66.465</v>
          </cell>
          <cell r="D519">
            <v>0</v>
          </cell>
          <cell r="E519">
            <v>66.465</v>
          </cell>
          <cell r="F519" t="str">
            <v>调货</v>
          </cell>
          <cell r="G519" t="str">
            <v>ATOS  1.0L</v>
          </cell>
          <cell r="H519">
            <v>80</v>
          </cell>
          <cell r="I519">
            <v>78</v>
          </cell>
          <cell r="J519">
            <v>77</v>
          </cell>
          <cell r="K519">
            <v>76</v>
          </cell>
          <cell r="L519">
            <v>75</v>
          </cell>
          <cell r="M519">
            <v>74</v>
          </cell>
        </row>
        <row r="520">
          <cell r="A520" t="str">
            <v>DQ4401B1</v>
          </cell>
          <cell r="B520">
            <v>20</v>
          </cell>
          <cell r="C520">
            <v>66.465</v>
          </cell>
          <cell r="D520">
            <v>0</v>
          </cell>
          <cell r="E520">
            <v>66.465</v>
          </cell>
          <cell r="F520" t="str">
            <v>调货</v>
          </cell>
          <cell r="G520" t="str">
            <v>AT0SL41.0L</v>
          </cell>
          <cell r="H520">
            <v>80</v>
          </cell>
          <cell r="I520">
            <v>78</v>
          </cell>
          <cell r="J520">
            <v>77</v>
          </cell>
          <cell r="K520">
            <v>76</v>
          </cell>
          <cell r="L520">
            <v>75</v>
          </cell>
          <cell r="M520">
            <v>74</v>
          </cell>
        </row>
        <row r="521">
          <cell r="A521" t="str">
            <v>DQ4119A1</v>
          </cell>
          <cell r="B521">
            <v>20</v>
          </cell>
          <cell r="C521">
            <v>33.097785</v>
          </cell>
          <cell r="D521">
            <v>0</v>
          </cell>
          <cell r="E521">
            <v>33.097785</v>
          </cell>
          <cell r="F521" t="str">
            <v>调货</v>
          </cell>
          <cell r="G521" t="str">
            <v>马自达MX-3</v>
          </cell>
          <cell r="H521">
            <v>40</v>
          </cell>
          <cell r="I521">
            <v>39</v>
          </cell>
          <cell r="J521">
            <v>39</v>
          </cell>
          <cell r="K521">
            <v>38</v>
          </cell>
          <cell r="L521">
            <v>38</v>
          </cell>
          <cell r="M521">
            <v>37</v>
          </cell>
        </row>
        <row r="522">
          <cell r="A522" t="str">
            <v>DQ4101A1</v>
          </cell>
          <cell r="B522">
            <v>19</v>
          </cell>
          <cell r="C522">
            <v>44.0265</v>
          </cell>
          <cell r="D522">
            <v>0</v>
          </cell>
          <cell r="E522">
            <v>44.0265</v>
          </cell>
          <cell r="F522" t="str">
            <v>调货</v>
          </cell>
          <cell r="G522" t="str">
            <v>奔驰MB100</v>
          </cell>
          <cell r="H522">
            <v>53</v>
          </cell>
          <cell r="I522">
            <v>52</v>
          </cell>
          <cell r="J522">
            <v>51</v>
          </cell>
          <cell r="K522">
            <v>50</v>
          </cell>
          <cell r="L522">
            <v>50</v>
          </cell>
          <cell r="M522">
            <v>49</v>
          </cell>
        </row>
        <row r="523">
          <cell r="A523" t="str">
            <v>DQ9206A3</v>
          </cell>
          <cell r="B523">
            <v>19</v>
          </cell>
          <cell r="C523">
            <v>31.268765</v>
          </cell>
          <cell r="D523">
            <v>0</v>
          </cell>
          <cell r="E523">
            <v>31.268765</v>
          </cell>
          <cell r="F523" t="str">
            <v>自制</v>
          </cell>
          <cell r="G523" t="str">
            <v>中华大空</v>
          </cell>
          <cell r="H523">
            <v>43</v>
          </cell>
          <cell r="I523">
            <v>41</v>
          </cell>
          <cell r="J523">
            <v>40</v>
          </cell>
          <cell r="K523">
            <v>38</v>
          </cell>
          <cell r="L523">
            <v>36</v>
          </cell>
          <cell r="M523">
            <v>35</v>
          </cell>
        </row>
        <row r="524">
          <cell r="A524" t="str">
            <v>DQ9011A1</v>
          </cell>
          <cell r="B524">
            <v>18</v>
          </cell>
          <cell r="C524">
            <v>44.835</v>
          </cell>
          <cell r="D524">
            <v>0</v>
          </cell>
          <cell r="E524">
            <v>44.835</v>
          </cell>
          <cell r="F524" t="str">
            <v>调货</v>
          </cell>
          <cell r="G524" t="str">
            <v>丰田特锐</v>
          </cell>
          <cell r="H524">
            <v>54</v>
          </cell>
          <cell r="I524">
            <v>53</v>
          </cell>
          <cell r="J524">
            <v>52</v>
          </cell>
          <cell r="K524">
            <v>51</v>
          </cell>
          <cell r="L524">
            <v>51</v>
          </cell>
          <cell r="M524">
            <v>50</v>
          </cell>
        </row>
        <row r="525">
          <cell r="A525" t="str">
            <v>DQ9023A</v>
          </cell>
          <cell r="B525">
            <v>17</v>
          </cell>
          <cell r="C525">
            <v>29.5892572933333</v>
          </cell>
          <cell r="D525">
            <v>0</v>
          </cell>
          <cell r="E525">
            <v>29.5892572933333</v>
          </cell>
          <cell r="F525" t="str">
            <v>自制</v>
          </cell>
          <cell r="G525" t="str">
            <v>新桑塔纳</v>
          </cell>
          <cell r="H525">
            <v>40</v>
          </cell>
          <cell r="I525">
            <v>39</v>
          </cell>
          <cell r="J525">
            <v>37</v>
          </cell>
          <cell r="K525">
            <v>36</v>
          </cell>
          <cell r="L525">
            <v>35</v>
          </cell>
          <cell r="M525">
            <v>33</v>
          </cell>
        </row>
        <row r="526">
          <cell r="A526" t="str">
            <v>DQ9101T</v>
          </cell>
          <cell r="B526">
            <v>17</v>
          </cell>
          <cell r="C526">
            <v>21.0210422695402</v>
          </cell>
          <cell r="D526">
            <v>0</v>
          </cell>
          <cell r="E526">
            <v>21.0210422695402</v>
          </cell>
          <cell r="F526" t="str">
            <v>自制</v>
          </cell>
          <cell r="G526" t="str">
            <v>27301-37410</v>
          </cell>
          <cell r="H526">
            <v>29</v>
          </cell>
          <cell r="I526">
            <v>28</v>
          </cell>
          <cell r="J526">
            <v>27</v>
          </cell>
          <cell r="K526">
            <v>26</v>
          </cell>
          <cell r="L526">
            <v>25</v>
          </cell>
          <cell r="M526">
            <v>24</v>
          </cell>
        </row>
        <row r="527">
          <cell r="A527" t="str">
            <v>DQ6106</v>
          </cell>
          <cell r="B527">
            <v>16</v>
          </cell>
          <cell r="C527">
            <v>35.7177975</v>
          </cell>
          <cell r="D527">
            <v>0</v>
          </cell>
          <cell r="E527">
            <v>35.7177975</v>
          </cell>
          <cell r="F527" t="str">
            <v>自制</v>
          </cell>
          <cell r="G527" t="str">
            <v>三菱猎豹V31</v>
          </cell>
          <cell r="H527">
            <v>49</v>
          </cell>
          <cell r="I527">
            <v>47</v>
          </cell>
          <cell r="J527">
            <v>45</v>
          </cell>
          <cell r="K527">
            <v>43</v>
          </cell>
          <cell r="L527">
            <v>42</v>
          </cell>
          <cell r="M527">
            <v>40</v>
          </cell>
        </row>
        <row r="528">
          <cell r="A528" t="str">
            <v>DQ9002E1</v>
          </cell>
          <cell r="B528">
            <v>16</v>
          </cell>
          <cell r="C528">
            <v>39.62</v>
          </cell>
          <cell r="D528">
            <v>0</v>
          </cell>
          <cell r="E528">
            <v>39.62</v>
          </cell>
          <cell r="F528" t="str">
            <v>调货</v>
          </cell>
          <cell r="G528" t="str">
            <v>马自达</v>
          </cell>
          <cell r="H528">
            <v>48</v>
          </cell>
          <cell r="I528">
            <v>47</v>
          </cell>
          <cell r="J528">
            <v>46</v>
          </cell>
          <cell r="K528">
            <v>45</v>
          </cell>
          <cell r="L528">
            <v>45</v>
          </cell>
          <cell r="M528">
            <v>44</v>
          </cell>
        </row>
        <row r="529">
          <cell r="A529" t="str">
            <v>DQ9214</v>
          </cell>
          <cell r="B529">
            <v>16</v>
          </cell>
          <cell r="C529">
            <v>36.7</v>
          </cell>
          <cell r="D529">
            <v>0</v>
          </cell>
          <cell r="E529">
            <v>36.7</v>
          </cell>
          <cell r="F529" t="str">
            <v>调货</v>
          </cell>
          <cell r="G529" t="str">
            <v>现代蓝杆</v>
          </cell>
          <cell r="H529">
            <v>44</v>
          </cell>
          <cell r="I529">
            <v>43</v>
          </cell>
          <cell r="J529">
            <v>43</v>
          </cell>
          <cell r="K529">
            <v>42</v>
          </cell>
          <cell r="L529">
            <v>42</v>
          </cell>
          <cell r="M529">
            <v>41</v>
          </cell>
        </row>
        <row r="530">
          <cell r="A530" t="str">
            <v>DQ9136A1</v>
          </cell>
          <cell r="B530">
            <v>16</v>
          </cell>
          <cell r="C530">
            <v>41.58</v>
          </cell>
          <cell r="D530">
            <v>0</v>
          </cell>
          <cell r="E530">
            <v>41.58</v>
          </cell>
          <cell r="F530" t="str">
            <v>调货</v>
          </cell>
          <cell r="G530" t="str">
            <v>新SM5 LPG</v>
          </cell>
          <cell r="H530">
            <v>50</v>
          </cell>
          <cell r="I530">
            <v>49</v>
          </cell>
          <cell r="J530">
            <v>48</v>
          </cell>
          <cell r="K530">
            <v>47</v>
          </cell>
          <cell r="L530">
            <v>47</v>
          </cell>
          <cell r="M530">
            <v>46</v>
          </cell>
        </row>
        <row r="531">
          <cell r="A531" t="str">
            <v>DQ4109A1</v>
          </cell>
          <cell r="B531">
            <v>16</v>
          </cell>
          <cell r="C531">
            <v>50.295</v>
          </cell>
          <cell r="D531">
            <v>0</v>
          </cell>
          <cell r="E531">
            <v>50.295</v>
          </cell>
          <cell r="F531" t="str">
            <v>调货</v>
          </cell>
          <cell r="G531" t="str">
            <v>雪佛兰</v>
          </cell>
          <cell r="H531">
            <v>60</v>
          </cell>
          <cell r="I531">
            <v>59</v>
          </cell>
          <cell r="J531">
            <v>58</v>
          </cell>
          <cell r="K531">
            <v>57</v>
          </cell>
          <cell r="L531">
            <v>57</v>
          </cell>
          <cell r="M531">
            <v>56</v>
          </cell>
        </row>
        <row r="532">
          <cell r="A532" t="str">
            <v>DQ133B</v>
          </cell>
          <cell r="B532">
            <v>15</v>
          </cell>
          <cell r="C532">
            <v>40.7311319428249</v>
          </cell>
          <cell r="D532">
            <v>-1.36072005717515</v>
          </cell>
          <cell r="E532">
            <v>42.091852</v>
          </cell>
          <cell r="F532" t="str">
            <v>自制</v>
          </cell>
          <cell r="G532" t="str">
            <v>菲亚特1.3L</v>
          </cell>
          <cell r="H532">
            <v>55</v>
          </cell>
          <cell r="I532">
            <v>53</v>
          </cell>
          <cell r="J532">
            <v>51</v>
          </cell>
          <cell r="K532">
            <v>49</v>
          </cell>
          <cell r="L532">
            <v>47</v>
          </cell>
          <cell r="M532">
            <v>45</v>
          </cell>
        </row>
        <row r="533">
          <cell r="A533" t="str">
            <v>DQ9005C</v>
          </cell>
          <cell r="B533">
            <v>12</v>
          </cell>
          <cell r="C533">
            <v>14.687924669</v>
          </cell>
          <cell r="D533">
            <v>0</v>
          </cell>
          <cell r="E533">
            <v>14.687924669</v>
          </cell>
          <cell r="F533" t="str">
            <v>自制</v>
          </cell>
          <cell r="G533" t="str">
            <v>捷豹</v>
          </cell>
          <cell r="H533">
            <v>20</v>
          </cell>
          <cell r="I533">
            <v>20</v>
          </cell>
          <cell r="J533">
            <v>19</v>
          </cell>
          <cell r="K533">
            <v>18</v>
          </cell>
          <cell r="L533">
            <v>17</v>
          </cell>
          <cell r="M533">
            <v>17</v>
          </cell>
        </row>
        <row r="534">
          <cell r="A534" t="str">
            <v>DQ9014</v>
          </cell>
          <cell r="B534">
            <v>12</v>
          </cell>
          <cell r="C534">
            <v>46.6</v>
          </cell>
          <cell r="D534">
            <v>0</v>
          </cell>
          <cell r="E534">
            <v>46.6</v>
          </cell>
          <cell r="F534" t="str">
            <v>调货</v>
          </cell>
          <cell r="G534" t="str">
            <v>奥迪200</v>
          </cell>
          <cell r="H534">
            <v>56</v>
          </cell>
          <cell r="I534">
            <v>55</v>
          </cell>
          <cell r="J534">
            <v>54</v>
          </cell>
          <cell r="K534">
            <v>53</v>
          </cell>
          <cell r="L534">
            <v>53</v>
          </cell>
          <cell r="M534">
            <v>52</v>
          </cell>
        </row>
        <row r="535">
          <cell r="A535" t="str">
            <v>DQ9029A2</v>
          </cell>
          <cell r="B535">
            <v>10</v>
          </cell>
          <cell r="C535">
            <v>39.99775</v>
          </cell>
          <cell r="D535">
            <v>0.297749999999998</v>
          </cell>
          <cell r="E535">
            <v>39.7</v>
          </cell>
          <cell r="F535" t="str">
            <v>调货</v>
          </cell>
          <cell r="G535" t="str">
            <v>宝马E36/E46</v>
          </cell>
          <cell r="H535">
            <v>48</v>
          </cell>
          <cell r="I535">
            <v>47</v>
          </cell>
          <cell r="J535">
            <v>46</v>
          </cell>
          <cell r="K535">
            <v>46</v>
          </cell>
          <cell r="L535">
            <v>45</v>
          </cell>
          <cell r="M535">
            <v>44</v>
          </cell>
        </row>
        <row r="536">
          <cell r="A536" t="str">
            <v>DQ133</v>
          </cell>
          <cell r="B536">
            <v>10</v>
          </cell>
          <cell r="C536">
            <v>55.30206</v>
          </cell>
          <cell r="D536">
            <v>0</v>
          </cell>
          <cell r="E536">
            <v>55.30206</v>
          </cell>
          <cell r="F536" t="str">
            <v>自制</v>
          </cell>
          <cell r="G536" t="str">
            <v>五菱之光摩托罗拉</v>
          </cell>
          <cell r="H536">
            <v>75</v>
          </cell>
          <cell r="I536">
            <v>72</v>
          </cell>
          <cell r="J536">
            <v>70</v>
          </cell>
          <cell r="K536">
            <v>67</v>
          </cell>
          <cell r="L536">
            <v>64</v>
          </cell>
          <cell r="M536">
            <v>61</v>
          </cell>
        </row>
        <row r="537">
          <cell r="A537" t="str">
            <v>DQ9024</v>
          </cell>
          <cell r="B537">
            <v>10</v>
          </cell>
          <cell r="C537">
            <v>61.7</v>
          </cell>
          <cell r="D537">
            <v>0</v>
          </cell>
          <cell r="E537">
            <v>61.7</v>
          </cell>
          <cell r="F537" t="str">
            <v>调货</v>
          </cell>
          <cell r="G537" t="str">
            <v>竞技  骑兵</v>
          </cell>
          <cell r="H537">
            <v>74</v>
          </cell>
          <cell r="I537">
            <v>73</v>
          </cell>
          <cell r="J537">
            <v>71</v>
          </cell>
          <cell r="K537">
            <v>70</v>
          </cell>
          <cell r="L537">
            <v>70</v>
          </cell>
          <cell r="M537">
            <v>68</v>
          </cell>
        </row>
        <row r="538">
          <cell r="A538" t="str">
            <v>DQ4301A1</v>
          </cell>
          <cell r="B538">
            <v>10</v>
          </cell>
          <cell r="C538">
            <v>70.665</v>
          </cell>
          <cell r="D538">
            <v>0</v>
          </cell>
          <cell r="E538">
            <v>70.665</v>
          </cell>
          <cell r="F538" t="str">
            <v>调货</v>
          </cell>
          <cell r="G538" t="str">
            <v>斯帕克0.8L</v>
          </cell>
          <cell r="H538">
            <v>85</v>
          </cell>
          <cell r="I538">
            <v>83</v>
          </cell>
          <cell r="J538">
            <v>82</v>
          </cell>
          <cell r="K538">
            <v>80</v>
          </cell>
          <cell r="L538">
            <v>80</v>
          </cell>
          <cell r="M538">
            <v>78</v>
          </cell>
        </row>
        <row r="539">
          <cell r="A539" t="str">
            <v>DQ6401</v>
          </cell>
          <cell r="B539">
            <v>10</v>
          </cell>
          <cell r="C539">
            <v>83.433</v>
          </cell>
          <cell r="D539">
            <v>0</v>
          </cell>
          <cell r="E539">
            <v>83.433</v>
          </cell>
          <cell r="F539" t="str">
            <v>调货</v>
          </cell>
          <cell r="G539" t="str">
            <v>雷诺（三孔）</v>
          </cell>
          <cell r="H539">
            <v>100</v>
          </cell>
          <cell r="I539">
            <v>98</v>
          </cell>
          <cell r="J539">
            <v>96</v>
          </cell>
          <cell r="K539">
            <v>95</v>
          </cell>
          <cell r="L539">
            <v>94</v>
          </cell>
          <cell r="M539">
            <v>92</v>
          </cell>
        </row>
        <row r="540">
          <cell r="A540" t="str">
            <v>DQ9103K1</v>
          </cell>
          <cell r="B540">
            <v>10</v>
          </cell>
          <cell r="C540">
            <v>52.899</v>
          </cell>
          <cell r="D540">
            <v>0</v>
          </cell>
          <cell r="E540">
            <v>52.899</v>
          </cell>
          <cell r="F540" t="str">
            <v>调货</v>
          </cell>
          <cell r="G540" t="str">
            <v>大众福克斯</v>
          </cell>
          <cell r="H540">
            <v>63</v>
          </cell>
          <cell r="I540">
            <v>62</v>
          </cell>
          <cell r="J540">
            <v>61</v>
          </cell>
          <cell r="K540">
            <v>60</v>
          </cell>
          <cell r="L540">
            <v>60</v>
          </cell>
          <cell r="M540">
            <v>59</v>
          </cell>
        </row>
        <row r="541">
          <cell r="A541" t="str">
            <v>DQ9088A1</v>
          </cell>
          <cell r="B541">
            <v>10</v>
          </cell>
          <cell r="C541">
            <v>38.347785</v>
          </cell>
          <cell r="D541">
            <v>0</v>
          </cell>
          <cell r="E541">
            <v>38.347785</v>
          </cell>
          <cell r="F541" t="str">
            <v>调货</v>
          </cell>
          <cell r="G541" t="str">
            <v>雷诺二针</v>
          </cell>
          <cell r="H541">
            <v>46</v>
          </cell>
          <cell r="I541">
            <v>45</v>
          </cell>
          <cell r="J541">
            <v>45</v>
          </cell>
          <cell r="K541">
            <v>44</v>
          </cell>
          <cell r="L541">
            <v>43</v>
          </cell>
          <cell r="M541">
            <v>43</v>
          </cell>
        </row>
        <row r="542">
          <cell r="A542" t="str">
            <v>DQ9209A2</v>
          </cell>
          <cell r="B542">
            <v>9</v>
          </cell>
          <cell r="C542">
            <v>23.15888685</v>
          </cell>
          <cell r="D542">
            <v>0</v>
          </cell>
          <cell r="E542">
            <v>23.15888685</v>
          </cell>
          <cell r="F542" t="str">
            <v>自制</v>
          </cell>
          <cell r="G542" t="str">
            <v>哈飞民意6370/6391/M100</v>
          </cell>
          <cell r="H542">
            <v>32</v>
          </cell>
          <cell r="I542">
            <v>31</v>
          </cell>
          <cell r="J542">
            <v>29</v>
          </cell>
          <cell r="K542">
            <v>28</v>
          </cell>
          <cell r="L542">
            <v>27</v>
          </cell>
          <cell r="M542">
            <v>26</v>
          </cell>
        </row>
        <row r="543">
          <cell r="A543" t="str">
            <v>DQ4608A1</v>
          </cell>
          <cell r="B543">
            <v>8</v>
          </cell>
          <cell r="C543">
            <v>106.7</v>
          </cell>
          <cell r="D543">
            <v>0</v>
          </cell>
          <cell r="E543">
            <v>106.7</v>
          </cell>
          <cell r="F543" t="str">
            <v>调货</v>
          </cell>
          <cell r="G543" t="str">
            <v>圣达菲2.7L</v>
          </cell>
          <cell r="H543">
            <v>127</v>
          </cell>
          <cell r="I543">
            <v>125</v>
          </cell>
          <cell r="J543">
            <v>123</v>
          </cell>
          <cell r="K543">
            <v>121</v>
          </cell>
          <cell r="L543">
            <v>120</v>
          </cell>
          <cell r="M543">
            <v>118</v>
          </cell>
        </row>
        <row r="544">
          <cell r="A544" t="str">
            <v>DQ9025A2</v>
          </cell>
          <cell r="B544">
            <v>8</v>
          </cell>
          <cell r="C544">
            <v>34.1019040934836</v>
          </cell>
          <cell r="D544">
            <v>1.80149967715027</v>
          </cell>
          <cell r="E544">
            <v>32.3004044163333</v>
          </cell>
          <cell r="F544" t="str">
            <v>自制</v>
          </cell>
          <cell r="G544" t="str">
            <v>奔驰AMG Coupe</v>
          </cell>
          <cell r="H544">
            <v>47</v>
          </cell>
          <cell r="I544">
            <v>45</v>
          </cell>
          <cell r="J544">
            <v>43</v>
          </cell>
          <cell r="K544">
            <v>41</v>
          </cell>
          <cell r="L544">
            <v>40</v>
          </cell>
          <cell r="M544">
            <v>38</v>
          </cell>
        </row>
        <row r="545">
          <cell r="A545" t="str">
            <v>DQ9001B1</v>
          </cell>
          <cell r="B545">
            <v>8</v>
          </cell>
          <cell r="C545">
            <v>23.019799275</v>
          </cell>
          <cell r="D545">
            <v>0</v>
          </cell>
          <cell r="E545">
            <v>23.019799275</v>
          </cell>
          <cell r="F545" t="str">
            <v>自制</v>
          </cell>
          <cell r="G545" t="str">
            <v>拉达格兰塔</v>
          </cell>
          <cell r="H545">
            <v>32</v>
          </cell>
          <cell r="I545">
            <v>30</v>
          </cell>
          <cell r="J545">
            <v>29</v>
          </cell>
          <cell r="K545">
            <v>28</v>
          </cell>
          <cell r="L545">
            <v>27</v>
          </cell>
          <cell r="M545">
            <v>26</v>
          </cell>
        </row>
        <row r="546">
          <cell r="A546" t="str">
            <v>DQ9086A1</v>
          </cell>
          <cell r="B546">
            <v>8</v>
          </cell>
          <cell r="C546">
            <v>35.197785</v>
          </cell>
          <cell r="D546">
            <v>0</v>
          </cell>
          <cell r="E546">
            <v>35.197785</v>
          </cell>
          <cell r="F546" t="str">
            <v>调货</v>
          </cell>
          <cell r="G546" t="str">
            <v>金杯 蒂阿兹</v>
          </cell>
          <cell r="H546">
            <v>42</v>
          </cell>
          <cell r="I546">
            <v>42</v>
          </cell>
          <cell r="J546">
            <v>41</v>
          </cell>
          <cell r="K546">
            <v>40</v>
          </cell>
          <cell r="L546">
            <v>40</v>
          </cell>
          <cell r="M546">
            <v>39</v>
          </cell>
        </row>
        <row r="547">
          <cell r="A547" t="str">
            <v>DQ126</v>
          </cell>
          <cell r="B547">
            <v>7</v>
          </cell>
          <cell r="C547">
            <v>23.5966995</v>
          </cell>
          <cell r="D547">
            <v>0</v>
          </cell>
          <cell r="E547">
            <v>23.5966995</v>
          </cell>
          <cell r="F547" t="str">
            <v>自制</v>
          </cell>
          <cell r="G547" t="str">
            <v>北京切诺基</v>
          </cell>
          <cell r="H547">
            <v>32</v>
          </cell>
          <cell r="I547">
            <v>31</v>
          </cell>
          <cell r="J547">
            <v>30</v>
          </cell>
          <cell r="K547">
            <v>29</v>
          </cell>
          <cell r="L547">
            <v>28</v>
          </cell>
          <cell r="M547">
            <v>26</v>
          </cell>
        </row>
        <row r="548">
          <cell r="A548" t="str">
            <v>DQ9402B1</v>
          </cell>
          <cell r="B548">
            <v>7</v>
          </cell>
          <cell r="C548">
            <v>136.5525</v>
          </cell>
          <cell r="D548">
            <v>0</v>
          </cell>
          <cell r="E548">
            <v>136.5525</v>
          </cell>
          <cell r="F548" t="str">
            <v>调货</v>
          </cell>
          <cell r="G548" t="str">
            <v>标致</v>
          </cell>
          <cell r="H548">
            <v>163</v>
          </cell>
          <cell r="I548">
            <v>160</v>
          </cell>
          <cell r="J548">
            <v>158</v>
          </cell>
          <cell r="K548">
            <v>155</v>
          </cell>
          <cell r="L548">
            <v>153</v>
          </cell>
          <cell r="M548">
            <v>151</v>
          </cell>
        </row>
        <row r="549">
          <cell r="A549" t="str">
            <v>DQ9033B1</v>
          </cell>
          <cell r="B549">
            <v>6</v>
          </cell>
          <cell r="C549">
            <v>29.7198519041667</v>
          </cell>
          <cell r="D549">
            <v>0</v>
          </cell>
          <cell r="E549">
            <v>29.7198519041667</v>
          </cell>
          <cell r="F549" t="str">
            <v>自制</v>
          </cell>
          <cell r="G549" t="str">
            <v>宝腾 艾索拉</v>
          </cell>
          <cell r="H549">
            <v>41</v>
          </cell>
          <cell r="I549">
            <v>39</v>
          </cell>
          <cell r="J549">
            <v>38</v>
          </cell>
          <cell r="K549">
            <v>36</v>
          </cell>
          <cell r="L549">
            <v>35</v>
          </cell>
          <cell r="M549">
            <v>33</v>
          </cell>
        </row>
        <row r="550">
          <cell r="A550" t="str">
            <v>DQ4402A1</v>
          </cell>
          <cell r="B550">
            <v>6</v>
          </cell>
          <cell r="C550">
            <v>65.94</v>
          </cell>
          <cell r="D550">
            <v>0</v>
          </cell>
          <cell r="E550">
            <v>65.94</v>
          </cell>
          <cell r="F550" t="str">
            <v>调货</v>
          </cell>
          <cell r="G550" t="str">
            <v>起亚EIO L4</v>
          </cell>
          <cell r="H550">
            <v>79</v>
          </cell>
          <cell r="I550">
            <v>78</v>
          </cell>
          <cell r="J550">
            <v>76</v>
          </cell>
          <cell r="K550">
            <v>75</v>
          </cell>
          <cell r="L550">
            <v>74</v>
          </cell>
          <cell r="M550">
            <v>73</v>
          </cell>
        </row>
        <row r="551">
          <cell r="A551" t="str">
            <v>DQ9104</v>
          </cell>
          <cell r="B551">
            <v>5</v>
          </cell>
          <cell r="C551">
            <v>22.6840383333333</v>
          </cell>
          <cell r="D551">
            <v>0</v>
          </cell>
          <cell r="E551">
            <v>22.6840383333333</v>
          </cell>
          <cell r="F551" t="str">
            <v>自制</v>
          </cell>
          <cell r="G551" t="str">
            <v>日系雷诺</v>
          </cell>
          <cell r="H551">
            <v>31</v>
          </cell>
          <cell r="I551">
            <v>30</v>
          </cell>
          <cell r="J551">
            <v>29</v>
          </cell>
          <cell r="K551">
            <v>28</v>
          </cell>
          <cell r="L551">
            <v>27</v>
          </cell>
          <cell r="M551">
            <v>25</v>
          </cell>
        </row>
        <row r="552">
          <cell r="A552" t="str">
            <v>DQ9003H4</v>
          </cell>
          <cell r="B552">
            <v>4</v>
          </cell>
          <cell r="C552">
            <v>27.06215644</v>
          </cell>
          <cell r="D552">
            <v>0</v>
          </cell>
          <cell r="E552">
            <v>27.06215644</v>
          </cell>
          <cell r="F552" t="str">
            <v>自制</v>
          </cell>
          <cell r="G552" t="str">
            <v>尼桑GTR3.8 V6</v>
          </cell>
          <cell r="H552">
            <v>37</v>
          </cell>
          <cell r="I552">
            <v>36</v>
          </cell>
          <cell r="J552">
            <v>34</v>
          </cell>
          <cell r="K552">
            <v>33</v>
          </cell>
          <cell r="L552">
            <v>32</v>
          </cell>
          <cell r="M552">
            <v>30</v>
          </cell>
        </row>
        <row r="553">
          <cell r="A553" t="str">
            <v>DQ9030B1</v>
          </cell>
          <cell r="B553">
            <v>4</v>
          </cell>
          <cell r="C553">
            <v>50.2359</v>
          </cell>
          <cell r="D553">
            <v>0</v>
          </cell>
          <cell r="E553">
            <v>51.997785</v>
          </cell>
          <cell r="F553" t="str">
            <v>调货</v>
          </cell>
          <cell r="G553" t="str">
            <v>福特蒙迪欧致胜2.0T</v>
          </cell>
          <cell r="H553">
            <v>60</v>
          </cell>
          <cell r="I553">
            <v>59</v>
          </cell>
          <cell r="J553">
            <v>58</v>
          </cell>
          <cell r="K553">
            <v>57</v>
          </cell>
          <cell r="L553">
            <v>57</v>
          </cell>
          <cell r="M553">
            <v>56</v>
          </cell>
        </row>
        <row r="554">
          <cell r="A554" t="str">
            <v>DQ9204B</v>
          </cell>
          <cell r="B554">
            <v>2</v>
          </cell>
          <cell r="C554">
            <v>43.785</v>
          </cell>
          <cell r="D554">
            <v>0</v>
          </cell>
          <cell r="E554">
            <v>43.785</v>
          </cell>
          <cell r="F554" t="str">
            <v>调货</v>
          </cell>
          <cell r="G554" t="str">
            <v>起亚欧菲莱斯3.5</v>
          </cell>
          <cell r="H554">
            <v>53</v>
          </cell>
          <cell r="I554">
            <v>52</v>
          </cell>
          <cell r="J554">
            <v>51</v>
          </cell>
          <cell r="K554">
            <v>50</v>
          </cell>
          <cell r="L554">
            <v>50</v>
          </cell>
          <cell r="M554">
            <v>49</v>
          </cell>
        </row>
        <row r="555">
          <cell r="A555" t="str">
            <v>DQ4201B1</v>
          </cell>
          <cell r="B555">
            <v>1</v>
          </cell>
          <cell r="C555">
            <v>57.93</v>
          </cell>
          <cell r="D555">
            <v>0</v>
          </cell>
          <cell r="E555">
            <v>57.93</v>
          </cell>
          <cell r="F555" t="str">
            <v>调货</v>
          </cell>
          <cell r="G555" t="str">
            <v>奔驰S320</v>
          </cell>
          <cell r="H555">
            <v>69</v>
          </cell>
          <cell r="I555">
            <v>68</v>
          </cell>
          <cell r="J555">
            <v>67</v>
          </cell>
          <cell r="K555">
            <v>66</v>
          </cell>
          <cell r="L555">
            <v>65</v>
          </cell>
          <cell r="M555">
            <v>64</v>
          </cell>
        </row>
        <row r="556">
          <cell r="A556" t="str">
            <v>DQ9005Q</v>
          </cell>
          <cell r="B556">
            <v>0</v>
          </cell>
          <cell r="C556">
            <v>16.34888002</v>
          </cell>
          <cell r="D556">
            <v>0</v>
          </cell>
          <cell r="E556">
            <v>16.34888002</v>
          </cell>
          <cell r="F556" t="str">
            <v>自制</v>
          </cell>
          <cell r="G556" t="str">
            <v>福特神探</v>
          </cell>
          <cell r="H556">
            <v>23</v>
          </cell>
          <cell r="I556">
            <v>22</v>
          </cell>
          <cell r="J556">
            <v>21</v>
          </cell>
          <cell r="K556">
            <v>20</v>
          </cell>
          <cell r="L556">
            <v>19</v>
          </cell>
          <cell r="M556">
            <v>18</v>
          </cell>
        </row>
        <row r="557">
          <cell r="A557" t="str">
            <v>DQ9132A1</v>
          </cell>
          <cell r="B557">
            <v>0</v>
          </cell>
          <cell r="C557">
            <v>30.9120346</v>
          </cell>
          <cell r="D557">
            <v>0</v>
          </cell>
          <cell r="E557">
            <v>30.9120346</v>
          </cell>
          <cell r="F557" t="str">
            <v>自制</v>
          </cell>
          <cell r="G557" t="str">
            <v>进口森雅</v>
          </cell>
          <cell r="H557">
            <v>42</v>
          </cell>
          <cell r="I557">
            <v>41</v>
          </cell>
          <cell r="J557">
            <v>39</v>
          </cell>
          <cell r="K557">
            <v>38</v>
          </cell>
          <cell r="L557">
            <v>36</v>
          </cell>
          <cell r="M557">
            <v>35</v>
          </cell>
        </row>
        <row r="558">
          <cell r="A558" t="str">
            <v>DQ9217C</v>
          </cell>
          <cell r="B558">
            <v>0</v>
          </cell>
          <cell r="C558">
            <v>52.185</v>
          </cell>
          <cell r="D558">
            <v>0</v>
          </cell>
          <cell r="E558">
            <v>52.185</v>
          </cell>
          <cell r="F558" t="str">
            <v>调货</v>
          </cell>
          <cell r="G558" t="str">
            <v>马自达Protege 1.6L</v>
          </cell>
          <cell r="H558">
            <v>63</v>
          </cell>
          <cell r="I558">
            <v>62</v>
          </cell>
          <cell r="J558">
            <v>61</v>
          </cell>
          <cell r="K558">
            <v>59</v>
          </cell>
          <cell r="L558">
            <v>59</v>
          </cell>
          <cell r="M558">
            <v>58</v>
          </cell>
        </row>
        <row r="559">
          <cell r="A559" t="str">
            <v>DQ4102A1</v>
          </cell>
          <cell r="B559">
            <v>0</v>
          </cell>
          <cell r="C559">
            <v>31.101</v>
          </cell>
          <cell r="D559">
            <v>0</v>
          </cell>
          <cell r="E559">
            <v>31.101</v>
          </cell>
          <cell r="F559" t="str">
            <v>调货</v>
          </cell>
          <cell r="G559" t="str">
            <v>本田思域</v>
          </cell>
          <cell r="H559">
            <v>38</v>
          </cell>
          <cell r="I559">
            <v>37</v>
          </cell>
          <cell r="J559">
            <v>36</v>
          </cell>
          <cell r="K559">
            <v>36</v>
          </cell>
          <cell r="L559">
            <v>35</v>
          </cell>
          <cell r="M559">
            <v>35</v>
          </cell>
        </row>
        <row r="560">
          <cell r="A560" t="str">
            <v>DQ6108C</v>
          </cell>
          <cell r="B560">
            <v>0</v>
          </cell>
          <cell r="C560">
            <v>38.87</v>
          </cell>
          <cell r="D560">
            <v>0</v>
          </cell>
          <cell r="E560">
            <v>38.87</v>
          </cell>
          <cell r="F560" t="str">
            <v>调货</v>
          </cell>
          <cell r="G560" t="str">
            <v>丰田</v>
          </cell>
          <cell r="H560">
            <v>47</v>
          </cell>
          <cell r="I560">
            <v>46</v>
          </cell>
          <cell r="J560">
            <v>45</v>
          </cell>
          <cell r="K560">
            <v>44</v>
          </cell>
          <cell r="L560">
            <v>44</v>
          </cell>
          <cell r="M560">
            <v>43</v>
          </cell>
        </row>
        <row r="561">
          <cell r="A561" t="str">
            <v>DQ9005M1</v>
          </cell>
          <cell r="B561">
            <v>0</v>
          </cell>
          <cell r="C561">
            <v>23.726</v>
          </cell>
          <cell r="D561">
            <v>0</v>
          </cell>
          <cell r="E561">
            <v>23.726</v>
          </cell>
          <cell r="F561" t="str">
            <v>调货</v>
          </cell>
          <cell r="G561" t="str">
            <v>福特96-99</v>
          </cell>
          <cell r="H561">
            <v>29</v>
          </cell>
          <cell r="I561">
            <v>28</v>
          </cell>
          <cell r="J561">
            <v>28</v>
          </cell>
          <cell r="K561">
            <v>27</v>
          </cell>
          <cell r="L561">
            <v>27</v>
          </cell>
          <cell r="M561">
            <v>27</v>
          </cell>
        </row>
        <row r="562">
          <cell r="A562" t="str">
            <v>DQ9007J1</v>
          </cell>
          <cell r="B562">
            <v>0</v>
          </cell>
          <cell r="C562">
            <v>32.14193147</v>
          </cell>
          <cell r="D562">
            <v>0</v>
          </cell>
          <cell r="E562">
            <v>32.14193147</v>
          </cell>
          <cell r="F562" t="str">
            <v>自制</v>
          </cell>
          <cell r="G562" t="str">
            <v>现代3L030</v>
          </cell>
          <cell r="H562">
            <v>44</v>
          </cell>
          <cell r="I562">
            <v>42</v>
          </cell>
          <cell r="J562">
            <v>41</v>
          </cell>
          <cell r="K562">
            <v>39</v>
          </cell>
          <cell r="L562">
            <v>37</v>
          </cell>
          <cell r="M562">
            <v>36</v>
          </cell>
        </row>
        <row r="563">
          <cell r="A563" t="str">
            <v>DQ9034A3</v>
          </cell>
          <cell r="B563">
            <v>0</v>
          </cell>
          <cell r="C563">
            <v>25.3256081</v>
          </cell>
          <cell r="D563">
            <v>0</v>
          </cell>
          <cell r="E563">
            <v>25.3256081</v>
          </cell>
          <cell r="F563" t="str">
            <v>自制</v>
          </cell>
          <cell r="G563" t="str">
            <v>纳智捷TT26S</v>
          </cell>
          <cell r="H563">
            <v>35</v>
          </cell>
          <cell r="I563">
            <v>33</v>
          </cell>
          <cell r="J563">
            <v>32</v>
          </cell>
          <cell r="K563">
            <v>31</v>
          </cell>
          <cell r="L563">
            <v>30</v>
          </cell>
          <cell r="M563">
            <v>28</v>
          </cell>
        </row>
        <row r="564">
          <cell r="A564" t="str">
            <v>DQ9062A4</v>
          </cell>
          <cell r="B564">
            <v>0</v>
          </cell>
          <cell r="C564">
            <v>41.58</v>
          </cell>
          <cell r="D564">
            <v>0</v>
          </cell>
          <cell r="E564">
            <v>41.58</v>
          </cell>
          <cell r="F564" t="str">
            <v>调货</v>
          </cell>
          <cell r="G564" t="str">
            <v>瑞迈2.0T</v>
          </cell>
          <cell r="H564">
            <v>50</v>
          </cell>
          <cell r="I564">
            <v>49</v>
          </cell>
          <cell r="J564">
            <v>48</v>
          </cell>
          <cell r="K564">
            <v>47</v>
          </cell>
          <cell r="L564">
            <v>47</v>
          </cell>
          <cell r="M564">
            <v>46</v>
          </cell>
        </row>
        <row r="565">
          <cell r="A565" t="str">
            <v>DQ9111</v>
          </cell>
          <cell r="B565">
            <v>0</v>
          </cell>
          <cell r="C565">
            <v>30.03</v>
          </cell>
          <cell r="D565">
            <v>0</v>
          </cell>
          <cell r="E565">
            <v>30.03</v>
          </cell>
          <cell r="F565" t="str">
            <v>调货</v>
          </cell>
          <cell r="G565" t="str">
            <v>拉达笔式</v>
          </cell>
          <cell r="H565">
            <v>36</v>
          </cell>
          <cell r="I565">
            <v>36</v>
          </cell>
          <cell r="J565">
            <v>35</v>
          </cell>
          <cell r="K565">
            <v>34</v>
          </cell>
          <cell r="L565">
            <v>34</v>
          </cell>
          <cell r="M565">
            <v>34</v>
          </cell>
        </row>
        <row r="566">
          <cell r="A566" t="str">
            <v>DQ9128B1</v>
          </cell>
          <cell r="B566">
            <v>0</v>
          </cell>
          <cell r="C566">
            <v>54.6</v>
          </cell>
          <cell r="D566">
            <v>0</v>
          </cell>
          <cell r="E566">
            <v>54.6</v>
          </cell>
          <cell r="F566" t="str">
            <v>调货</v>
          </cell>
          <cell r="G566" t="str">
            <v>别克卢赛恩</v>
          </cell>
          <cell r="H566">
            <v>65</v>
          </cell>
          <cell r="I566">
            <v>64</v>
          </cell>
          <cell r="J566">
            <v>63</v>
          </cell>
          <cell r="K566">
            <v>62</v>
          </cell>
          <cell r="L566">
            <v>62</v>
          </cell>
          <cell r="M566">
            <v>61</v>
          </cell>
        </row>
        <row r="567">
          <cell r="A567" t="str">
            <v>DQ9201D</v>
          </cell>
          <cell r="B567">
            <v>0</v>
          </cell>
          <cell r="C567">
            <v>30.7</v>
          </cell>
          <cell r="D567">
            <v>0</v>
          </cell>
          <cell r="E567">
            <v>30.7</v>
          </cell>
          <cell r="F567" t="str">
            <v>调货</v>
          </cell>
          <cell r="G567" t="str">
            <v>长安奔奔</v>
          </cell>
          <cell r="H567">
            <v>37</v>
          </cell>
          <cell r="I567">
            <v>36</v>
          </cell>
          <cell r="J567">
            <v>36</v>
          </cell>
          <cell r="K567">
            <v>35</v>
          </cell>
          <cell r="L567">
            <v>35</v>
          </cell>
          <cell r="M567">
            <v>34</v>
          </cell>
        </row>
        <row r="568">
          <cell r="A568" t="str">
            <v>DQ9109J1</v>
          </cell>
          <cell r="B568">
            <v>0</v>
          </cell>
          <cell r="C568">
            <v>43.68</v>
          </cell>
          <cell r="D568">
            <v>0</v>
          </cell>
          <cell r="E568">
            <v>43.68</v>
          </cell>
          <cell r="F568" t="str">
            <v>调货</v>
          </cell>
          <cell r="G568" t="str">
            <v>本田 LIFE 2009</v>
          </cell>
          <cell r="H568">
            <v>52</v>
          </cell>
          <cell r="I568">
            <v>52</v>
          </cell>
          <cell r="J568">
            <v>51</v>
          </cell>
          <cell r="K568">
            <v>50</v>
          </cell>
          <cell r="L568">
            <v>49</v>
          </cell>
          <cell r="M568">
            <v>49</v>
          </cell>
        </row>
        <row r="569">
          <cell r="A569" t="str">
            <v>DQ9005S1</v>
          </cell>
          <cell r="B569">
            <v>0</v>
          </cell>
          <cell r="C569">
            <v>24.59080294</v>
          </cell>
          <cell r="D569">
            <v>0</v>
          </cell>
          <cell r="E569">
            <v>24.59080294</v>
          </cell>
          <cell r="F569" t="str">
            <v>自制</v>
          </cell>
          <cell r="G569" t="str">
            <v>福特嘉年华</v>
          </cell>
          <cell r="H569">
            <v>34</v>
          </cell>
          <cell r="I569">
            <v>32</v>
          </cell>
          <cell r="J569">
            <v>31</v>
          </cell>
          <cell r="K569">
            <v>30</v>
          </cell>
          <cell r="L569">
            <v>29</v>
          </cell>
          <cell r="M569">
            <v>28</v>
          </cell>
        </row>
        <row r="570">
          <cell r="A570" t="str">
            <v>DQ4103A1</v>
          </cell>
          <cell r="B570">
            <v>0</v>
          </cell>
          <cell r="C570">
            <v>49.245</v>
          </cell>
          <cell r="D570">
            <v>0</v>
          </cell>
          <cell r="E570">
            <v>49.245</v>
          </cell>
          <cell r="F570" t="str">
            <v>调货</v>
          </cell>
          <cell r="G570" t="str">
            <v>三菱96-03</v>
          </cell>
          <cell r="H570">
            <v>59</v>
          </cell>
          <cell r="I570">
            <v>58</v>
          </cell>
          <cell r="J570">
            <v>57</v>
          </cell>
          <cell r="K570">
            <v>56</v>
          </cell>
          <cell r="L570">
            <v>56</v>
          </cell>
          <cell r="M570">
            <v>55</v>
          </cell>
        </row>
        <row r="571">
          <cell r="A571" t="str">
            <v>DQ6601A1</v>
          </cell>
          <cell r="B571">
            <v>0</v>
          </cell>
          <cell r="C571">
            <v>165.165</v>
          </cell>
          <cell r="D571">
            <v>0</v>
          </cell>
          <cell r="E571">
            <v>165.165</v>
          </cell>
          <cell r="F571" t="str">
            <v>调货</v>
          </cell>
          <cell r="G571" t="str">
            <v>大切诺基4.0L</v>
          </cell>
          <cell r="H571">
            <v>197</v>
          </cell>
          <cell r="I571">
            <v>194</v>
          </cell>
          <cell r="J571">
            <v>190</v>
          </cell>
          <cell r="K571">
            <v>187</v>
          </cell>
          <cell r="L571">
            <v>185</v>
          </cell>
          <cell r="M571">
            <v>182</v>
          </cell>
        </row>
        <row r="572">
          <cell r="A572" t="str">
            <v>DQ9117E1</v>
          </cell>
          <cell r="B572">
            <v>0</v>
          </cell>
          <cell r="C572">
            <v>39.291</v>
          </cell>
          <cell r="D572">
            <v>0</v>
          </cell>
          <cell r="E572">
            <v>39.291</v>
          </cell>
          <cell r="F572" t="str">
            <v>调货</v>
          </cell>
          <cell r="G572" t="str">
            <v>铃木</v>
          </cell>
          <cell r="H572">
            <v>47</v>
          </cell>
          <cell r="I572">
            <v>46</v>
          </cell>
          <cell r="J572">
            <v>46</v>
          </cell>
          <cell r="K572">
            <v>45</v>
          </cell>
          <cell r="L572">
            <v>45</v>
          </cell>
          <cell r="M572">
            <v>44</v>
          </cell>
        </row>
        <row r="573">
          <cell r="A573" t="str">
            <v>DQ9159A1</v>
          </cell>
          <cell r="B573">
            <v>0</v>
          </cell>
          <cell r="C573">
            <v>38.43</v>
          </cell>
          <cell r="D573">
            <v>0</v>
          </cell>
          <cell r="E573">
            <v>38.43</v>
          </cell>
          <cell r="F573" t="str">
            <v>调货</v>
          </cell>
          <cell r="G573" t="str">
            <v>三星SM5</v>
          </cell>
          <cell r="H573">
            <v>46</v>
          </cell>
          <cell r="I573">
            <v>45</v>
          </cell>
          <cell r="J573">
            <v>45</v>
          </cell>
          <cell r="K573">
            <v>44</v>
          </cell>
          <cell r="L573">
            <v>44</v>
          </cell>
          <cell r="M573">
            <v>43</v>
          </cell>
        </row>
        <row r="574">
          <cell r="A574" t="str">
            <v>DQ4103B1</v>
          </cell>
          <cell r="B574">
            <v>0</v>
          </cell>
          <cell r="C574">
            <v>38.44785</v>
          </cell>
          <cell r="D574">
            <v>0</v>
          </cell>
          <cell r="E574">
            <v>38.44785</v>
          </cell>
          <cell r="F574" t="str">
            <v>调货</v>
          </cell>
          <cell r="G574" t="str">
            <v>尼桑B13</v>
          </cell>
          <cell r="H574">
            <v>46</v>
          </cell>
          <cell r="I574">
            <v>45</v>
          </cell>
          <cell r="J574">
            <v>45</v>
          </cell>
          <cell r="K574">
            <v>44</v>
          </cell>
          <cell r="L574">
            <v>44</v>
          </cell>
          <cell r="M574">
            <v>43</v>
          </cell>
        </row>
        <row r="575">
          <cell r="A575" t="str">
            <v>DQ4104A1</v>
          </cell>
          <cell r="B575">
            <v>0</v>
          </cell>
          <cell r="C575">
            <v>39.49785</v>
          </cell>
          <cell r="D575">
            <v>0</v>
          </cell>
          <cell r="E575">
            <v>39.49785</v>
          </cell>
          <cell r="F575" t="str">
            <v>调货</v>
          </cell>
          <cell r="G575" t="str">
            <v>本田EF2</v>
          </cell>
          <cell r="H575">
            <v>48</v>
          </cell>
          <cell r="I575">
            <v>47</v>
          </cell>
          <cell r="J575">
            <v>46</v>
          </cell>
          <cell r="K575">
            <v>45</v>
          </cell>
          <cell r="L575">
            <v>45</v>
          </cell>
          <cell r="M575">
            <v>44</v>
          </cell>
        </row>
        <row r="576">
          <cell r="A576" t="str">
            <v>DQ4106A1</v>
          </cell>
          <cell r="B576">
            <v>0</v>
          </cell>
          <cell r="C576">
            <v>32.693485275</v>
          </cell>
          <cell r="D576">
            <v>0</v>
          </cell>
          <cell r="E576">
            <v>32.693485275</v>
          </cell>
          <cell r="F576" t="str">
            <v>自制</v>
          </cell>
          <cell r="G576">
            <v>12713668</v>
          </cell>
          <cell r="H576">
            <v>45</v>
          </cell>
          <cell r="I576">
            <v>43</v>
          </cell>
          <cell r="J576">
            <v>41</v>
          </cell>
          <cell r="K576">
            <v>40</v>
          </cell>
          <cell r="L576">
            <v>38</v>
          </cell>
          <cell r="M576">
            <v>36</v>
          </cell>
        </row>
        <row r="577">
          <cell r="A577" t="str">
            <v>DQ9084A1</v>
          </cell>
          <cell r="B577">
            <v>0</v>
          </cell>
          <cell r="C577">
            <v>35.1183302883194</v>
          </cell>
          <cell r="D577">
            <v>1.70623728831943</v>
          </cell>
          <cell r="E577">
            <v>33.412093</v>
          </cell>
          <cell r="F577" t="str">
            <v>自制</v>
          </cell>
          <cell r="G577" t="str">
            <v>比亚迪秦PLUS</v>
          </cell>
          <cell r="H577">
            <v>48</v>
          </cell>
          <cell r="I577">
            <v>46</v>
          </cell>
          <cell r="J577">
            <v>44</v>
          </cell>
          <cell r="K577">
            <v>43</v>
          </cell>
          <cell r="L577">
            <v>41</v>
          </cell>
          <cell r="M577">
            <v>39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7"/>
  <sheetViews>
    <sheetView workbookViewId="0">
      <pane ySplit="1" topLeftCell="A45" activePane="bottomLeft" state="frozen"/>
      <selection/>
      <selection pane="bottomLeft" activeCell="A1" sqref="$A1:$XFD1"/>
    </sheetView>
  </sheetViews>
  <sheetFormatPr defaultColWidth="8.89423076923077" defaultRowHeight="18" customHeight="1"/>
  <cols>
    <col min="1" max="1" width="10.3942307692308" style="1" customWidth="1"/>
    <col min="2" max="2" width="9.14423076923077" style="1" customWidth="1"/>
    <col min="3" max="3" width="9.61538461538461" style="1" customWidth="1"/>
    <col min="4" max="4" width="10.3942307692308" style="1" customWidth="1"/>
    <col min="5" max="5" width="9.38461538461539" style="1" customWidth="1"/>
    <col min="6" max="6" width="8.54807692307692" style="1" customWidth="1"/>
    <col min="7" max="8" width="8.375" style="1" customWidth="1"/>
    <col min="9" max="9" width="47.375" style="18" customWidth="1"/>
  </cols>
  <sheetData>
    <row r="1" ht="3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customHeight="1" spans="1:9">
      <c r="A2" s="4" t="s">
        <v>9</v>
      </c>
      <c r="B2" s="4">
        <f>VLOOKUP($A2,[1]彩含分析60315!$A:$M,8,0)</f>
        <v>37</v>
      </c>
      <c r="C2" s="4">
        <f>VLOOKUP($A2,[1]彩含分析60315!$A:$M,9,0)</f>
        <v>36</v>
      </c>
      <c r="D2" s="4">
        <f>VLOOKUP($A2,[1]彩含分析60315!$A:$M,10,0)</f>
        <v>34</v>
      </c>
      <c r="E2" s="4">
        <f>VLOOKUP($A2,[1]彩含分析60315!$A:$M,11,0)</f>
        <v>33</v>
      </c>
      <c r="F2" s="4">
        <f>VLOOKUP($A2,[1]彩含分析60315!$A:$M,12,0)</f>
        <v>32</v>
      </c>
      <c r="G2" s="4">
        <f>VLOOKUP($A2,[1]彩含分析60315!$A:$M,13,0)</f>
        <v>30</v>
      </c>
      <c r="H2" s="4" t="s">
        <v>10</v>
      </c>
      <c r="I2" s="3" t="s">
        <v>11</v>
      </c>
    </row>
    <row r="3" customHeight="1" spans="1:9">
      <c r="A3" s="4" t="s">
        <v>12</v>
      </c>
      <c r="B3" s="4">
        <f>VLOOKUP($A3,[1]彩含分析60315!$A:$M,8,0)</f>
        <v>23</v>
      </c>
      <c r="C3" s="4">
        <f>VLOOKUP($A3,[1]彩含分析60315!$A:$M,9,0)</f>
        <v>23</v>
      </c>
      <c r="D3" s="4">
        <f>VLOOKUP($A3,[1]彩含分析60315!$A:$M,10,0)</f>
        <v>22</v>
      </c>
      <c r="E3" s="4">
        <f>VLOOKUP($A3,[1]彩含分析60315!$A:$M,11,0)</f>
        <v>21</v>
      </c>
      <c r="F3" s="4">
        <f>VLOOKUP($A3,[1]彩含分析60315!$A:$M,12,0)</f>
        <v>20</v>
      </c>
      <c r="G3" s="4">
        <f>VLOOKUP($A3,[1]彩含分析60315!$A:$M,13,0)</f>
        <v>19</v>
      </c>
      <c r="H3" s="4" t="s">
        <v>10</v>
      </c>
      <c r="I3" s="3" t="s">
        <v>13</v>
      </c>
    </row>
    <row r="4" customHeight="1" spans="1:9">
      <c r="A4" s="4" t="s">
        <v>14</v>
      </c>
      <c r="B4" s="4">
        <f>VLOOKUP($A4,[1]彩含分析60315!$A:$M,8,0)</f>
        <v>40</v>
      </c>
      <c r="C4" s="4">
        <f>VLOOKUP($A4,[1]彩含分析60315!$A:$M,9,0)</f>
        <v>38</v>
      </c>
      <c r="D4" s="4">
        <f>VLOOKUP($A4,[1]彩含分析60315!$A:$M,10,0)</f>
        <v>37</v>
      </c>
      <c r="E4" s="4">
        <f>VLOOKUP($A4,[1]彩含分析60315!$A:$M,11,0)</f>
        <v>36</v>
      </c>
      <c r="F4" s="4">
        <f>VLOOKUP($A4,[1]彩含分析60315!$A:$M,12,0)</f>
        <v>34</v>
      </c>
      <c r="G4" s="4">
        <f>VLOOKUP($A4,[1]彩含分析60315!$A:$M,13,0)</f>
        <v>33</v>
      </c>
      <c r="H4" s="4" t="s">
        <v>10</v>
      </c>
      <c r="I4" s="3" t="s">
        <v>15</v>
      </c>
    </row>
    <row r="5" customHeight="1" spans="1:9">
      <c r="A5" s="4" t="s">
        <v>16</v>
      </c>
      <c r="B5" s="4">
        <f>VLOOKUP($A5,[1]彩含分析60315!$A:$M,8,0)</f>
        <v>43</v>
      </c>
      <c r="C5" s="4">
        <f>VLOOKUP($A5,[1]彩含分析60315!$A:$M,9,0)</f>
        <v>41</v>
      </c>
      <c r="D5" s="4">
        <f>VLOOKUP($A5,[1]彩含分析60315!$A:$M,10,0)</f>
        <v>39</v>
      </c>
      <c r="E5" s="4">
        <f>VLOOKUP($A5,[1]彩含分析60315!$A:$M,11,0)</f>
        <v>38</v>
      </c>
      <c r="F5" s="4">
        <f>VLOOKUP($A5,[1]彩含分析60315!$A:$M,12,0)</f>
        <v>36</v>
      </c>
      <c r="G5" s="4">
        <f>VLOOKUP($A5,[1]彩含分析60315!$A:$M,13,0)</f>
        <v>35</v>
      </c>
      <c r="H5" s="4" t="s">
        <v>10</v>
      </c>
      <c r="I5" s="3" t="s">
        <v>17</v>
      </c>
    </row>
    <row r="6" customHeight="1" spans="1:9">
      <c r="A6" s="4" t="s">
        <v>18</v>
      </c>
      <c r="B6" s="4">
        <f>VLOOKUP($A6,[1]彩含分析60315!$A:$M,8,0)</f>
        <v>23</v>
      </c>
      <c r="C6" s="4">
        <f>VLOOKUP($A6,[1]彩含分析60315!$A:$M,9,0)</f>
        <v>23</v>
      </c>
      <c r="D6" s="4">
        <f>VLOOKUP($A6,[1]彩含分析60315!$A:$M,10,0)</f>
        <v>22</v>
      </c>
      <c r="E6" s="4">
        <f>VLOOKUP($A6,[1]彩含分析60315!$A:$M,11,0)</f>
        <v>21</v>
      </c>
      <c r="F6" s="4">
        <f>VLOOKUP($A6,[1]彩含分析60315!$A:$M,12,0)</f>
        <v>20</v>
      </c>
      <c r="G6" s="4">
        <f>VLOOKUP($A6,[1]彩含分析60315!$A:$M,13,0)</f>
        <v>19</v>
      </c>
      <c r="H6" s="4" t="s">
        <v>10</v>
      </c>
      <c r="I6" s="3" t="s">
        <v>19</v>
      </c>
    </row>
    <row r="7" customHeight="1" spans="1:9">
      <c r="A7" s="4" t="s">
        <v>20</v>
      </c>
      <c r="B7" s="4">
        <f>VLOOKUP($A7,[1]彩含分析60315!$A:$M,8,0)</f>
        <v>25</v>
      </c>
      <c r="C7" s="4">
        <f>VLOOKUP($A7,[1]彩含分析60315!$A:$M,9,0)</f>
        <v>24</v>
      </c>
      <c r="D7" s="4">
        <f>VLOOKUP($A7,[1]彩含分析60315!$A:$M,10,0)</f>
        <v>23</v>
      </c>
      <c r="E7" s="4">
        <f>VLOOKUP($A7,[1]彩含分析60315!$A:$M,11,0)</f>
        <v>22</v>
      </c>
      <c r="F7" s="4">
        <f>VLOOKUP($A7,[1]彩含分析60315!$A:$M,12,0)</f>
        <v>21</v>
      </c>
      <c r="G7" s="4">
        <f>VLOOKUP($A7,[1]彩含分析60315!$A:$M,13,0)</f>
        <v>20</v>
      </c>
      <c r="H7" s="4" t="s">
        <v>10</v>
      </c>
      <c r="I7" s="3" t="s">
        <v>21</v>
      </c>
    </row>
    <row r="8" customHeight="1" spans="1:9">
      <c r="A8" s="4" t="s">
        <v>22</v>
      </c>
      <c r="B8" s="4">
        <f>VLOOKUP($A8,[1]彩含分析60315!$A:$M,8,0)</f>
        <v>43</v>
      </c>
      <c r="C8" s="4">
        <f>VLOOKUP($A8,[1]彩含分析60315!$A:$M,9,0)</f>
        <v>41</v>
      </c>
      <c r="D8" s="4">
        <f>VLOOKUP($A8,[1]彩含分析60315!$A:$M,10,0)</f>
        <v>40</v>
      </c>
      <c r="E8" s="4">
        <f>VLOOKUP($A8,[1]彩含分析60315!$A:$M,11,0)</f>
        <v>38</v>
      </c>
      <c r="F8" s="4">
        <f>VLOOKUP($A8,[1]彩含分析60315!$A:$M,12,0)</f>
        <v>37</v>
      </c>
      <c r="G8" s="4">
        <f>VLOOKUP($A8,[1]彩含分析60315!$A:$M,13,0)</f>
        <v>35</v>
      </c>
      <c r="H8" s="4" t="s">
        <v>10</v>
      </c>
      <c r="I8" s="3" t="s">
        <v>23</v>
      </c>
    </row>
    <row r="9" customHeight="1" spans="1:9">
      <c r="A9" s="4" t="s">
        <v>24</v>
      </c>
      <c r="B9" s="4">
        <f>VLOOKUP($A9,[1]彩含分析60315!$A:$M,8,0)</f>
        <v>29</v>
      </c>
      <c r="C9" s="4">
        <f>VLOOKUP($A9,[1]彩含分析60315!$A:$M,9,0)</f>
        <v>28</v>
      </c>
      <c r="D9" s="4">
        <f>VLOOKUP($A9,[1]彩含分析60315!$A:$M,10,0)</f>
        <v>27</v>
      </c>
      <c r="E9" s="4">
        <f>VLOOKUP($A9,[1]彩含分析60315!$A:$M,11,0)</f>
        <v>26</v>
      </c>
      <c r="F9" s="4">
        <f>VLOOKUP($A9,[1]彩含分析60315!$A:$M,12,0)</f>
        <v>25</v>
      </c>
      <c r="G9" s="4">
        <f>VLOOKUP($A9,[1]彩含分析60315!$A:$M,13,0)</f>
        <v>24</v>
      </c>
      <c r="H9" s="4" t="s">
        <v>10</v>
      </c>
      <c r="I9" s="3" t="s">
        <v>25</v>
      </c>
    </row>
    <row r="10" customHeight="1" spans="1:9">
      <c r="A10" s="4" t="s">
        <v>26</v>
      </c>
      <c r="B10" s="4">
        <f>VLOOKUP($A10,[1]彩含分析60315!$A:$M,8,0)</f>
        <v>42</v>
      </c>
      <c r="C10" s="4">
        <f>VLOOKUP($A10,[1]彩含分析60315!$A:$M,9,0)</f>
        <v>41</v>
      </c>
      <c r="D10" s="4">
        <f>VLOOKUP($A10,[1]彩含分析60315!$A:$M,10,0)</f>
        <v>39</v>
      </c>
      <c r="E10" s="4">
        <f>VLOOKUP($A10,[1]彩含分析60315!$A:$M,11,0)</f>
        <v>37</v>
      </c>
      <c r="F10" s="4">
        <f>VLOOKUP($A10,[1]彩含分析60315!$A:$M,12,0)</f>
        <v>36</v>
      </c>
      <c r="G10" s="4">
        <f>VLOOKUP($A10,[1]彩含分析60315!$A:$M,13,0)</f>
        <v>34</v>
      </c>
      <c r="H10" s="4" t="s">
        <v>10</v>
      </c>
      <c r="I10" s="3" t="s">
        <v>27</v>
      </c>
    </row>
    <row r="11" customHeight="1" spans="1:9">
      <c r="A11" s="4" t="s">
        <v>28</v>
      </c>
      <c r="B11" s="4">
        <f>VLOOKUP($A11,[1]彩含分析60315!$A:$M,8,0)</f>
        <v>36</v>
      </c>
      <c r="C11" s="4">
        <f>VLOOKUP($A11,[1]彩含分析60315!$A:$M,9,0)</f>
        <v>34</v>
      </c>
      <c r="D11" s="4">
        <f>VLOOKUP($A11,[1]彩含分析60315!$A:$M,10,0)</f>
        <v>33</v>
      </c>
      <c r="E11" s="4">
        <f>VLOOKUP($A11,[1]彩含分析60315!$A:$M,11,0)</f>
        <v>32</v>
      </c>
      <c r="F11" s="4">
        <f>VLOOKUP($A11,[1]彩含分析60315!$A:$M,12,0)</f>
        <v>30</v>
      </c>
      <c r="G11" s="4">
        <f>VLOOKUP($A11,[1]彩含分析60315!$A:$M,13,0)</f>
        <v>29</v>
      </c>
      <c r="H11" s="4" t="s">
        <v>10</v>
      </c>
      <c r="I11" s="3" t="s">
        <v>29</v>
      </c>
    </row>
    <row r="12" customHeight="1" spans="1:9">
      <c r="A12" s="4" t="s">
        <v>30</v>
      </c>
      <c r="B12" s="4">
        <f>VLOOKUP($A12,[1]彩含分析60315!$A:$M,8,0)</f>
        <v>36</v>
      </c>
      <c r="C12" s="4">
        <f>VLOOKUP($A12,[1]彩含分析60315!$A:$M,9,0)</f>
        <v>34</v>
      </c>
      <c r="D12" s="4">
        <f>VLOOKUP($A12,[1]彩含分析60315!$A:$M,10,0)</f>
        <v>33</v>
      </c>
      <c r="E12" s="4">
        <f>VLOOKUP($A12,[1]彩含分析60315!$A:$M,11,0)</f>
        <v>32</v>
      </c>
      <c r="F12" s="4">
        <f>VLOOKUP($A12,[1]彩含分析60315!$A:$M,12,0)</f>
        <v>30</v>
      </c>
      <c r="G12" s="4">
        <f>VLOOKUP($A12,[1]彩含分析60315!$A:$M,13,0)</f>
        <v>29</v>
      </c>
      <c r="H12" s="4" t="s">
        <v>10</v>
      </c>
      <c r="I12" s="3" t="s">
        <v>31</v>
      </c>
    </row>
    <row r="13" customHeight="1" spans="1:9">
      <c r="A13" s="4" t="s">
        <v>32</v>
      </c>
      <c r="B13" s="4">
        <f>VLOOKUP($A13,[1]彩含分析60315!$A:$M,8,0)</f>
        <v>43</v>
      </c>
      <c r="C13" s="4">
        <f>VLOOKUP($A13,[1]彩含分析60315!$A:$M,9,0)</f>
        <v>41</v>
      </c>
      <c r="D13" s="4">
        <f>VLOOKUP($A13,[1]彩含分析60315!$A:$M,10,0)</f>
        <v>39</v>
      </c>
      <c r="E13" s="4">
        <f>VLOOKUP($A13,[1]彩含分析60315!$A:$M,11,0)</f>
        <v>38</v>
      </c>
      <c r="F13" s="4">
        <f>VLOOKUP($A13,[1]彩含分析60315!$A:$M,12,0)</f>
        <v>36</v>
      </c>
      <c r="G13" s="4">
        <f>VLOOKUP($A13,[1]彩含分析60315!$A:$M,13,0)</f>
        <v>35</v>
      </c>
      <c r="H13" s="4" t="s">
        <v>10</v>
      </c>
      <c r="I13" s="3" t="s">
        <v>33</v>
      </c>
    </row>
    <row r="14" customHeight="1" spans="1:9">
      <c r="A14" s="4" t="s">
        <v>34</v>
      </c>
      <c r="B14" s="4">
        <f>VLOOKUP($A14,[1]彩含分析60315!$A:$M,8,0)</f>
        <v>43</v>
      </c>
      <c r="C14" s="4">
        <f>VLOOKUP($A14,[1]彩含分析60315!$A:$M,9,0)</f>
        <v>41</v>
      </c>
      <c r="D14" s="4">
        <f>VLOOKUP($A14,[1]彩含分析60315!$A:$M,10,0)</f>
        <v>40</v>
      </c>
      <c r="E14" s="4">
        <f>VLOOKUP($A14,[1]彩含分析60315!$A:$M,11,0)</f>
        <v>38</v>
      </c>
      <c r="F14" s="4">
        <f>VLOOKUP($A14,[1]彩含分析60315!$A:$M,12,0)</f>
        <v>37</v>
      </c>
      <c r="G14" s="4">
        <f>VLOOKUP($A14,[1]彩含分析60315!$A:$M,13,0)</f>
        <v>35</v>
      </c>
      <c r="H14" s="4" t="s">
        <v>10</v>
      </c>
      <c r="I14" s="3" t="s">
        <v>35</v>
      </c>
    </row>
    <row r="15" customHeight="1" spans="1:9">
      <c r="A15" s="4" t="s">
        <v>36</v>
      </c>
      <c r="B15" s="4">
        <f>VLOOKUP($A15,[1]彩含分析60315!$A:$M,8,0)</f>
        <v>27</v>
      </c>
      <c r="C15" s="4">
        <f>VLOOKUP($A15,[1]彩含分析60315!$A:$M,9,0)</f>
        <v>26</v>
      </c>
      <c r="D15" s="4">
        <f>VLOOKUP($A15,[1]彩含分析60315!$A:$M,10,0)</f>
        <v>25</v>
      </c>
      <c r="E15" s="4">
        <f>VLOOKUP($A15,[1]彩含分析60315!$A:$M,11,0)</f>
        <v>24</v>
      </c>
      <c r="F15" s="4">
        <f>VLOOKUP($A15,[1]彩含分析60315!$A:$M,12,0)</f>
        <v>23</v>
      </c>
      <c r="G15" s="4">
        <f>VLOOKUP($A15,[1]彩含分析60315!$A:$M,13,0)</f>
        <v>22</v>
      </c>
      <c r="H15" s="4" t="s">
        <v>10</v>
      </c>
      <c r="I15" s="3" t="s">
        <v>37</v>
      </c>
    </row>
    <row r="16" customHeight="1" spans="1:9">
      <c r="A16" s="4" t="s">
        <v>38</v>
      </c>
      <c r="B16" s="4">
        <f>VLOOKUP($A16,[1]彩含分析60315!$A:$M,8,0)</f>
        <v>132</v>
      </c>
      <c r="C16" s="4">
        <f>VLOOKUP($A16,[1]彩含分析60315!$A:$M,9,0)</f>
        <v>130</v>
      </c>
      <c r="D16" s="4">
        <f>VLOOKUP($A16,[1]彩含分析60315!$A:$M,10,0)</f>
        <v>127</v>
      </c>
      <c r="E16" s="4">
        <f>VLOOKUP($A16,[1]彩含分析60315!$A:$M,11,0)</f>
        <v>125</v>
      </c>
      <c r="F16" s="4">
        <f>VLOOKUP($A16,[1]彩含分析60315!$A:$M,12,0)</f>
        <v>124</v>
      </c>
      <c r="G16" s="4">
        <f>VLOOKUP($A16,[1]彩含分析60315!$A:$M,13,0)</f>
        <v>122</v>
      </c>
      <c r="H16" s="4" t="s">
        <v>39</v>
      </c>
      <c r="I16" s="3" t="s">
        <v>40</v>
      </c>
    </row>
    <row r="17" customHeight="1" spans="1:9">
      <c r="A17" s="4" t="s">
        <v>41</v>
      </c>
      <c r="B17" s="4">
        <f>VLOOKUP($A17,[1]彩含分析60315!$A:$M,8,0)</f>
        <v>39</v>
      </c>
      <c r="C17" s="4">
        <f>VLOOKUP($A17,[1]彩含分析60315!$A:$M,9,0)</f>
        <v>37</v>
      </c>
      <c r="D17" s="4">
        <f>VLOOKUP($A17,[1]彩含分析60315!$A:$M,10,0)</f>
        <v>36</v>
      </c>
      <c r="E17" s="4">
        <f>VLOOKUP($A17,[1]彩含分析60315!$A:$M,11,0)</f>
        <v>35</v>
      </c>
      <c r="F17" s="4">
        <f>VLOOKUP($A17,[1]彩含分析60315!$A:$M,12,0)</f>
        <v>33</v>
      </c>
      <c r="G17" s="4">
        <f>VLOOKUP($A17,[1]彩含分析60315!$A:$M,13,0)</f>
        <v>32</v>
      </c>
      <c r="H17" s="4" t="s">
        <v>10</v>
      </c>
      <c r="I17" s="3" t="s">
        <v>42</v>
      </c>
    </row>
    <row r="18" customHeight="1" spans="1:9">
      <c r="A18" s="4" t="s">
        <v>43</v>
      </c>
      <c r="B18" s="4">
        <f>VLOOKUP($A18,[1]彩含分析60315!$A:$M,8,0)</f>
        <v>38</v>
      </c>
      <c r="C18" s="4">
        <f>VLOOKUP($A18,[1]彩含分析60315!$A:$M,9,0)</f>
        <v>37</v>
      </c>
      <c r="D18" s="4">
        <f>VLOOKUP($A18,[1]彩含分析60315!$A:$M,10,0)</f>
        <v>36</v>
      </c>
      <c r="E18" s="4">
        <f>VLOOKUP($A18,[1]彩含分析60315!$A:$M,11,0)</f>
        <v>34</v>
      </c>
      <c r="F18" s="4">
        <f>VLOOKUP($A18,[1]彩含分析60315!$A:$M,12,0)</f>
        <v>33</v>
      </c>
      <c r="G18" s="4">
        <f>VLOOKUP($A18,[1]彩含分析60315!$A:$M,13,0)</f>
        <v>31</v>
      </c>
      <c r="H18" s="4" t="s">
        <v>10</v>
      </c>
      <c r="I18" s="3" t="s">
        <v>44</v>
      </c>
    </row>
    <row r="19" customHeight="1" spans="1:9">
      <c r="A19" s="4" t="s">
        <v>45</v>
      </c>
      <c r="B19" s="4">
        <f>VLOOKUP($A19,[1]彩含分析60315!$A:$M,8,0)</f>
        <v>31</v>
      </c>
      <c r="C19" s="4">
        <f>VLOOKUP($A19,[1]彩含分析60315!$A:$M,9,0)</f>
        <v>30</v>
      </c>
      <c r="D19" s="4">
        <f>VLOOKUP($A19,[1]彩含分析60315!$A:$M,10,0)</f>
        <v>29</v>
      </c>
      <c r="E19" s="4">
        <f>VLOOKUP($A19,[1]彩含分析60315!$A:$M,11,0)</f>
        <v>28</v>
      </c>
      <c r="F19" s="4">
        <f>VLOOKUP($A19,[1]彩含分析60315!$A:$M,12,0)</f>
        <v>27</v>
      </c>
      <c r="G19" s="4">
        <f>VLOOKUP($A19,[1]彩含分析60315!$A:$M,13,0)</f>
        <v>25</v>
      </c>
      <c r="H19" s="4" t="s">
        <v>10</v>
      </c>
      <c r="I19" s="3" t="s">
        <v>46</v>
      </c>
    </row>
    <row r="20" customHeight="1" spans="1:9">
      <c r="A20" s="4" t="s">
        <v>47</v>
      </c>
      <c r="B20" s="4">
        <f>VLOOKUP($A20,[1]彩含分析60315!$A:$M,8,0)</f>
        <v>33</v>
      </c>
      <c r="C20" s="4">
        <f>VLOOKUP($A20,[1]彩含分析60315!$A:$M,9,0)</f>
        <v>31</v>
      </c>
      <c r="D20" s="4">
        <f>VLOOKUP($A20,[1]彩含分析60315!$A:$M,10,0)</f>
        <v>30</v>
      </c>
      <c r="E20" s="4">
        <f>VLOOKUP($A20,[1]彩含分析60315!$A:$M,11,0)</f>
        <v>29</v>
      </c>
      <c r="F20" s="4">
        <f>VLOOKUP($A20,[1]彩含分析60315!$A:$M,12,0)</f>
        <v>28</v>
      </c>
      <c r="G20" s="4">
        <f>VLOOKUP($A20,[1]彩含分析60315!$A:$M,13,0)</f>
        <v>27</v>
      </c>
      <c r="H20" s="4" t="s">
        <v>10</v>
      </c>
      <c r="I20" s="3" t="s">
        <v>48</v>
      </c>
    </row>
    <row r="21" customHeight="1" spans="1:9">
      <c r="A21" s="4" t="s">
        <v>49</v>
      </c>
      <c r="B21" s="4">
        <f>VLOOKUP($A21,[1]彩含分析60315!$A:$M,8,0)</f>
        <v>37</v>
      </c>
      <c r="C21" s="4">
        <f>VLOOKUP($A21,[1]彩含分析60315!$A:$M,9,0)</f>
        <v>36</v>
      </c>
      <c r="D21" s="4">
        <f>VLOOKUP($A21,[1]彩含分析60315!$A:$M,10,0)</f>
        <v>34</v>
      </c>
      <c r="E21" s="4">
        <f>VLOOKUP($A21,[1]彩含分析60315!$A:$M,11,0)</f>
        <v>33</v>
      </c>
      <c r="F21" s="4">
        <f>VLOOKUP($A21,[1]彩含分析60315!$A:$M,12,0)</f>
        <v>31</v>
      </c>
      <c r="G21" s="4">
        <f>VLOOKUP($A21,[1]彩含分析60315!$A:$M,13,0)</f>
        <v>30</v>
      </c>
      <c r="H21" s="4" t="s">
        <v>10</v>
      </c>
      <c r="I21" s="3" t="s">
        <v>31</v>
      </c>
    </row>
    <row r="22" customHeight="1" spans="1:9">
      <c r="A22" s="4" t="s">
        <v>50</v>
      </c>
      <c r="B22" s="4">
        <f>VLOOKUP($A22,[1]彩含分析60315!$A:$M,8,0)</f>
        <v>95</v>
      </c>
      <c r="C22" s="4">
        <f>VLOOKUP($A22,[1]彩含分析60315!$A:$M,9,0)</f>
        <v>91</v>
      </c>
      <c r="D22" s="4">
        <f>VLOOKUP($A22,[1]彩含分析60315!$A:$M,10,0)</f>
        <v>88</v>
      </c>
      <c r="E22" s="4">
        <f>VLOOKUP($A22,[1]彩含分析60315!$A:$M,11,0)</f>
        <v>84</v>
      </c>
      <c r="F22" s="4">
        <f>VLOOKUP($A22,[1]彩含分析60315!$A:$M,12,0)</f>
        <v>81</v>
      </c>
      <c r="G22" s="4">
        <f>VLOOKUP($A22,[1]彩含分析60315!$A:$M,13,0)</f>
        <v>77</v>
      </c>
      <c r="H22" s="4" t="s">
        <v>10</v>
      </c>
      <c r="I22" s="3" t="s">
        <v>51</v>
      </c>
    </row>
    <row r="23" customHeight="1" spans="1:9">
      <c r="A23" s="4" t="s">
        <v>52</v>
      </c>
      <c r="B23" s="4">
        <f>VLOOKUP($A23,[1]彩含分析60315!$A:$M,8,0)</f>
        <v>60</v>
      </c>
      <c r="C23" s="4">
        <f>VLOOKUP($A23,[1]彩含分析60315!$A:$M,9,0)</f>
        <v>58</v>
      </c>
      <c r="D23" s="4">
        <f>VLOOKUP($A23,[1]彩含分析60315!$A:$M,10,0)</f>
        <v>55</v>
      </c>
      <c r="E23" s="4">
        <f>VLOOKUP($A23,[1]彩含分析60315!$A:$M,11,0)</f>
        <v>53</v>
      </c>
      <c r="F23" s="4">
        <f>VLOOKUP($A23,[1]彩含分析60315!$A:$M,12,0)</f>
        <v>51</v>
      </c>
      <c r="G23" s="4">
        <f>VLOOKUP($A23,[1]彩含分析60315!$A:$M,13,0)</f>
        <v>49</v>
      </c>
      <c r="H23" s="4" t="s">
        <v>10</v>
      </c>
      <c r="I23" s="3" t="s">
        <v>53</v>
      </c>
    </row>
    <row r="24" customHeight="1" spans="1:9">
      <c r="A24" s="4" t="s">
        <v>54</v>
      </c>
      <c r="B24" s="4">
        <f>VLOOKUP($A24,[1]彩含分析60315!$A:$M,8,0)</f>
        <v>36</v>
      </c>
      <c r="C24" s="4">
        <f>VLOOKUP($A24,[1]彩含分析60315!$A:$M,9,0)</f>
        <v>35</v>
      </c>
      <c r="D24" s="4">
        <f>VLOOKUP($A24,[1]彩含分析60315!$A:$M,10,0)</f>
        <v>33</v>
      </c>
      <c r="E24" s="4">
        <f>VLOOKUP($A24,[1]彩含分析60315!$A:$M,11,0)</f>
        <v>32</v>
      </c>
      <c r="F24" s="4">
        <f>VLOOKUP($A24,[1]彩含分析60315!$A:$M,12,0)</f>
        <v>31</v>
      </c>
      <c r="G24" s="4">
        <f>VLOOKUP($A24,[1]彩含分析60315!$A:$M,13,0)</f>
        <v>30</v>
      </c>
      <c r="H24" s="4" t="s">
        <v>10</v>
      </c>
      <c r="I24" s="3" t="s">
        <v>55</v>
      </c>
    </row>
    <row r="25" customHeight="1" spans="1:9">
      <c r="A25" s="4" t="s">
        <v>56</v>
      </c>
      <c r="B25" s="4">
        <f>VLOOKUP($A25,[1]彩含分析60315!$A:$M,8,0)</f>
        <v>27</v>
      </c>
      <c r="C25" s="4">
        <f>VLOOKUP($A25,[1]彩含分析60315!$A:$M,9,0)</f>
        <v>26</v>
      </c>
      <c r="D25" s="4">
        <f>VLOOKUP($A25,[1]彩含分析60315!$A:$M,10,0)</f>
        <v>25</v>
      </c>
      <c r="E25" s="4">
        <f>VLOOKUP($A25,[1]彩含分析60315!$A:$M,11,0)</f>
        <v>24</v>
      </c>
      <c r="F25" s="4">
        <f>VLOOKUP($A25,[1]彩含分析60315!$A:$M,12,0)</f>
        <v>23</v>
      </c>
      <c r="G25" s="4">
        <f>VLOOKUP($A25,[1]彩含分析60315!$A:$M,13,0)</f>
        <v>22</v>
      </c>
      <c r="H25" s="4" t="s">
        <v>10</v>
      </c>
      <c r="I25" s="3" t="s">
        <v>57</v>
      </c>
    </row>
    <row r="26" customHeight="1" spans="1:9">
      <c r="A26" s="4" t="s">
        <v>58</v>
      </c>
      <c r="B26" s="4">
        <f>VLOOKUP($A26,[1]彩含分析60315!$A:$M,8,0)</f>
        <v>33</v>
      </c>
      <c r="C26" s="4">
        <f>VLOOKUP($A26,[1]彩含分析60315!$A:$M,9,0)</f>
        <v>32</v>
      </c>
      <c r="D26" s="4">
        <f>VLOOKUP($A26,[1]彩含分析60315!$A:$M,10,0)</f>
        <v>30</v>
      </c>
      <c r="E26" s="4">
        <f>VLOOKUP($A26,[1]彩含分析60315!$A:$M,11,0)</f>
        <v>29</v>
      </c>
      <c r="F26" s="4">
        <f>VLOOKUP($A26,[1]彩含分析60315!$A:$M,12,0)</f>
        <v>28</v>
      </c>
      <c r="G26" s="4">
        <f>VLOOKUP($A26,[1]彩含分析60315!$A:$M,13,0)</f>
        <v>27</v>
      </c>
      <c r="H26" s="4" t="s">
        <v>10</v>
      </c>
      <c r="I26" s="3" t="s">
        <v>59</v>
      </c>
    </row>
    <row r="27" customHeight="1" spans="1:9">
      <c r="A27" s="4" t="s">
        <v>60</v>
      </c>
      <c r="B27" s="4">
        <f>VLOOKUP($A27,[1]彩含分析60315!$A:$M,8,0)</f>
        <v>47</v>
      </c>
      <c r="C27" s="4">
        <f>VLOOKUP($A27,[1]彩含分析60315!$A:$M,9,0)</f>
        <v>46</v>
      </c>
      <c r="D27" s="4">
        <f>VLOOKUP($A27,[1]彩含分析60315!$A:$M,10,0)</f>
        <v>44</v>
      </c>
      <c r="E27" s="4">
        <f>VLOOKUP($A27,[1]彩含分析60315!$A:$M,11,0)</f>
        <v>42</v>
      </c>
      <c r="F27" s="4">
        <f>VLOOKUP($A27,[1]彩含分析60315!$A:$M,12,0)</f>
        <v>40</v>
      </c>
      <c r="G27" s="4">
        <f>VLOOKUP($A27,[1]彩含分析60315!$A:$M,13,0)</f>
        <v>39</v>
      </c>
      <c r="H27" s="4" t="s">
        <v>10</v>
      </c>
      <c r="I27" s="3" t="s">
        <v>61</v>
      </c>
    </row>
    <row r="28" customHeight="1" spans="1:9">
      <c r="A28" s="4" t="s">
        <v>62</v>
      </c>
      <c r="B28" s="4">
        <f>VLOOKUP($A28,[1]彩含分析60315!$A:$M,8,0)</f>
        <v>23</v>
      </c>
      <c r="C28" s="4">
        <f>VLOOKUP($A28,[1]彩含分析60315!$A:$M,9,0)</f>
        <v>22</v>
      </c>
      <c r="D28" s="4">
        <f>VLOOKUP($A28,[1]彩含分析60315!$A:$M,10,0)</f>
        <v>21</v>
      </c>
      <c r="E28" s="4">
        <f>VLOOKUP($A28,[1]彩含分析60315!$A:$M,11,0)</f>
        <v>20</v>
      </c>
      <c r="F28" s="4">
        <f>VLOOKUP($A28,[1]彩含分析60315!$A:$M,12,0)</f>
        <v>20</v>
      </c>
      <c r="G28" s="4">
        <f>VLOOKUP($A28,[1]彩含分析60315!$A:$M,13,0)</f>
        <v>19</v>
      </c>
      <c r="H28" s="4" t="s">
        <v>10</v>
      </c>
      <c r="I28" s="3" t="s">
        <v>63</v>
      </c>
    </row>
    <row r="29" customHeight="1" spans="1:9">
      <c r="A29" s="4" t="s">
        <v>64</v>
      </c>
      <c r="B29" s="4">
        <f>VLOOKUP($A29,[1]彩含分析60315!$A:$M,8,0)</f>
        <v>32</v>
      </c>
      <c r="C29" s="4">
        <f>VLOOKUP($A29,[1]彩含分析60315!$A:$M,9,0)</f>
        <v>30</v>
      </c>
      <c r="D29" s="4">
        <f>VLOOKUP($A29,[1]彩含分析60315!$A:$M,10,0)</f>
        <v>29</v>
      </c>
      <c r="E29" s="4">
        <f>VLOOKUP($A29,[1]彩含分析60315!$A:$M,11,0)</f>
        <v>28</v>
      </c>
      <c r="F29" s="4">
        <f>VLOOKUP($A29,[1]彩含分析60315!$A:$M,12,0)</f>
        <v>27</v>
      </c>
      <c r="G29" s="4">
        <f>VLOOKUP($A29,[1]彩含分析60315!$A:$M,13,0)</f>
        <v>26</v>
      </c>
      <c r="H29" s="4" t="s">
        <v>10</v>
      </c>
      <c r="I29" s="3" t="s">
        <v>65</v>
      </c>
    </row>
    <row r="30" customHeight="1" spans="1:9">
      <c r="A30" s="4" t="s">
        <v>66</v>
      </c>
      <c r="B30" s="4">
        <f>VLOOKUP($A30,[1]彩含分析60315!$A:$M,8,0)</f>
        <v>112</v>
      </c>
      <c r="C30" s="4">
        <f>VLOOKUP($A30,[1]彩含分析60315!$A:$M,9,0)</f>
        <v>108</v>
      </c>
      <c r="D30" s="4">
        <f>VLOOKUP($A30,[1]彩含分析60315!$A:$M,10,0)</f>
        <v>104</v>
      </c>
      <c r="E30" s="4">
        <f>VLOOKUP($A30,[1]彩含分析60315!$A:$M,11,0)</f>
        <v>100</v>
      </c>
      <c r="F30" s="4">
        <f>VLOOKUP($A30,[1]彩含分析60315!$A:$M,12,0)</f>
        <v>96</v>
      </c>
      <c r="G30" s="4">
        <f>VLOOKUP($A30,[1]彩含分析60315!$A:$M,13,0)</f>
        <v>91</v>
      </c>
      <c r="H30" s="4" t="s">
        <v>10</v>
      </c>
      <c r="I30" s="3" t="s">
        <v>67</v>
      </c>
    </row>
    <row r="31" customHeight="1" spans="1:9">
      <c r="A31" s="4" t="s">
        <v>68</v>
      </c>
      <c r="B31" s="4">
        <f>VLOOKUP($A31,[1]彩含分析60315!$A:$M,8,0)</f>
        <v>36</v>
      </c>
      <c r="C31" s="4">
        <f>VLOOKUP($A31,[1]彩含分析60315!$A:$M,9,0)</f>
        <v>35</v>
      </c>
      <c r="D31" s="4">
        <f>VLOOKUP($A31,[1]彩含分析60315!$A:$M,10,0)</f>
        <v>33</v>
      </c>
      <c r="E31" s="4">
        <f>VLOOKUP($A31,[1]彩含分析60315!$A:$M,11,0)</f>
        <v>32</v>
      </c>
      <c r="F31" s="4">
        <f>VLOOKUP($A31,[1]彩含分析60315!$A:$M,12,0)</f>
        <v>31</v>
      </c>
      <c r="G31" s="4">
        <f>VLOOKUP($A31,[1]彩含分析60315!$A:$M,13,0)</f>
        <v>30</v>
      </c>
      <c r="H31" s="4" t="s">
        <v>10</v>
      </c>
      <c r="I31" s="3" t="s">
        <v>69</v>
      </c>
    </row>
    <row r="32" customHeight="1" spans="1:9">
      <c r="A32" s="4" t="s">
        <v>70</v>
      </c>
      <c r="B32" s="4">
        <f>VLOOKUP($A32,[1]彩含分析60315!$A:$M,8,0)</f>
        <v>45</v>
      </c>
      <c r="C32" s="4">
        <f>VLOOKUP($A32,[1]彩含分析60315!$A:$M,9,0)</f>
        <v>43</v>
      </c>
      <c r="D32" s="4">
        <f>VLOOKUP($A32,[1]彩含分析60315!$A:$M,10,0)</f>
        <v>42</v>
      </c>
      <c r="E32" s="4">
        <f>VLOOKUP($A32,[1]彩含分析60315!$A:$M,11,0)</f>
        <v>40</v>
      </c>
      <c r="F32" s="4">
        <f>VLOOKUP($A32,[1]彩含分析60315!$A:$M,12,0)</f>
        <v>38</v>
      </c>
      <c r="G32" s="4">
        <f>VLOOKUP($A32,[1]彩含分析60315!$A:$M,13,0)</f>
        <v>37</v>
      </c>
      <c r="H32" s="4" t="s">
        <v>10</v>
      </c>
      <c r="I32" s="3" t="s">
        <v>71</v>
      </c>
    </row>
    <row r="33" customHeight="1" spans="1:9">
      <c r="A33" s="4" t="s">
        <v>72</v>
      </c>
      <c r="B33" s="4">
        <f>VLOOKUP($A33,[1]彩含分析60315!$A:$M,8,0)</f>
        <v>32</v>
      </c>
      <c r="C33" s="4">
        <f>VLOOKUP($A33,[1]彩含分析60315!$A:$M,9,0)</f>
        <v>31</v>
      </c>
      <c r="D33" s="4">
        <f>VLOOKUP($A33,[1]彩含分析60315!$A:$M,10,0)</f>
        <v>29</v>
      </c>
      <c r="E33" s="4">
        <f>VLOOKUP($A33,[1]彩含分析60315!$A:$M,11,0)</f>
        <v>28</v>
      </c>
      <c r="F33" s="4">
        <f>VLOOKUP($A33,[1]彩含分析60315!$A:$M,12,0)</f>
        <v>27</v>
      </c>
      <c r="G33" s="4">
        <f>VLOOKUP($A33,[1]彩含分析60315!$A:$M,13,0)</f>
        <v>26</v>
      </c>
      <c r="H33" s="4" t="s">
        <v>10</v>
      </c>
      <c r="I33" s="3" t="s">
        <v>73</v>
      </c>
    </row>
    <row r="34" customHeight="1" spans="1:9">
      <c r="A34" s="4" t="s">
        <v>74</v>
      </c>
      <c r="B34" s="4">
        <f>VLOOKUP($A34,[1]彩含分析60315!$A:$M,8,0)</f>
        <v>33</v>
      </c>
      <c r="C34" s="4">
        <f>VLOOKUP($A34,[1]彩含分析60315!$A:$M,9,0)</f>
        <v>32</v>
      </c>
      <c r="D34" s="4">
        <f>VLOOKUP($A34,[1]彩含分析60315!$A:$M,10,0)</f>
        <v>30</v>
      </c>
      <c r="E34" s="4">
        <f>VLOOKUP($A34,[1]彩含分析60315!$A:$M,11,0)</f>
        <v>29</v>
      </c>
      <c r="F34" s="4">
        <f>VLOOKUP($A34,[1]彩含分析60315!$A:$M,12,0)</f>
        <v>28</v>
      </c>
      <c r="G34" s="4">
        <f>VLOOKUP($A34,[1]彩含分析60315!$A:$M,13,0)</f>
        <v>27</v>
      </c>
      <c r="H34" s="4" t="s">
        <v>10</v>
      </c>
      <c r="I34" s="3" t="s">
        <v>75</v>
      </c>
    </row>
    <row r="35" customHeight="1" spans="1:9">
      <c r="A35" s="4" t="s">
        <v>76</v>
      </c>
      <c r="B35" s="4">
        <f>VLOOKUP($A35,[1]彩含分析60315!$A:$M,8,0)</f>
        <v>40</v>
      </c>
      <c r="C35" s="4">
        <f>VLOOKUP($A35,[1]彩含分析60315!$A:$M,9,0)</f>
        <v>38</v>
      </c>
      <c r="D35" s="4">
        <f>VLOOKUP($A35,[1]彩含分析60315!$A:$M,10,0)</f>
        <v>37</v>
      </c>
      <c r="E35" s="4">
        <f>VLOOKUP($A35,[1]彩含分析60315!$A:$M,11,0)</f>
        <v>35</v>
      </c>
      <c r="F35" s="4">
        <f>VLOOKUP($A35,[1]彩含分析60315!$A:$M,12,0)</f>
        <v>34</v>
      </c>
      <c r="G35" s="4">
        <f>VLOOKUP($A35,[1]彩含分析60315!$A:$M,13,0)</f>
        <v>33</v>
      </c>
      <c r="H35" s="4" t="s">
        <v>10</v>
      </c>
      <c r="I35" s="3" t="s">
        <v>77</v>
      </c>
    </row>
    <row r="36" customHeight="1" spans="1:9">
      <c r="A36" s="4" t="s">
        <v>78</v>
      </c>
      <c r="B36" s="4">
        <f>VLOOKUP($A36,[1]彩含分析60315!$A:$M,8,0)</f>
        <v>36</v>
      </c>
      <c r="C36" s="4">
        <f>VLOOKUP($A36,[1]彩含分析60315!$A:$M,9,0)</f>
        <v>35</v>
      </c>
      <c r="D36" s="4">
        <f>VLOOKUP($A36,[1]彩含分析60315!$A:$M,10,0)</f>
        <v>34</v>
      </c>
      <c r="E36" s="4">
        <f>VLOOKUP($A36,[1]彩含分析60315!$A:$M,11,0)</f>
        <v>32</v>
      </c>
      <c r="F36" s="4">
        <f>VLOOKUP($A36,[1]彩含分析60315!$A:$M,12,0)</f>
        <v>31</v>
      </c>
      <c r="G36" s="4">
        <f>VLOOKUP($A36,[1]彩含分析60315!$A:$M,13,0)</f>
        <v>30</v>
      </c>
      <c r="H36" s="4" t="s">
        <v>10</v>
      </c>
      <c r="I36" s="3" t="s">
        <v>79</v>
      </c>
    </row>
    <row r="37" customHeight="1" spans="1:9">
      <c r="A37" s="4" t="s">
        <v>80</v>
      </c>
      <c r="B37" s="4">
        <f>VLOOKUP($A37,[1]彩含分析60315!$A:$M,8,0)</f>
        <v>26</v>
      </c>
      <c r="C37" s="4">
        <f>VLOOKUP($A37,[1]彩含分析60315!$A:$M,9,0)</f>
        <v>25</v>
      </c>
      <c r="D37" s="4">
        <f>VLOOKUP($A37,[1]彩含分析60315!$A:$M,10,0)</f>
        <v>24</v>
      </c>
      <c r="E37" s="4">
        <f>VLOOKUP($A37,[1]彩含分析60315!$A:$M,11,0)</f>
        <v>23</v>
      </c>
      <c r="F37" s="4">
        <f>VLOOKUP($A37,[1]彩含分析60315!$A:$M,12,0)</f>
        <v>22</v>
      </c>
      <c r="G37" s="4">
        <f>VLOOKUP($A37,[1]彩含分析60315!$A:$M,13,0)</f>
        <v>21</v>
      </c>
      <c r="H37" s="4" t="s">
        <v>10</v>
      </c>
      <c r="I37" s="3" t="s">
        <v>81</v>
      </c>
    </row>
    <row r="38" customHeight="1" spans="1:9">
      <c r="A38" s="4" t="s">
        <v>82</v>
      </c>
      <c r="B38" s="4">
        <f>VLOOKUP($A38,[1]彩含分析60315!$A:$M,8,0)</f>
        <v>30</v>
      </c>
      <c r="C38" s="4">
        <f>VLOOKUP($A38,[1]彩含分析60315!$A:$M,9,0)</f>
        <v>28</v>
      </c>
      <c r="D38" s="4">
        <f>VLOOKUP($A38,[1]彩含分析60315!$A:$M,10,0)</f>
        <v>27</v>
      </c>
      <c r="E38" s="4">
        <f>VLOOKUP($A38,[1]彩含分析60315!$A:$M,11,0)</f>
        <v>26</v>
      </c>
      <c r="F38" s="4">
        <f>VLOOKUP($A38,[1]彩含分析60315!$A:$M,12,0)</f>
        <v>25</v>
      </c>
      <c r="G38" s="4">
        <f>VLOOKUP($A38,[1]彩含分析60315!$A:$M,13,0)</f>
        <v>24</v>
      </c>
      <c r="H38" s="4" t="s">
        <v>10</v>
      </c>
      <c r="I38" s="3" t="s">
        <v>83</v>
      </c>
    </row>
    <row r="39" customHeight="1" spans="1:9">
      <c r="A39" s="4" t="s">
        <v>84</v>
      </c>
      <c r="B39" s="4">
        <f>VLOOKUP($A39,[1]彩含分析60315!$A:$M,8,0)</f>
        <v>31</v>
      </c>
      <c r="C39" s="4">
        <f>VLOOKUP($A39,[1]彩含分析60315!$A:$M,9,0)</f>
        <v>30</v>
      </c>
      <c r="D39" s="4">
        <f>VLOOKUP($A39,[1]彩含分析60315!$A:$M,10,0)</f>
        <v>28</v>
      </c>
      <c r="E39" s="4">
        <f>VLOOKUP($A39,[1]彩含分析60315!$A:$M,11,0)</f>
        <v>27</v>
      </c>
      <c r="F39" s="4">
        <f>VLOOKUP($A39,[1]彩含分析60315!$A:$M,12,0)</f>
        <v>26</v>
      </c>
      <c r="G39" s="4">
        <f>VLOOKUP($A39,[1]彩含分析60315!$A:$M,13,0)</f>
        <v>25</v>
      </c>
      <c r="H39" s="4" t="s">
        <v>10</v>
      </c>
      <c r="I39" s="3" t="s">
        <v>85</v>
      </c>
    </row>
    <row r="40" customHeight="1" spans="1:9">
      <c r="A40" s="4" t="s">
        <v>86</v>
      </c>
      <c r="B40" s="4">
        <f>VLOOKUP($A40,[1]彩含分析60315!$A:$M,8,0)</f>
        <v>30</v>
      </c>
      <c r="C40" s="4">
        <f>VLOOKUP($A40,[1]彩含分析60315!$A:$M,9,0)</f>
        <v>29</v>
      </c>
      <c r="D40" s="4">
        <f>VLOOKUP($A40,[1]彩含分析60315!$A:$M,10,0)</f>
        <v>27</v>
      </c>
      <c r="E40" s="4">
        <f>VLOOKUP($A40,[1]彩含分析60315!$A:$M,11,0)</f>
        <v>26</v>
      </c>
      <c r="F40" s="4">
        <f>VLOOKUP($A40,[1]彩含分析60315!$A:$M,12,0)</f>
        <v>25</v>
      </c>
      <c r="G40" s="4">
        <f>VLOOKUP($A40,[1]彩含分析60315!$A:$M,13,0)</f>
        <v>24</v>
      </c>
      <c r="H40" s="4" t="s">
        <v>10</v>
      </c>
      <c r="I40" s="3" t="s">
        <v>87</v>
      </c>
    </row>
    <row r="41" customHeight="1" spans="1:9">
      <c r="A41" s="4" t="s">
        <v>88</v>
      </c>
      <c r="B41" s="4">
        <f>VLOOKUP($A41,[1]彩含分析60315!$A:$M,8,0)</f>
        <v>44</v>
      </c>
      <c r="C41" s="4">
        <f>VLOOKUP($A41,[1]彩含分析60315!$A:$M,9,0)</f>
        <v>42</v>
      </c>
      <c r="D41" s="4">
        <f>VLOOKUP($A41,[1]彩含分析60315!$A:$M,10,0)</f>
        <v>41</v>
      </c>
      <c r="E41" s="4">
        <f>VLOOKUP($A41,[1]彩含分析60315!$A:$M,11,0)</f>
        <v>39</v>
      </c>
      <c r="F41" s="4">
        <f>VLOOKUP($A41,[1]彩含分析60315!$A:$M,12,0)</f>
        <v>37</v>
      </c>
      <c r="G41" s="4">
        <f>VLOOKUP($A41,[1]彩含分析60315!$A:$M,13,0)</f>
        <v>36</v>
      </c>
      <c r="H41" s="4" t="s">
        <v>10</v>
      </c>
      <c r="I41" s="3" t="s">
        <v>89</v>
      </c>
    </row>
    <row r="42" customHeight="1" spans="1:9">
      <c r="A42" s="4" t="s">
        <v>90</v>
      </c>
      <c r="B42" s="4">
        <f>VLOOKUP($A42,[1]彩含分析60315!$A:$M,8,0)</f>
        <v>35</v>
      </c>
      <c r="C42" s="4">
        <f>VLOOKUP($A42,[1]彩含分析60315!$A:$M,9,0)</f>
        <v>34</v>
      </c>
      <c r="D42" s="4">
        <f>VLOOKUP($A42,[1]彩含分析60315!$A:$M,10,0)</f>
        <v>33</v>
      </c>
      <c r="E42" s="4">
        <f>VLOOKUP($A42,[1]彩含分析60315!$A:$M,11,0)</f>
        <v>31</v>
      </c>
      <c r="F42" s="4">
        <f>VLOOKUP($A42,[1]彩含分析60315!$A:$M,12,0)</f>
        <v>30</v>
      </c>
      <c r="G42" s="4">
        <f>VLOOKUP($A42,[1]彩含分析60315!$A:$M,13,0)</f>
        <v>29</v>
      </c>
      <c r="H42" s="4" t="s">
        <v>10</v>
      </c>
      <c r="I42" s="3" t="s">
        <v>91</v>
      </c>
    </row>
    <row r="43" customHeight="1" spans="1:9">
      <c r="A43" s="4" t="s">
        <v>92</v>
      </c>
      <c r="B43" s="4">
        <f>VLOOKUP($A43,[1]彩含分析60315!$A:$M,8,0)</f>
        <v>39</v>
      </c>
      <c r="C43" s="4">
        <f>VLOOKUP($A43,[1]彩含分析60315!$A:$M,9,0)</f>
        <v>37</v>
      </c>
      <c r="D43" s="4">
        <f>VLOOKUP($A43,[1]彩含分析60315!$A:$M,10,0)</f>
        <v>36</v>
      </c>
      <c r="E43" s="4">
        <f>VLOOKUP($A43,[1]彩含分析60315!$A:$M,11,0)</f>
        <v>34</v>
      </c>
      <c r="F43" s="4">
        <f>VLOOKUP($A43,[1]彩含分析60315!$A:$M,12,0)</f>
        <v>33</v>
      </c>
      <c r="G43" s="4">
        <f>VLOOKUP($A43,[1]彩含分析60315!$A:$M,13,0)</f>
        <v>32</v>
      </c>
      <c r="H43" s="4" t="s">
        <v>10</v>
      </c>
      <c r="I43" s="3" t="s">
        <v>93</v>
      </c>
    </row>
    <row r="44" customHeight="1" spans="1:9">
      <c r="A44" s="4" t="s">
        <v>94</v>
      </c>
      <c r="B44" s="4">
        <f>VLOOKUP($A44,[1]彩含分析60315!$A:$M,8,0)</f>
        <v>33</v>
      </c>
      <c r="C44" s="4">
        <f>VLOOKUP($A44,[1]彩含分析60315!$A:$M,9,0)</f>
        <v>32</v>
      </c>
      <c r="D44" s="4">
        <f>VLOOKUP($A44,[1]彩含分析60315!$A:$M,10,0)</f>
        <v>31</v>
      </c>
      <c r="E44" s="4">
        <f>VLOOKUP($A44,[1]彩含分析60315!$A:$M,11,0)</f>
        <v>29</v>
      </c>
      <c r="F44" s="4">
        <f>VLOOKUP($A44,[1]彩含分析60315!$A:$M,12,0)</f>
        <v>28</v>
      </c>
      <c r="G44" s="4">
        <f>VLOOKUP($A44,[1]彩含分析60315!$A:$M,13,0)</f>
        <v>27</v>
      </c>
      <c r="H44" s="4" t="s">
        <v>10</v>
      </c>
      <c r="I44" s="3" t="s">
        <v>95</v>
      </c>
    </row>
    <row r="45" customHeight="1" spans="1:9">
      <c r="A45" s="4" t="s">
        <v>96</v>
      </c>
      <c r="B45" s="4">
        <f>VLOOKUP($A45,[1]彩含分析60315!$A:$M,8,0)</f>
        <v>45</v>
      </c>
      <c r="C45" s="4">
        <f>VLOOKUP($A45,[1]彩含分析60315!$A:$M,9,0)</f>
        <v>43</v>
      </c>
      <c r="D45" s="4">
        <f>VLOOKUP($A45,[1]彩含分析60315!$A:$M,10,0)</f>
        <v>41</v>
      </c>
      <c r="E45" s="4">
        <f>VLOOKUP($A45,[1]彩含分析60315!$A:$M,11,0)</f>
        <v>40</v>
      </c>
      <c r="F45" s="4">
        <f>VLOOKUP($A45,[1]彩含分析60315!$A:$M,12,0)</f>
        <v>38</v>
      </c>
      <c r="G45" s="4">
        <f>VLOOKUP($A45,[1]彩含分析60315!$A:$M,13,0)</f>
        <v>37</v>
      </c>
      <c r="H45" s="4" t="s">
        <v>10</v>
      </c>
      <c r="I45" s="3" t="s">
        <v>97</v>
      </c>
    </row>
    <row r="46" customHeight="1" spans="1:9">
      <c r="A46" s="4" t="s">
        <v>98</v>
      </c>
      <c r="B46" s="4">
        <f>VLOOKUP($A46,[1]彩含分析60315!$A:$M,8,0)</f>
        <v>43</v>
      </c>
      <c r="C46" s="4">
        <f>VLOOKUP($A46,[1]彩含分析60315!$A:$M,9,0)</f>
        <v>41</v>
      </c>
      <c r="D46" s="4">
        <f>VLOOKUP($A46,[1]彩含分析60315!$A:$M,10,0)</f>
        <v>40</v>
      </c>
      <c r="E46" s="4">
        <f>VLOOKUP($A46,[1]彩含分析60315!$A:$M,11,0)</f>
        <v>38</v>
      </c>
      <c r="F46" s="4">
        <f>VLOOKUP($A46,[1]彩含分析60315!$A:$M,12,0)</f>
        <v>37</v>
      </c>
      <c r="G46" s="4">
        <f>VLOOKUP($A46,[1]彩含分析60315!$A:$M,13,0)</f>
        <v>35</v>
      </c>
      <c r="H46" s="4" t="s">
        <v>10</v>
      </c>
      <c r="I46" s="3" t="s">
        <v>99</v>
      </c>
    </row>
    <row r="47" customHeight="1" spans="1:9">
      <c r="A47" s="4" t="s">
        <v>100</v>
      </c>
      <c r="B47" s="4">
        <f>VLOOKUP($A47,[1]彩含分析60315!$A:$M,8,0)</f>
        <v>98</v>
      </c>
      <c r="C47" s="4">
        <f>VLOOKUP($A47,[1]彩含分析60315!$A:$M,9,0)</f>
        <v>96</v>
      </c>
      <c r="D47" s="4">
        <f>VLOOKUP($A47,[1]彩含分析60315!$A:$M,10,0)</f>
        <v>95</v>
      </c>
      <c r="E47" s="4">
        <f>VLOOKUP($A47,[1]彩含分析60315!$A:$M,11,0)</f>
        <v>93</v>
      </c>
      <c r="F47" s="4">
        <f>VLOOKUP($A47,[1]彩含分析60315!$A:$M,12,0)</f>
        <v>92</v>
      </c>
      <c r="G47" s="4">
        <f>VLOOKUP($A47,[1]彩含分析60315!$A:$M,13,0)</f>
        <v>91</v>
      </c>
      <c r="H47" s="4" t="s">
        <v>39</v>
      </c>
      <c r="I47" s="3" t="s">
        <v>101</v>
      </c>
    </row>
    <row r="48" customHeight="1" spans="1:9">
      <c r="A48" s="4" t="s">
        <v>102</v>
      </c>
      <c r="B48" s="4">
        <f>VLOOKUP($A48,[1]彩含分析60315!$A:$M,8,0)</f>
        <v>44</v>
      </c>
      <c r="C48" s="4">
        <f>VLOOKUP($A48,[1]彩含分析60315!$A:$M,9,0)</f>
        <v>42</v>
      </c>
      <c r="D48" s="4">
        <f>VLOOKUP($A48,[1]彩含分析60315!$A:$M,10,0)</f>
        <v>41</v>
      </c>
      <c r="E48" s="4">
        <f>VLOOKUP($A48,[1]彩含分析60315!$A:$M,11,0)</f>
        <v>39</v>
      </c>
      <c r="F48" s="4">
        <f>VLOOKUP($A48,[1]彩含分析60315!$A:$M,12,0)</f>
        <v>37</v>
      </c>
      <c r="G48" s="4">
        <f>VLOOKUP($A48,[1]彩含分析60315!$A:$M,13,0)</f>
        <v>36</v>
      </c>
      <c r="H48" s="4" t="s">
        <v>10</v>
      </c>
      <c r="I48" s="3" t="s">
        <v>103</v>
      </c>
    </row>
    <row r="49" customHeight="1" spans="1:9">
      <c r="A49" s="4" t="s">
        <v>104</v>
      </c>
      <c r="B49" s="4">
        <f>VLOOKUP($A49,[1]彩含分析60315!$A:$M,8,0)</f>
        <v>49</v>
      </c>
      <c r="C49" s="4">
        <f>VLOOKUP($A49,[1]彩含分析60315!$A:$M,9,0)</f>
        <v>47</v>
      </c>
      <c r="D49" s="4">
        <f>VLOOKUP($A49,[1]彩含分析60315!$A:$M,10,0)</f>
        <v>45</v>
      </c>
      <c r="E49" s="4">
        <f>VLOOKUP($A49,[1]彩含分析60315!$A:$M,11,0)</f>
        <v>44</v>
      </c>
      <c r="F49" s="4">
        <f>VLOOKUP($A49,[1]彩含分析60315!$A:$M,12,0)</f>
        <v>42</v>
      </c>
      <c r="G49" s="4">
        <f>VLOOKUP($A49,[1]彩含分析60315!$A:$M,13,0)</f>
        <v>40</v>
      </c>
      <c r="H49" s="4" t="s">
        <v>10</v>
      </c>
      <c r="I49" s="3" t="s">
        <v>105</v>
      </c>
    </row>
    <row r="50" customHeight="1" spans="1:9">
      <c r="A50" s="4" t="s">
        <v>106</v>
      </c>
      <c r="B50" s="4">
        <f>VLOOKUP($A50,[1]彩含分析60315!$A:$M,8,0)</f>
        <v>41</v>
      </c>
      <c r="C50" s="4">
        <f>VLOOKUP($A50,[1]彩含分析60315!$A:$M,9,0)</f>
        <v>40</v>
      </c>
      <c r="D50" s="4">
        <f>VLOOKUP($A50,[1]彩含分析60315!$A:$M,10,0)</f>
        <v>39</v>
      </c>
      <c r="E50" s="4">
        <f>VLOOKUP($A50,[1]彩含分析60315!$A:$M,11,0)</f>
        <v>39</v>
      </c>
      <c r="F50" s="4">
        <f>VLOOKUP($A50,[1]彩含分析60315!$A:$M,12,0)</f>
        <v>38</v>
      </c>
      <c r="G50" s="4">
        <f>VLOOKUP($A50,[1]彩含分析60315!$A:$M,13,0)</f>
        <v>38</v>
      </c>
      <c r="H50" s="4" t="s">
        <v>39</v>
      </c>
      <c r="I50" s="3" t="s">
        <v>107</v>
      </c>
    </row>
    <row r="51" customHeight="1" spans="1:9">
      <c r="A51" s="4" t="s">
        <v>108</v>
      </c>
      <c r="B51" s="4">
        <f>VLOOKUP($A51,[1]彩含分析60315!$A:$M,8,0)</f>
        <v>36</v>
      </c>
      <c r="C51" s="4">
        <f>VLOOKUP($A51,[1]彩含分析60315!$A:$M,9,0)</f>
        <v>34</v>
      </c>
      <c r="D51" s="4">
        <f>VLOOKUP($A51,[1]彩含分析60315!$A:$M,10,0)</f>
        <v>33</v>
      </c>
      <c r="E51" s="4">
        <f>VLOOKUP($A51,[1]彩含分析60315!$A:$M,11,0)</f>
        <v>32</v>
      </c>
      <c r="F51" s="4">
        <f>VLOOKUP($A51,[1]彩含分析60315!$A:$M,12,0)</f>
        <v>30</v>
      </c>
      <c r="G51" s="4">
        <f>VLOOKUP($A51,[1]彩含分析60315!$A:$M,13,0)</f>
        <v>29</v>
      </c>
      <c r="H51" s="4" t="s">
        <v>10</v>
      </c>
      <c r="I51" s="3" t="s">
        <v>109</v>
      </c>
    </row>
    <row r="52" customHeight="1" spans="1:9">
      <c r="A52" s="4" t="s">
        <v>110</v>
      </c>
      <c r="B52" s="4">
        <f>VLOOKUP($A52,[1]彩含分析60315!$A:$M,8,0)</f>
        <v>32</v>
      </c>
      <c r="C52" s="4">
        <f>VLOOKUP($A52,[1]彩含分析60315!$A:$M,9,0)</f>
        <v>31</v>
      </c>
      <c r="D52" s="4">
        <f>VLOOKUP($A52,[1]彩含分析60315!$A:$M,10,0)</f>
        <v>30</v>
      </c>
      <c r="E52" s="4">
        <f>VLOOKUP($A52,[1]彩含分析60315!$A:$M,11,0)</f>
        <v>29</v>
      </c>
      <c r="F52" s="4">
        <f>VLOOKUP($A52,[1]彩含分析60315!$A:$M,12,0)</f>
        <v>27</v>
      </c>
      <c r="G52" s="4">
        <f>VLOOKUP($A52,[1]彩含分析60315!$A:$M,13,0)</f>
        <v>26</v>
      </c>
      <c r="H52" s="4" t="s">
        <v>10</v>
      </c>
      <c r="I52" s="3" t="s">
        <v>111</v>
      </c>
    </row>
    <row r="53" customHeight="1" spans="1:9">
      <c r="A53" s="4" t="s">
        <v>112</v>
      </c>
      <c r="B53" s="4">
        <f>VLOOKUP($A53,[1]彩含分析60315!$A:$M,8,0)</f>
        <v>25</v>
      </c>
      <c r="C53" s="4">
        <f>VLOOKUP($A53,[1]彩含分析60315!$A:$M,9,0)</f>
        <v>24</v>
      </c>
      <c r="D53" s="4">
        <f>VLOOKUP($A53,[1]彩含分析60315!$A:$M,10,0)</f>
        <v>23</v>
      </c>
      <c r="E53" s="4">
        <f>VLOOKUP($A53,[1]彩含分析60315!$A:$M,11,0)</f>
        <v>22</v>
      </c>
      <c r="F53" s="4">
        <f>VLOOKUP($A53,[1]彩含分析60315!$A:$M,12,0)</f>
        <v>21</v>
      </c>
      <c r="G53" s="4">
        <f>VLOOKUP($A53,[1]彩含分析60315!$A:$M,13,0)</f>
        <v>20</v>
      </c>
      <c r="H53" s="4" t="s">
        <v>10</v>
      </c>
      <c r="I53" s="3" t="s">
        <v>113</v>
      </c>
    </row>
    <row r="54" customHeight="1" spans="1:9">
      <c r="A54" s="4" t="s">
        <v>114</v>
      </c>
      <c r="B54" s="4">
        <f>VLOOKUP($A54,[1]彩含分析60315!$A:$M,8,0)</f>
        <v>25</v>
      </c>
      <c r="C54" s="4">
        <f>VLOOKUP($A54,[1]彩含分析60315!$A:$M,9,0)</f>
        <v>24</v>
      </c>
      <c r="D54" s="4">
        <f>VLOOKUP($A54,[1]彩含分析60315!$A:$M,10,0)</f>
        <v>24</v>
      </c>
      <c r="E54" s="4">
        <f>VLOOKUP($A54,[1]彩含分析60315!$A:$M,11,0)</f>
        <v>23</v>
      </c>
      <c r="F54" s="4">
        <f>VLOOKUP($A54,[1]彩含分析60315!$A:$M,12,0)</f>
        <v>22</v>
      </c>
      <c r="G54" s="4">
        <f>VLOOKUP($A54,[1]彩含分析60315!$A:$M,13,0)</f>
        <v>21</v>
      </c>
      <c r="H54" s="4" t="s">
        <v>10</v>
      </c>
      <c r="I54" s="3" t="s">
        <v>115</v>
      </c>
    </row>
    <row r="55" customHeight="1" spans="1:9">
      <c r="A55" s="4" t="s">
        <v>116</v>
      </c>
      <c r="B55" s="4">
        <f>VLOOKUP($A55,[1]彩含分析60315!$A:$M,8,0)</f>
        <v>36</v>
      </c>
      <c r="C55" s="4">
        <f>VLOOKUP($A55,[1]彩含分析60315!$A:$M,9,0)</f>
        <v>34</v>
      </c>
      <c r="D55" s="4">
        <f>VLOOKUP($A55,[1]彩含分析60315!$A:$M,10,0)</f>
        <v>33</v>
      </c>
      <c r="E55" s="4">
        <f>VLOOKUP($A55,[1]彩含分析60315!$A:$M,11,0)</f>
        <v>32</v>
      </c>
      <c r="F55" s="4">
        <f>VLOOKUP($A55,[1]彩含分析60315!$A:$M,12,0)</f>
        <v>30</v>
      </c>
      <c r="G55" s="4">
        <f>VLOOKUP($A55,[1]彩含分析60315!$A:$M,13,0)</f>
        <v>29</v>
      </c>
      <c r="H55" s="4" t="s">
        <v>10</v>
      </c>
      <c r="I55" s="3" t="s">
        <v>117</v>
      </c>
    </row>
    <row r="56" customHeight="1" spans="1:9">
      <c r="A56" s="4" t="s">
        <v>118</v>
      </c>
      <c r="B56" s="4">
        <f>VLOOKUP($A56,[1]彩含分析60315!$A:$M,8,0)</f>
        <v>45</v>
      </c>
      <c r="C56" s="4">
        <f>VLOOKUP($A56,[1]彩含分析60315!$A:$M,9,0)</f>
        <v>44</v>
      </c>
      <c r="D56" s="4">
        <f>VLOOKUP($A56,[1]彩含分析60315!$A:$M,10,0)</f>
        <v>42</v>
      </c>
      <c r="E56" s="4">
        <f>VLOOKUP($A56,[1]彩含分析60315!$A:$M,11,0)</f>
        <v>40</v>
      </c>
      <c r="F56" s="4">
        <f>VLOOKUP($A56,[1]彩含分析60315!$A:$M,12,0)</f>
        <v>39</v>
      </c>
      <c r="G56" s="4">
        <f>VLOOKUP($A56,[1]彩含分析60315!$A:$M,13,0)</f>
        <v>37</v>
      </c>
      <c r="H56" s="4" t="s">
        <v>10</v>
      </c>
      <c r="I56" s="3" t="s">
        <v>119</v>
      </c>
    </row>
    <row r="57" customHeight="1" spans="1:9">
      <c r="A57" s="4" t="s">
        <v>120</v>
      </c>
      <c r="B57" s="4">
        <f>VLOOKUP($A57,[1]彩含分析60315!$A:$M,8,0)</f>
        <v>40</v>
      </c>
      <c r="C57" s="4">
        <f>VLOOKUP($A57,[1]彩含分析60315!$A:$M,9,0)</f>
        <v>39</v>
      </c>
      <c r="D57" s="4">
        <f>VLOOKUP($A57,[1]彩含分析60315!$A:$M,10,0)</f>
        <v>37</v>
      </c>
      <c r="E57" s="4">
        <f>VLOOKUP($A57,[1]彩含分析60315!$A:$M,11,0)</f>
        <v>36</v>
      </c>
      <c r="F57" s="4">
        <f>VLOOKUP($A57,[1]彩含分析60315!$A:$M,12,0)</f>
        <v>34</v>
      </c>
      <c r="G57" s="4">
        <f>VLOOKUP($A57,[1]彩含分析60315!$A:$M,13,0)</f>
        <v>33</v>
      </c>
      <c r="H57" s="4" t="s">
        <v>10</v>
      </c>
      <c r="I57" s="3" t="s">
        <v>121</v>
      </c>
    </row>
    <row r="58" customHeight="1" spans="1:9">
      <c r="A58" s="4" t="s">
        <v>122</v>
      </c>
      <c r="B58" s="4">
        <f>VLOOKUP($A58,[1]彩含分析60315!$A:$M,8,0)</f>
        <v>33</v>
      </c>
      <c r="C58" s="4">
        <f>VLOOKUP($A58,[1]彩含分析60315!$A:$M,9,0)</f>
        <v>32</v>
      </c>
      <c r="D58" s="4">
        <f>VLOOKUP($A58,[1]彩含分析60315!$A:$M,10,0)</f>
        <v>31</v>
      </c>
      <c r="E58" s="4">
        <f>VLOOKUP($A58,[1]彩含分析60315!$A:$M,11,0)</f>
        <v>30</v>
      </c>
      <c r="F58" s="4">
        <f>VLOOKUP($A58,[1]彩含分析60315!$A:$M,12,0)</f>
        <v>29</v>
      </c>
      <c r="G58" s="4">
        <f>VLOOKUP($A58,[1]彩含分析60315!$A:$M,13,0)</f>
        <v>27</v>
      </c>
      <c r="H58" s="4" t="s">
        <v>10</v>
      </c>
      <c r="I58" s="3" t="s">
        <v>123</v>
      </c>
    </row>
    <row r="59" customHeight="1" spans="1:9">
      <c r="A59" s="4" t="s">
        <v>124</v>
      </c>
      <c r="B59" s="4">
        <f>VLOOKUP($A59,[1]彩含分析60315!$A:$M,8,0)</f>
        <v>40</v>
      </c>
      <c r="C59" s="4">
        <f>VLOOKUP($A59,[1]彩含分析60315!$A:$M,9,0)</f>
        <v>38</v>
      </c>
      <c r="D59" s="4">
        <f>VLOOKUP($A59,[1]彩含分析60315!$A:$M,10,0)</f>
        <v>37</v>
      </c>
      <c r="E59" s="4">
        <f>VLOOKUP($A59,[1]彩含分析60315!$A:$M,11,0)</f>
        <v>35</v>
      </c>
      <c r="F59" s="4">
        <f>VLOOKUP($A59,[1]彩含分析60315!$A:$M,12,0)</f>
        <v>34</v>
      </c>
      <c r="G59" s="4">
        <f>VLOOKUP($A59,[1]彩含分析60315!$A:$M,13,0)</f>
        <v>33</v>
      </c>
      <c r="H59" s="4" t="s">
        <v>10</v>
      </c>
      <c r="I59" s="3" t="s">
        <v>125</v>
      </c>
    </row>
    <row r="60" customHeight="1" spans="1:9">
      <c r="A60" s="4" t="s">
        <v>126</v>
      </c>
      <c r="B60" s="4">
        <f>VLOOKUP($A60,[1]彩含分析60315!$A:$M,8,0)</f>
        <v>47</v>
      </c>
      <c r="C60" s="4">
        <f>VLOOKUP($A60,[1]彩含分析60315!$A:$M,9,0)</f>
        <v>45</v>
      </c>
      <c r="D60" s="4">
        <f>VLOOKUP($A60,[1]彩含分析60315!$A:$M,10,0)</f>
        <v>43</v>
      </c>
      <c r="E60" s="4">
        <f>VLOOKUP($A60,[1]彩含分析60315!$A:$M,11,0)</f>
        <v>42</v>
      </c>
      <c r="F60" s="4">
        <f>VLOOKUP($A60,[1]彩含分析60315!$A:$M,12,0)</f>
        <v>40</v>
      </c>
      <c r="G60" s="4">
        <f>VLOOKUP($A60,[1]彩含分析60315!$A:$M,13,0)</f>
        <v>38</v>
      </c>
      <c r="H60" s="4" t="s">
        <v>10</v>
      </c>
      <c r="I60" s="3" t="s">
        <v>127</v>
      </c>
    </row>
    <row r="61" customHeight="1" spans="1:9">
      <c r="A61" s="4" t="s">
        <v>128</v>
      </c>
      <c r="B61" s="4">
        <f>VLOOKUP($A61,[1]彩含分析60315!$A:$M,8,0)</f>
        <v>40</v>
      </c>
      <c r="C61" s="4">
        <f>VLOOKUP($A61,[1]彩含分析60315!$A:$M,9,0)</f>
        <v>39</v>
      </c>
      <c r="D61" s="4">
        <f>VLOOKUP($A61,[1]彩含分析60315!$A:$M,10,0)</f>
        <v>37</v>
      </c>
      <c r="E61" s="4">
        <f>VLOOKUP($A61,[1]彩含分析60315!$A:$M,11,0)</f>
        <v>36</v>
      </c>
      <c r="F61" s="4">
        <f>VLOOKUP($A61,[1]彩含分析60315!$A:$M,12,0)</f>
        <v>34</v>
      </c>
      <c r="G61" s="4">
        <f>VLOOKUP($A61,[1]彩含分析60315!$A:$M,13,0)</f>
        <v>33</v>
      </c>
      <c r="H61" s="4" t="s">
        <v>10</v>
      </c>
      <c r="I61" s="3" t="s">
        <v>129</v>
      </c>
    </row>
    <row r="62" customHeight="1" spans="1:9">
      <c r="A62" s="4" t="s">
        <v>130</v>
      </c>
      <c r="B62" s="4">
        <f>VLOOKUP($A62,[1]彩含分析60315!$A:$M,8,0)</f>
        <v>50</v>
      </c>
      <c r="C62" s="4">
        <f>VLOOKUP($A62,[1]彩含分析60315!$A:$M,9,0)</f>
        <v>48</v>
      </c>
      <c r="D62" s="4">
        <f>VLOOKUP($A62,[1]彩含分析60315!$A:$M,10,0)</f>
        <v>46</v>
      </c>
      <c r="E62" s="4">
        <f>VLOOKUP($A62,[1]彩含分析60315!$A:$M,11,0)</f>
        <v>44</v>
      </c>
      <c r="F62" s="4">
        <f>VLOOKUP($A62,[1]彩含分析60315!$A:$M,12,0)</f>
        <v>42</v>
      </c>
      <c r="G62" s="4">
        <f>VLOOKUP($A62,[1]彩含分析60315!$A:$M,13,0)</f>
        <v>41</v>
      </c>
      <c r="H62" s="4" t="s">
        <v>10</v>
      </c>
      <c r="I62" s="3" t="s">
        <v>131</v>
      </c>
    </row>
    <row r="63" customHeight="1" spans="1:9">
      <c r="A63" s="4" t="s">
        <v>132</v>
      </c>
      <c r="B63" s="4">
        <f>VLOOKUP($A63,[1]彩含分析60315!$A:$M,8,0)</f>
        <v>44</v>
      </c>
      <c r="C63" s="4">
        <f>VLOOKUP($A63,[1]彩含分析60315!$A:$M,9,0)</f>
        <v>42</v>
      </c>
      <c r="D63" s="4">
        <f>VLOOKUP($A63,[1]彩含分析60315!$A:$M,10,0)</f>
        <v>41</v>
      </c>
      <c r="E63" s="4">
        <f>VLOOKUP($A63,[1]彩含分析60315!$A:$M,11,0)</f>
        <v>39</v>
      </c>
      <c r="F63" s="4">
        <f>VLOOKUP($A63,[1]彩含分析60315!$A:$M,12,0)</f>
        <v>38</v>
      </c>
      <c r="G63" s="4">
        <f>VLOOKUP($A63,[1]彩含分析60315!$A:$M,13,0)</f>
        <v>36</v>
      </c>
      <c r="H63" s="4" t="s">
        <v>10</v>
      </c>
      <c r="I63" s="3" t="s">
        <v>133</v>
      </c>
    </row>
    <row r="64" customHeight="1" spans="1:9">
      <c r="A64" s="4" t="s">
        <v>134</v>
      </c>
      <c r="B64" s="4">
        <f>VLOOKUP($A64,[1]彩含分析60315!$A:$M,8,0)</f>
        <v>35</v>
      </c>
      <c r="C64" s="4">
        <f>VLOOKUP($A64,[1]彩含分析60315!$A:$M,9,0)</f>
        <v>34</v>
      </c>
      <c r="D64" s="4">
        <f>VLOOKUP($A64,[1]彩含分析60315!$A:$M,10,0)</f>
        <v>32</v>
      </c>
      <c r="E64" s="4">
        <f>VLOOKUP($A64,[1]彩含分析60315!$A:$M,11,0)</f>
        <v>31</v>
      </c>
      <c r="F64" s="4">
        <f>VLOOKUP($A64,[1]彩含分析60315!$A:$M,12,0)</f>
        <v>30</v>
      </c>
      <c r="G64" s="4">
        <f>VLOOKUP($A64,[1]彩含分析60315!$A:$M,13,0)</f>
        <v>28</v>
      </c>
      <c r="H64" s="4" t="s">
        <v>10</v>
      </c>
      <c r="I64" s="3" t="s">
        <v>135</v>
      </c>
    </row>
    <row r="65" customHeight="1" spans="1:9">
      <c r="A65" s="4" t="s">
        <v>136</v>
      </c>
      <c r="B65" s="4">
        <f>VLOOKUP($A65,[1]彩含分析60315!$A:$M,8,0)</f>
        <v>27</v>
      </c>
      <c r="C65" s="4">
        <f>VLOOKUP($A65,[1]彩含分析60315!$A:$M,9,0)</f>
        <v>26</v>
      </c>
      <c r="D65" s="4">
        <f>VLOOKUP($A65,[1]彩含分析60315!$A:$M,10,0)</f>
        <v>25</v>
      </c>
      <c r="E65" s="4">
        <f>VLOOKUP($A65,[1]彩含分析60315!$A:$M,11,0)</f>
        <v>24</v>
      </c>
      <c r="F65" s="4">
        <f>VLOOKUP($A65,[1]彩含分析60315!$A:$M,12,0)</f>
        <v>23</v>
      </c>
      <c r="G65" s="4">
        <f>VLOOKUP($A65,[1]彩含分析60315!$A:$M,13,0)</f>
        <v>22</v>
      </c>
      <c r="H65" s="4" t="s">
        <v>10</v>
      </c>
      <c r="I65" s="3" t="s">
        <v>137</v>
      </c>
    </row>
    <row r="66" customHeight="1" spans="1:9">
      <c r="A66" s="4" t="s">
        <v>138</v>
      </c>
      <c r="B66" s="4">
        <f>VLOOKUP($A66,[1]彩含分析60315!$A:$M,8,0)</f>
        <v>34</v>
      </c>
      <c r="C66" s="4">
        <f>VLOOKUP($A66,[1]彩含分析60315!$A:$M,9,0)</f>
        <v>33</v>
      </c>
      <c r="D66" s="4">
        <f>VLOOKUP($A66,[1]彩含分析60315!$A:$M,10,0)</f>
        <v>32</v>
      </c>
      <c r="E66" s="4">
        <f>VLOOKUP($A66,[1]彩含分析60315!$A:$M,11,0)</f>
        <v>31</v>
      </c>
      <c r="F66" s="4">
        <f>VLOOKUP($A66,[1]彩含分析60315!$A:$M,12,0)</f>
        <v>29</v>
      </c>
      <c r="G66" s="4">
        <f>VLOOKUP($A66,[1]彩含分析60315!$A:$M,13,0)</f>
        <v>28</v>
      </c>
      <c r="H66" s="4" t="s">
        <v>10</v>
      </c>
      <c r="I66" s="3" t="s">
        <v>139</v>
      </c>
    </row>
    <row r="67" customHeight="1" spans="1:9">
      <c r="A67" s="4" t="s">
        <v>140</v>
      </c>
      <c r="B67" s="4">
        <f>VLOOKUP($A67,[1]彩含分析60315!$A:$M,8,0)</f>
        <v>38</v>
      </c>
      <c r="C67" s="4">
        <f>VLOOKUP($A67,[1]彩含分析60315!$A:$M,9,0)</f>
        <v>37</v>
      </c>
      <c r="D67" s="4">
        <f>VLOOKUP($A67,[1]彩含分析60315!$A:$M,10,0)</f>
        <v>36</v>
      </c>
      <c r="E67" s="4">
        <f>VLOOKUP($A67,[1]彩含分析60315!$A:$M,11,0)</f>
        <v>34</v>
      </c>
      <c r="F67" s="4">
        <f>VLOOKUP($A67,[1]彩含分析60315!$A:$M,12,0)</f>
        <v>33</v>
      </c>
      <c r="G67" s="4">
        <f>VLOOKUP($A67,[1]彩含分析60315!$A:$M,13,0)</f>
        <v>31</v>
      </c>
      <c r="H67" s="4" t="s">
        <v>10</v>
      </c>
      <c r="I67" s="3" t="s">
        <v>141</v>
      </c>
    </row>
    <row r="68" customHeight="1" spans="1:9">
      <c r="A68" s="4" t="s">
        <v>142</v>
      </c>
      <c r="B68" s="4">
        <f>VLOOKUP($A68,[1]彩含分析60315!$A:$M,8,0)</f>
        <v>47</v>
      </c>
      <c r="C68" s="4">
        <f>VLOOKUP($A68,[1]彩含分析60315!$A:$M,9,0)</f>
        <v>45</v>
      </c>
      <c r="D68" s="4">
        <f>VLOOKUP($A68,[1]彩含分析60315!$A:$M,10,0)</f>
        <v>43</v>
      </c>
      <c r="E68" s="4">
        <f>VLOOKUP($A68,[1]彩含分析60315!$A:$M,11,0)</f>
        <v>42</v>
      </c>
      <c r="F68" s="4">
        <f>VLOOKUP($A68,[1]彩含分析60315!$A:$M,12,0)</f>
        <v>40</v>
      </c>
      <c r="G68" s="4">
        <f>VLOOKUP($A68,[1]彩含分析60315!$A:$M,13,0)</f>
        <v>38</v>
      </c>
      <c r="H68" s="4" t="s">
        <v>10</v>
      </c>
      <c r="I68" s="3" t="s">
        <v>143</v>
      </c>
    </row>
    <row r="69" customHeight="1" spans="1:9">
      <c r="A69" s="4" t="s">
        <v>144</v>
      </c>
      <c r="B69" s="4">
        <f>VLOOKUP($A69,[1]彩含分析60315!$A:$M,8,0)</f>
        <v>31</v>
      </c>
      <c r="C69" s="4">
        <f>VLOOKUP($A69,[1]彩含分析60315!$A:$M,9,0)</f>
        <v>30</v>
      </c>
      <c r="D69" s="4">
        <f>VLOOKUP($A69,[1]彩含分析60315!$A:$M,10,0)</f>
        <v>29</v>
      </c>
      <c r="E69" s="4">
        <f>VLOOKUP($A69,[1]彩含分析60315!$A:$M,11,0)</f>
        <v>27</v>
      </c>
      <c r="F69" s="4">
        <f>VLOOKUP($A69,[1]彩含分析60315!$A:$M,12,0)</f>
        <v>26</v>
      </c>
      <c r="G69" s="4">
        <f>VLOOKUP($A69,[1]彩含分析60315!$A:$M,13,0)</f>
        <v>25</v>
      </c>
      <c r="H69" s="4" t="s">
        <v>10</v>
      </c>
      <c r="I69" s="3" t="s">
        <v>145</v>
      </c>
    </row>
    <row r="70" customHeight="1" spans="1:9">
      <c r="A70" s="4" t="s">
        <v>146</v>
      </c>
      <c r="B70" s="4">
        <f>VLOOKUP($A70,[1]彩含分析60315!$A:$M,8,0)</f>
        <v>39</v>
      </c>
      <c r="C70" s="4">
        <f>VLOOKUP($A70,[1]彩含分析60315!$A:$M,9,0)</f>
        <v>38</v>
      </c>
      <c r="D70" s="4">
        <f>VLOOKUP($A70,[1]彩含分析60315!$A:$M,10,0)</f>
        <v>36</v>
      </c>
      <c r="E70" s="4">
        <f>VLOOKUP($A70,[1]彩含分析60315!$A:$M,11,0)</f>
        <v>35</v>
      </c>
      <c r="F70" s="4">
        <f>VLOOKUP($A70,[1]彩含分析60315!$A:$M,12,0)</f>
        <v>33</v>
      </c>
      <c r="G70" s="4">
        <f>VLOOKUP($A70,[1]彩含分析60315!$A:$M,13,0)</f>
        <v>32</v>
      </c>
      <c r="H70" s="4" t="s">
        <v>10</v>
      </c>
      <c r="I70" s="3" t="s">
        <v>147</v>
      </c>
    </row>
    <row r="71" customHeight="1" spans="1:9">
      <c r="A71" s="4" t="s">
        <v>148</v>
      </c>
      <c r="B71" s="4">
        <f>VLOOKUP($A71,[1]彩含分析60315!$A:$M,8,0)</f>
        <v>30</v>
      </c>
      <c r="C71" s="4">
        <f>VLOOKUP($A71,[1]彩含分析60315!$A:$M,9,0)</f>
        <v>28</v>
      </c>
      <c r="D71" s="4">
        <f>VLOOKUP($A71,[1]彩含分析60315!$A:$M,10,0)</f>
        <v>27</v>
      </c>
      <c r="E71" s="4">
        <f>VLOOKUP($A71,[1]彩含分析60315!$A:$M,11,0)</f>
        <v>26</v>
      </c>
      <c r="F71" s="4">
        <f>VLOOKUP($A71,[1]彩含分析60315!$A:$M,12,0)</f>
        <v>25</v>
      </c>
      <c r="G71" s="4">
        <f>VLOOKUP($A71,[1]彩含分析60315!$A:$M,13,0)</f>
        <v>24</v>
      </c>
      <c r="H71" s="4" t="s">
        <v>10</v>
      </c>
      <c r="I71" s="3" t="s">
        <v>149</v>
      </c>
    </row>
    <row r="72" customHeight="1" spans="1:9">
      <c r="A72" s="4" t="s">
        <v>150</v>
      </c>
      <c r="B72" s="4">
        <f>VLOOKUP($A72,[1]彩含分析60315!$A:$M,8,0)</f>
        <v>52</v>
      </c>
      <c r="C72" s="4">
        <f>VLOOKUP($A72,[1]彩含分析60315!$A:$M,9,0)</f>
        <v>50</v>
      </c>
      <c r="D72" s="4">
        <f>VLOOKUP($A72,[1]彩含分析60315!$A:$M,10,0)</f>
        <v>48</v>
      </c>
      <c r="E72" s="4">
        <f>VLOOKUP($A72,[1]彩含分析60315!$A:$M,11,0)</f>
        <v>46</v>
      </c>
      <c r="F72" s="4">
        <f>VLOOKUP($A72,[1]彩含分析60315!$A:$M,12,0)</f>
        <v>44</v>
      </c>
      <c r="G72" s="4">
        <f>VLOOKUP($A72,[1]彩含分析60315!$A:$M,13,0)</f>
        <v>42</v>
      </c>
      <c r="H72" s="4" t="s">
        <v>10</v>
      </c>
      <c r="I72" s="3" t="s">
        <v>151</v>
      </c>
    </row>
    <row r="73" customHeight="1" spans="1:9">
      <c r="A73" s="4" t="s">
        <v>152</v>
      </c>
      <c r="B73" s="4">
        <f>VLOOKUP($A73,[1]彩含分析60315!$A:$M,8,0)</f>
        <v>38</v>
      </c>
      <c r="C73" s="4">
        <f>VLOOKUP($A73,[1]彩含分析60315!$A:$M,9,0)</f>
        <v>36</v>
      </c>
      <c r="D73" s="4">
        <f>VLOOKUP($A73,[1]彩含分析60315!$A:$M,10,0)</f>
        <v>35</v>
      </c>
      <c r="E73" s="4">
        <f>VLOOKUP($A73,[1]彩含分析60315!$A:$M,11,0)</f>
        <v>34</v>
      </c>
      <c r="F73" s="4">
        <f>VLOOKUP($A73,[1]彩含分析60315!$A:$M,12,0)</f>
        <v>32</v>
      </c>
      <c r="G73" s="4">
        <f>VLOOKUP($A73,[1]彩含分析60315!$A:$M,13,0)</f>
        <v>31</v>
      </c>
      <c r="H73" s="4" t="s">
        <v>10</v>
      </c>
      <c r="I73" s="3" t="s">
        <v>153</v>
      </c>
    </row>
    <row r="74" customHeight="1" spans="1:9">
      <c r="A74" s="4" t="s">
        <v>154</v>
      </c>
      <c r="B74" s="4">
        <f>VLOOKUP($A74,[1]彩含分析60315!$A:$M,8,0)</f>
        <v>33</v>
      </c>
      <c r="C74" s="4">
        <f>VLOOKUP($A74,[1]彩含分析60315!$A:$M,9,0)</f>
        <v>32</v>
      </c>
      <c r="D74" s="4">
        <f>VLOOKUP($A74,[1]彩含分析60315!$A:$M,10,0)</f>
        <v>31</v>
      </c>
      <c r="E74" s="4">
        <f>VLOOKUP($A74,[1]彩含分析60315!$A:$M,11,0)</f>
        <v>30</v>
      </c>
      <c r="F74" s="4">
        <f>VLOOKUP($A74,[1]彩含分析60315!$A:$M,12,0)</f>
        <v>28</v>
      </c>
      <c r="G74" s="4">
        <f>VLOOKUP($A74,[1]彩含分析60315!$A:$M,13,0)</f>
        <v>27</v>
      </c>
      <c r="H74" s="4" t="s">
        <v>10</v>
      </c>
      <c r="I74" s="3" t="s">
        <v>155</v>
      </c>
    </row>
    <row r="75" customHeight="1" spans="1:9">
      <c r="A75" s="4" t="s">
        <v>156</v>
      </c>
      <c r="B75" s="4">
        <f>VLOOKUP($A75,[1]彩含分析60315!$A:$M,8,0)</f>
        <v>53</v>
      </c>
      <c r="C75" s="4">
        <f>VLOOKUP($A75,[1]彩含分析60315!$A:$M,9,0)</f>
        <v>51</v>
      </c>
      <c r="D75" s="4">
        <f>VLOOKUP($A75,[1]彩含分析60315!$A:$M,10,0)</f>
        <v>49</v>
      </c>
      <c r="E75" s="4">
        <f>VLOOKUP($A75,[1]彩含分析60315!$A:$M,11,0)</f>
        <v>47</v>
      </c>
      <c r="F75" s="4">
        <f>VLOOKUP($A75,[1]彩含分析60315!$A:$M,12,0)</f>
        <v>45</v>
      </c>
      <c r="G75" s="4">
        <f>VLOOKUP($A75,[1]彩含分析60315!$A:$M,13,0)</f>
        <v>43</v>
      </c>
      <c r="H75" s="4" t="s">
        <v>10</v>
      </c>
      <c r="I75" s="3" t="s">
        <v>157</v>
      </c>
    </row>
    <row r="76" customHeight="1" spans="1:9">
      <c r="A76" s="4" t="s">
        <v>158</v>
      </c>
      <c r="B76" s="4">
        <f>VLOOKUP($A76,[1]彩含分析60315!$A:$M,8,0)</f>
        <v>38</v>
      </c>
      <c r="C76" s="4">
        <f>VLOOKUP($A76,[1]彩含分析60315!$A:$M,9,0)</f>
        <v>37</v>
      </c>
      <c r="D76" s="4">
        <f>VLOOKUP($A76,[1]彩含分析60315!$A:$M,10,0)</f>
        <v>35</v>
      </c>
      <c r="E76" s="4">
        <f>VLOOKUP($A76,[1]彩含分析60315!$A:$M,11,0)</f>
        <v>34</v>
      </c>
      <c r="F76" s="4">
        <f>VLOOKUP($A76,[1]彩含分析60315!$A:$M,12,0)</f>
        <v>33</v>
      </c>
      <c r="G76" s="4">
        <f>VLOOKUP($A76,[1]彩含分析60315!$A:$M,13,0)</f>
        <v>31</v>
      </c>
      <c r="H76" s="4" t="s">
        <v>10</v>
      </c>
      <c r="I76" s="3" t="s">
        <v>159</v>
      </c>
    </row>
    <row r="77" customHeight="1" spans="1:9">
      <c r="A77" s="4" t="s">
        <v>160</v>
      </c>
      <c r="B77" s="4">
        <f>VLOOKUP($A77,[1]彩含分析60315!$A:$M,8,0)</f>
        <v>28</v>
      </c>
      <c r="C77" s="4">
        <f>VLOOKUP($A77,[1]彩含分析60315!$A:$M,9,0)</f>
        <v>27</v>
      </c>
      <c r="D77" s="4">
        <f>VLOOKUP($A77,[1]彩含分析60315!$A:$M,10,0)</f>
        <v>26</v>
      </c>
      <c r="E77" s="4">
        <f>VLOOKUP($A77,[1]彩含分析60315!$A:$M,11,0)</f>
        <v>25</v>
      </c>
      <c r="F77" s="4">
        <f>VLOOKUP($A77,[1]彩含分析60315!$A:$M,12,0)</f>
        <v>24</v>
      </c>
      <c r="G77" s="4">
        <f>VLOOKUP($A77,[1]彩含分析60315!$A:$M,13,0)</f>
        <v>23</v>
      </c>
      <c r="H77" s="4" t="s">
        <v>10</v>
      </c>
      <c r="I77" s="3" t="s">
        <v>161</v>
      </c>
    </row>
    <row r="78" customHeight="1" spans="1:9">
      <c r="A78" s="4" t="s">
        <v>162</v>
      </c>
      <c r="B78" s="4">
        <f>VLOOKUP($A78,[1]彩含分析60315!$A:$M,8,0)</f>
        <v>32</v>
      </c>
      <c r="C78" s="4">
        <f>VLOOKUP($A78,[1]彩含分析60315!$A:$M,9,0)</f>
        <v>30</v>
      </c>
      <c r="D78" s="4">
        <f>VLOOKUP($A78,[1]彩含分析60315!$A:$M,10,0)</f>
        <v>29</v>
      </c>
      <c r="E78" s="4">
        <f>VLOOKUP($A78,[1]彩含分析60315!$A:$M,11,0)</f>
        <v>28</v>
      </c>
      <c r="F78" s="4">
        <f>VLOOKUP($A78,[1]彩含分析60315!$A:$M,12,0)</f>
        <v>27</v>
      </c>
      <c r="G78" s="4">
        <f>VLOOKUP($A78,[1]彩含分析60315!$A:$M,13,0)</f>
        <v>26</v>
      </c>
      <c r="H78" s="4" t="s">
        <v>10</v>
      </c>
      <c r="I78" s="3" t="s">
        <v>163</v>
      </c>
    </row>
    <row r="79" customHeight="1" spans="1:9">
      <c r="A79" s="4" t="s">
        <v>164</v>
      </c>
      <c r="B79" s="4">
        <f>VLOOKUP($A79,[1]彩含分析60315!$A:$M,8,0)</f>
        <v>146</v>
      </c>
      <c r="C79" s="4">
        <f>VLOOKUP($A79,[1]彩含分析60315!$A:$M,9,0)</f>
        <v>141</v>
      </c>
      <c r="D79" s="4">
        <f>VLOOKUP($A79,[1]彩含分析60315!$A:$M,10,0)</f>
        <v>136</v>
      </c>
      <c r="E79" s="4">
        <f>VLOOKUP($A79,[1]彩含分析60315!$A:$M,11,0)</f>
        <v>130</v>
      </c>
      <c r="F79" s="4">
        <f>VLOOKUP($A79,[1]彩含分析60315!$A:$M,12,0)</f>
        <v>125</v>
      </c>
      <c r="G79" s="4">
        <f>VLOOKUP($A79,[1]彩含分析60315!$A:$M,13,0)</f>
        <v>119</v>
      </c>
      <c r="H79" s="4" t="s">
        <v>10</v>
      </c>
      <c r="I79" s="3" t="s">
        <v>165</v>
      </c>
    </row>
    <row r="80" customHeight="1" spans="1:9">
      <c r="A80" s="4" t="s">
        <v>166</v>
      </c>
      <c r="B80" s="4">
        <f>VLOOKUP($A80,[1]彩含分析60315!$A:$M,8,0)</f>
        <v>32</v>
      </c>
      <c r="C80" s="4">
        <f>VLOOKUP($A80,[1]彩含分析60315!$A:$M,9,0)</f>
        <v>31</v>
      </c>
      <c r="D80" s="4">
        <f>VLOOKUP($A80,[1]彩含分析60315!$A:$M,10,0)</f>
        <v>30</v>
      </c>
      <c r="E80" s="4">
        <f>VLOOKUP($A80,[1]彩含分析60315!$A:$M,11,0)</f>
        <v>29</v>
      </c>
      <c r="F80" s="4">
        <f>VLOOKUP($A80,[1]彩含分析60315!$A:$M,12,0)</f>
        <v>27</v>
      </c>
      <c r="G80" s="4">
        <f>VLOOKUP($A80,[1]彩含分析60315!$A:$M,13,0)</f>
        <v>26</v>
      </c>
      <c r="H80" s="4" t="s">
        <v>10</v>
      </c>
      <c r="I80" s="3" t="s">
        <v>167</v>
      </c>
    </row>
    <row r="81" customHeight="1" spans="1:9">
      <c r="A81" s="4" t="s">
        <v>168</v>
      </c>
      <c r="B81" s="4">
        <f>VLOOKUP($A81,[1]彩含分析60315!$A:$M,8,0)</f>
        <v>39</v>
      </c>
      <c r="C81" s="4">
        <f>VLOOKUP($A81,[1]彩含分析60315!$A:$M,9,0)</f>
        <v>37</v>
      </c>
      <c r="D81" s="4">
        <f>VLOOKUP($A81,[1]彩含分析60315!$A:$M,10,0)</f>
        <v>36</v>
      </c>
      <c r="E81" s="4">
        <f>VLOOKUP($A81,[1]彩含分析60315!$A:$M,11,0)</f>
        <v>35</v>
      </c>
      <c r="F81" s="4">
        <f>VLOOKUP($A81,[1]彩含分析60315!$A:$M,12,0)</f>
        <v>33</v>
      </c>
      <c r="G81" s="4">
        <f>VLOOKUP($A81,[1]彩含分析60315!$A:$M,13,0)</f>
        <v>32</v>
      </c>
      <c r="H81" s="4" t="s">
        <v>10</v>
      </c>
      <c r="I81" s="3" t="s">
        <v>169</v>
      </c>
    </row>
    <row r="82" customHeight="1" spans="1:9">
      <c r="A82" s="4" t="s">
        <v>170</v>
      </c>
      <c r="B82" s="4">
        <f>VLOOKUP($A82,[1]彩含分析60315!$A:$M,8,0)</f>
        <v>49</v>
      </c>
      <c r="C82" s="4">
        <f>VLOOKUP($A82,[1]彩含分析60315!$A:$M,9,0)</f>
        <v>48</v>
      </c>
      <c r="D82" s="4">
        <f>VLOOKUP($A82,[1]彩含分析60315!$A:$M,10,0)</f>
        <v>47</v>
      </c>
      <c r="E82" s="4">
        <f>VLOOKUP($A82,[1]彩含分析60315!$A:$M,11,0)</f>
        <v>46</v>
      </c>
      <c r="F82" s="4">
        <f>VLOOKUP($A82,[1]彩含分析60315!$A:$M,12,0)</f>
        <v>46</v>
      </c>
      <c r="G82" s="4">
        <f>VLOOKUP($A82,[1]彩含分析60315!$A:$M,13,0)</f>
        <v>45</v>
      </c>
      <c r="H82" s="4" t="s">
        <v>39</v>
      </c>
      <c r="I82" s="3" t="s">
        <v>171</v>
      </c>
    </row>
    <row r="83" customHeight="1" spans="1:9">
      <c r="A83" s="4" t="s">
        <v>172</v>
      </c>
      <c r="B83" s="4">
        <f>VLOOKUP($A83,[1]彩含分析60315!$A:$M,8,0)</f>
        <v>43</v>
      </c>
      <c r="C83" s="4">
        <f>VLOOKUP($A83,[1]彩含分析60315!$A:$M,9,0)</f>
        <v>42</v>
      </c>
      <c r="D83" s="4">
        <f>VLOOKUP($A83,[1]彩含分析60315!$A:$M,10,0)</f>
        <v>40</v>
      </c>
      <c r="E83" s="4">
        <f>VLOOKUP($A83,[1]彩含分析60315!$A:$M,11,0)</f>
        <v>39</v>
      </c>
      <c r="F83" s="4">
        <f>VLOOKUP($A83,[1]彩含分析60315!$A:$M,12,0)</f>
        <v>37</v>
      </c>
      <c r="G83" s="4">
        <f>VLOOKUP($A83,[1]彩含分析60315!$A:$M,13,0)</f>
        <v>35</v>
      </c>
      <c r="H83" s="4" t="s">
        <v>10</v>
      </c>
      <c r="I83" s="3" t="s">
        <v>173</v>
      </c>
    </row>
    <row r="84" customHeight="1" spans="1:9">
      <c r="A84" s="4" t="s">
        <v>174</v>
      </c>
      <c r="B84" s="4">
        <f>VLOOKUP($A84,[1]彩含分析60315!$A:$M,8,0)</f>
        <v>36</v>
      </c>
      <c r="C84" s="4">
        <f>VLOOKUP($A84,[1]彩含分析60315!$A:$M,9,0)</f>
        <v>35</v>
      </c>
      <c r="D84" s="4">
        <f>VLOOKUP($A84,[1]彩含分析60315!$A:$M,10,0)</f>
        <v>34</v>
      </c>
      <c r="E84" s="4">
        <f>VLOOKUP($A84,[1]彩含分析60315!$A:$M,11,0)</f>
        <v>32</v>
      </c>
      <c r="F84" s="4">
        <f>VLOOKUP($A84,[1]彩含分析60315!$A:$M,12,0)</f>
        <v>31</v>
      </c>
      <c r="G84" s="4">
        <f>VLOOKUP($A84,[1]彩含分析60315!$A:$M,13,0)</f>
        <v>30</v>
      </c>
      <c r="H84" s="4" t="s">
        <v>10</v>
      </c>
      <c r="I84" s="3" t="s">
        <v>175</v>
      </c>
    </row>
    <row r="85" customHeight="1" spans="1:9">
      <c r="A85" s="4" t="s">
        <v>176</v>
      </c>
      <c r="B85" s="4">
        <f>VLOOKUP($A85,[1]彩含分析60315!$A:$M,8,0)</f>
        <v>49</v>
      </c>
      <c r="C85" s="4">
        <f>VLOOKUP($A85,[1]彩含分析60315!$A:$M,9,0)</f>
        <v>48</v>
      </c>
      <c r="D85" s="4">
        <f>VLOOKUP($A85,[1]彩含分析60315!$A:$M,10,0)</f>
        <v>47</v>
      </c>
      <c r="E85" s="4">
        <f>VLOOKUP($A85,[1]彩含分析60315!$A:$M,11,0)</f>
        <v>46</v>
      </c>
      <c r="F85" s="4">
        <f>VLOOKUP($A85,[1]彩含分析60315!$A:$M,12,0)</f>
        <v>46</v>
      </c>
      <c r="G85" s="4">
        <f>VLOOKUP($A85,[1]彩含分析60315!$A:$M,13,0)</f>
        <v>45</v>
      </c>
      <c r="H85" s="4" t="s">
        <v>39</v>
      </c>
      <c r="I85" s="3" t="s">
        <v>177</v>
      </c>
    </row>
    <row r="86" customHeight="1" spans="1:9">
      <c r="A86" s="4" t="s">
        <v>178</v>
      </c>
      <c r="B86" s="4">
        <f>VLOOKUP($A86,[1]彩含分析60315!$A:$M,8,0)</f>
        <v>36</v>
      </c>
      <c r="C86" s="4">
        <f>VLOOKUP($A86,[1]彩含分析60315!$A:$M,9,0)</f>
        <v>34</v>
      </c>
      <c r="D86" s="4">
        <f>VLOOKUP($A86,[1]彩含分析60315!$A:$M,10,0)</f>
        <v>33</v>
      </c>
      <c r="E86" s="4">
        <f>VLOOKUP($A86,[1]彩含分析60315!$A:$M,11,0)</f>
        <v>32</v>
      </c>
      <c r="F86" s="4">
        <f>VLOOKUP($A86,[1]彩含分析60315!$A:$M,12,0)</f>
        <v>30</v>
      </c>
      <c r="G86" s="4">
        <f>VLOOKUP($A86,[1]彩含分析60315!$A:$M,13,0)</f>
        <v>29</v>
      </c>
      <c r="H86" s="4" t="s">
        <v>10</v>
      </c>
      <c r="I86" s="3" t="s">
        <v>179</v>
      </c>
    </row>
    <row r="87" customHeight="1" spans="1:9">
      <c r="A87" s="4" t="s">
        <v>180</v>
      </c>
      <c r="B87" s="4">
        <f>VLOOKUP($A87,[1]彩含分析60315!$A:$M,8,0)</f>
        <v>33</v>
      </c>
      <c r="C87" s="4">
        <f>VLOOKUP($A87,[1]彩含分析60315!$A:$M,9,0)</f>
        <v>32</v>
      </c>
      <c r="D87" s="4">
        <f>VLOOKUP($A87,[1]彩含分析60315!$A:$M,10,0)</f>
        <v>31</v>
      </c>
      <c r="E87" s="4">
        <f>VLOOKUP($A87,[1]彩含分析60315!$A:$M,11,0)</f>
        <v>30</v>
      </c>
      <c r="F87" s="4">
        <f>VLOOKUP($A87,[1]彩含分析60315!$A:$M,12,0)</f>
        <v>28</v>
      </c>
      <c r="G87" s="4">
        <f>VLOOKUP($A87,[1]彩含分析60315!$A:$M,13,0)</f>
        <v>27</v>
      </c>
      <c r="H87" s="4" t="s">
        <v>10</v>
      </c>
      <c r="I87" s="3" t="s">
        <v>181</v>
      </c>
    </row>
    <row r="88" customHeight="1" spans="1:9">
      <c r="A88" s="4" t="s">
        <v>182</v>
      </c>
      <c r="B88" s="4">
        <f>VLOOKUP($A88,[1]彩含分析60315!$A:$M,8,0)</f>
        <v>43</v>
      </c>
      <c r="C88" s="4">
        <f>VLOOKUP($A88,[1]彩含分析60315!$A:$M,9,0)</f>
        <v>42</v>
      </c>
      <c r="D88" s="4">
        <f>VLOOKUP($A88,[1]彩含分析60315!$A:$M,10,0)</f>
        <v>40</v>
      </c>
      <c r="E88" s="4">
        <f>VLOOKUP($A88,[1]彩含分析60315!$A:$M,11,0)</f>
        <v>39</v>
      </c>
      <c r="F88" s="4">
        <f>VLOOKUP($A88,[1]彩含分析60315!$A:$M,12,0)</f>
        <v>37</v>
      </c>
      <c r="G88" s="4">
        <f>VLOOKUP($A88,[1]彩含分析60315!$A:$M,13,0)</f>
        <v>35</v>
      </c>
      <c r="H88" s="4" t="s">
        <v>10</v>
      </c>
      <c r="I88" s="3" t="s">
        <v>183</v>
      </c>
    </row>
    <row r="89" customHeight="1" spans="1:9">
      <c r="A89" s="4" t="s">
        <v>184</v>
      </c>
      <c r="B89" s="4">
        <f>VLOOKUP($A89,[1]彩含分析60315!$A:$M,8,0)</f>
        <v>44</v>
      </c>
      <c r="C89" s="4">
        <f>VLOOKUP($A89,[1]彩含分析60315!$A:$M,9,0)</f>
        <v>42</v>
      </c>
      <c r="D89" s="4">
        <f>VLOOKUP($A89,[1]彩含分析60315!$A:$M,10,0)</f>
        <v>41</v>
      </c>
      <c r="E89" s="4">
        <f>VLOOKUP($A89,[1]彩含分析60315!$A:$M,11,0)</f>
        <v>39</v>
      </c>
      <c r="F89" s="4">
        <f>VLOOKUP($A89,[1]彩含分析60315!$A:$M,12,0)</f>
        <v>38</v>
      </c>
      <c r="G89" s="4">
        <f>VLOOKUP($A89,[1]彩含分析60315!$A:$M,13,0)</f>
        <v>36</v>
      </c>
      <c r="H89" s="4" t="s">
        <v>10</v>
      </c>
      <c r="I89" s="3" t="s">
        <v>185</v>
      </c>
    </row>
    <row r="90" customHeight="1" spans="1:9">
      <c r="A90" s="4" t="s">
        <v>186</v>
      </c>
      <c r="B90" s="4">
        <f>VLOOKUP($A90,[1]彩含分析60315!$A:$M,8,0)</f>
        <v>39</v>
      </c>
      <c r="C90" s="4">
        <f>VLOOKUP($A90,[1]彩含分析60315!$A:$M,9,0)</f>
        <v>38</v>
      </c>
      <c r="D90" s="4">
        <f>VLOOKUP($A90,[1]彩含分析60315!$A:$M,10,0)</f>
        <v>36</v>
      </c>
      <c r="E90" s="4">
        <f>VLOOKUP($A90,[1]彩含分析60315!$A:$M,11,0)</f>
        <v>35</v>
      </c>
      <c r="F90" s="4">
        <f>VLOOKUP($A90,[1]彩含分析60315!$A:$M,12,0)</f>
        <v>34</v>
      </c>
      <c r="G90" s="4">
        <f>VLOOKUP($A90,[1]彩含分析60315!$A:$M,13,0)</f>
        <v>32</v>
      </c>
      <c r="H90" s="4" t="s">
        <v>10</v>
      </c>
      <c r="I90" s="3" t="s">
        <v>187</v>
      </c>
    </row>
    <row r="91" customHeight="1" spans="1:9">
      <c r="A91" s="4" t="s">
        <v>188</v>
      </c>
      <c r="B91" s="4">
        <f>VLOOKUP($A91,[1]彩含分析60315!$A:$M,8,0)</f>
        <v>35</v>
      </c>
      <c r="C91" s="4">
        <f>VLOOKUP($A91,[1]彩含分析60315!$A:$M,9,0)</f>
        <v>33</v>
      </c>
      <c r="D91" s="4">
        <f>VLOOKUP($A91,[1]彩含分析60315!$A:$M,10,0)</f>
        <v>32</v>
      </c>
      <c r="E91" s="4">
        <f>VLOOKUP($A91,[1]彩含分析60315!$A:$M,11,0)</f>
        <v>31</v>
      </c>
      <c r="F91" s="4">
        <f>VLOOKUP($A91,[1]彩含分析60315!$A:$M,12,0)</f>
        <v>29</v>
      </c>
      <c r="G91" s="4">
        <f>VLOOKUP($A91,[1]彩含分析60315!$A:$M,13,0)</f>
        <v>28</v>
      </c>
      <c r="H91" s="4" t="s">
        <v>10</v>
      </c>
      <c r="I91" s="3" t="s">
        <v>189</v>
      </c>
    </row>
    <row r="92" customHeight="1" spans="1:9">
      <c r="A92" s="4" t="s">
        <v>190</v>
      </c>
      <c r="B92" s="4">
        <f>VLOOKUP($A92,[1]彩含分析60315!$A:$M,8,0)</f>
        <v>49</v>
      </c>
      <c r="C92" s="4">
        <f>VLOOKUP($A92,[1]彩含分析60315!$A:$M,9,0)</f>
        <v>48</v>
      </c>
      <c r="D92" s="4">
        <f>VLOOKUP($A92,[1]彩含分析60315!$A:$M,10,0)</f>
        <v>46</v>
      </c>
      <c r="E92" s="4">
        <f>VLOOKUP($A92,[1]彩含分析60315!$A:$M,11,0)</f>
        <v>44</v>
      </c>
      <c r="F92" s="4">
        <f>VLOOKUP($A92,[1]彩含分析60315!$A:$M,12,0)</f>
        <v>42</v>
      </c>
      <c r="G92" s="4">
        <f>VLOOKUP($A92,[1]彩含分析60315!$A:$M,13,0)</f>
        <v>40</v>
      </c>
      <c r="H92" s="4" t="s">
        <v>10</v>
      </c>
      <c r="I92" s="3" t="s">
        <v>191</v>
      </c>
    </row>
    <row r="93" customHeight="1" spans="1:9">
      <c r="A93" s="4" t="s">
        <v>192</v>
      </c>
      <c r="B93" s="4">
        <f>VLOOKUP($A93,[1]彩含分析60315!$A:$M,8,0)</f>
        <v>41</v>
      </c>
      <c r="C93" s="4">
        <f>VLOOKUP($A93,[1]彩含分析60315!$A:$M,9,0)</f>
        <v>39</v>
      </c>
      <c r="D93" s="4">
        <f>VLOOKUP($A93,[1]彩含分析60315!$A:$M,10,0)</f>
        <v>38</v>
      </c>
      <c r="E93" s="4">
        <f>VLOOKUP($A93,[1]彩含分析60315!$A:$M,11,0)</f>
        <v>36</v>
      </c>
      <c r="F93" s="4">
        <f>VLOOKUP($A93,[1]彩含分析60315!$A:$M,12,0)</f>
        <v>35</v>
      </c>
      <c r="G93" s="4">
        <f>VLOOKUP($A93,[1]彩含分析60315!$A:$M,13,0)</f>
        <v>33</v>
      </c>
      <c r="H93" s="4" t="s">
        <v>10</v>
      </c>
      <c r="I93" s="3" t="s">
        <v>193</v>
      </c>
    </row>
    <row r="94" customHeight="1" spans="1:9">
      <c r="A94" s="4" t="s">
        <v>194</v>
      </c>
      <c r="B94" s="4">
        <f>VLOOKUP($A94,[1]彩含分析60315!$A:$M,8,0)</f>
        <v>34</v>
      </c>
      <c r="C94" s="4">
        <f>VLOOKUP($A94,[1]彩含分析60315!$A:$M,9,0)</f>
        <v>33</v>
      </c>
      <c r="D94" s="4">
        <f>VLOOKUP($A94,[1]彩含分析60315!$A:$M,10,0)</f>
        <v>31</v>
      </c>
      <c r="E94" s="4">
        <f>VLOOKUP($A94,[1]彩含分析60315!$A:$M,11,0)</f>
        <v>30</v>
      </c>
      <c r="F94" s="4">
        <f>VLOOKUP($A94,[1]彩含分析60315!$A:$M,12,0)</f>
        <v>29</v>
      </c>
      <c r="G94" s="4">
        <f>VLOOKUP($A94,[1]彩含分析60315!$A:$M,13,0)</f>
        <v>28</v>
      </c>
      <c r="H94" s="4" t="s">
        <v>10</v>
      </c>
      <c r="I94" s="3" t="s">
        <v>195</v>
      </c>
    </row>
    <row r="95" customHeight="1" spans="1:9">
      <c r="A95" s="4" t="s">
        <v>196</v>
      </c>
      <c r="B95" s="4">
        <f>VLOOKUP($A95,[1]彩含分析60315!$A:$M,8,0)</f>
        <v>40</v>
      </c>
      <c r="C95" s="4">
        <f>VLOOKUP($A95,[1]彩含分析60315!$A:$M,9,0)</f>
        <v>38</v>
      </c>
      <c r="D95" s="4">
        <f>VLOOKUP($A95,[1]彩含分析60315!$A:$M,10,0)</f>
        <v>37</v>
      </c>
      <c r="E95" s="4">
        <f>VLOOKUP($A95,[1]彩含分析60315!$A:$M,11,0)</f>
        <v>35</v>
      </c>
      <c r="F95" s="4">
        <f>VLOOKUP($A95,[1]彩含分析60315!$A:$M,12,0)</f>
        <v>34</v>
      </c>
      <c r="G95" s="4">
        <f>VLOOKUP($A95,[1]彩含分析60315!$A:$M,13,0)</f>
        <v>32</v>
      </c>
      <c r="H95" s="4" t="s">
        <v>10</v>
      </c>
      <c r="I95" s="3" t="s">
        <v>197</v>
      </c>
    </row>
    <row r="96" customHeight="1" spans="1:9">
      <c r="A96" s="4" t="s">
        <v>198</v>
      </c>
      <c r="B96" s="4">
        <f>VLOOKUP($A96,[1]彩含分析60315!$A:$M,8,0)</f>
        <v>36</v>
      </c>
      <c r="C96" s="4">
        <f>VLOOKUP($A96,[1]彩含分析60315!$A:$M,9,0)</f>
        <v>35</v>
      </c>
      <c r="D96" s="4">
        <f>VLOOKUP($A96,[1]彩含分析60315!$A:$M,10,0)</f>
        <v>34</v>
      </c>
      <c r="E96" s="4">
        <f>VLOOKUP($A96,[1]彩含分析60315!$A:$M,11,0)</f>
        <v>32</v>
      </c>
      <c r="F96" s="4">
        <f>VLOOKUP($A96,[1]彩含分析60315!$A:$M,12,0)</f>
        <v>31</v>
      </c>
      <c r="G96" s="4">
        <f>VLOOKUP($A96,[1]彩含分析60315!$A:$M,13,0)</f>
        <v>30</v>
      </c>
      <c r="H96" s="4" t="s">
        <v>10</v>
      </c>
      <c r="I96" s="3" t="s">
        <v>199</v>
      </c>
    </row>
    <row r="97" customHeight="1" spans="1:9">
      <c r="A97" s="4" t="s">
        <v>200</v>
      </c>
      <c r="B97" s="4">
        <f>VLOOKUP($A97,[1]彩含分析60315!$A:$M,8,0)</f>
        <v>43</v>
      </c>
      <c r="C97" s="4">
        <f>VLOOKUP($A97,[1]彩含分析60315!$A:$M,9,0)</f>
        <v>42</v>
      </c>
      <c r="D97" s="4">
        <f>VLOOKUP($A97,[1]彩含分析60315!$A:$M,10,0)</f>
        <v>40</v>
      </c>
      <c r="E97" s="4">
        <f>VLOOKUP($A97,[1]彩含分析60315!$A:$M,11,0)</f>
        <v>38</v>
      </c>
      <c r="F97" s="4">
        <f>VLOOKUP($A97,[1]彩含分析60315!$A:$M,12,0)</f>
        <v>37</v>
      </c>
      <c r="G97" s="4">
        <f>VLOOKUP($A97,[1]彩含分析60315!$A:$M,13,0)</f>
        <v>35</v>
      </c>
      <c r="H97" s="4" t="s">
        <v>10</v>
      </c>
      <c r="I97" s="3" t="s">
        <v>201</v>
      </c>
    </row>
    <row r="98" customHeight="1" spans="1:9">
      <c r="A98" s="4" t="s">
        <v>202</v>
      </c>
      <c r="B98" s="4">
        <f>VLOOKUP($A98,[1]彩含分析60315!$A:$M,8,0)</f>
        <v>46</v>
      </c>
      <c r="C98" s="4">
        <f>VLOOKUP($A98,[1]彩含分析60315!$A:$M,9,0)</f>
        <v>45</v>
      </c>
      <c r="D98" s="4">
        <f>VLOOKUP($A98,[1]彩含分析60315!$A:$M,10,0)</f>
        <v>43</v>
      </c>
      <c r="E98" s="4">
        <f>VLOOKUP($A98,[1]彩含分析60315!$A:$M,11,0)</f>
        <v>41</v>
      </c>
      <c r="F98" s="4">
        <f>VLOOKUP($A98,[1]彩含分析60315!$A:$M,12,0)</f>
        <v>40</v>
      </c>
      <c r="G98" s="4">
        <f>VLOOKUP($A98,[1]彩含分析60315!$A:$M,13,0)</f>
        <v>38</v>
      </c>
      <c r="H98" s="4" t="s">
        <v>10</v>
      </c>
      <c r="I98" s="3" t="s">
        <v>203</v>
      </c>
    </row>
    <row r="99" customHeight="1" spans="1:9">
      <c r="A99" s="4" t="s">
        <v>204</v>
      </c>
      <c r="B99" s="4">
        <f>VLOOKUP($A99,[1]彩含分析60315!$A:$M,8,0)</f>
        <v>31</v>
      </c>
      <c r="C99" s="4">
        <f>VLOOKUP($A99,[1]彩含分析60315!$A:$M,9,0)</f>
        <v>29</v>
      </c>
      <c r="D99" s="4">
        <f>VLOOKUP($A99,[1]彩含分析60315!$A:$M,10,0)</f>
        <v>28</v>
      </c>
      <c r="E99" s="4">
        <f>VLOOKUP($A99,[1]彩含分析60315!$A:$M,11,0)</f>
        <v>27</v>
      </c>
      <c r="F99" s="4">
        <f>VLOOKUP($A99,[1]彩含分析60315!$A:$M,12,0)</f>
        <v>26</v>
      </c>
      <c r="G99" s="4">
        <f>VLOOKUP($A99,[1]彩含分析60315!$A:$M,13,0)</f>
        <v>25</v>
      </c>
      <c r="H99" s="4" t="s">
        <v>10</v>
      </c>
      <c r="I99" s="3" t="s">
        <v>205</v>
      </c>
    </row>
    <row r="100" customHeight="1" spans="1:9">
      <c r="A100" s="4" t="s">
        <v>206</v>
      </c>
      <c r="B100" s="4">
        <f>VLOOKUP($A100,[1]彩含分析60315!$A:$M,8,0)</f>
        <v>36</v>
      </c>
      <c r="C100" s="4">
        <f>VLOOKUP($A100,[1]彩含分析60315!$A:$M,9,0)</f>
        <v>35</v>
      </c>
      <c r="D100" s="4">
        <f>VLOOKUP($A100,[1]彩含分析60315!$A:$M,10,0)</f>
        <v>34</v>
      </c>
      <c r="E100" s="4">
        <f>VLOOKUP($A100,[1]彩含分析60315!$A:$M,11,0)</f>
        <v>32</v>
      </c>
      <c r="F100" s="4">
        <f>VLOOKUP($A100,[1]彩含分析60315!$A:$M,12,0)</f>
        <v>31</v>
      </c>
      <c r="G100" s="4">
        <f>VLOOKUP($A100,[1]彩含分析60315!$A:$M,13,0)</f>
        <v>30</v>
      </c>
      <c r="H100" s="4" t="s">
        <v>10</v>
      </c>
      <c r="I100" s="3" t="s">
        <v>207</v>
      </c>
    </row>
    <row r="101" customHeight="1" spans="1:9">
      <c r="A101" s="4" t="s">
        <v>208</v>
      </c>
      <c r="B101" s="4">
        <f>VLOOKUP($A101,[1]彩含分析60315!$A:$M,8,0)</f>
        <v>32</v>
      </c>
      <c r="C101" s="4">
        <f>VLOOKUP($A101,[1]彩含分析60315!$A:$M,9,0)</f>
        <v>31</v>
      </c>
      <c r="D101" s="4">
        <f>VLOOKUP($A101,[1]彩含分析60315!$A:$M,10,0)</f>
        <v>30</v>
      </c>
      <c r="E101" s="4">
        <f>VLOOKUP($A101,[1]彩含分析60315!$A:$M,11,0)</f>
        <v>28</v>
      </c>
      <c r="F101" s="4">
        <f>VLOOKUP($A101,[1]彩含分析60315!$A:$M,12,0)</f>
        <v>27</v>
      </c>
      <c r="G101" s="4">
        <f>VLOOKUP($A101,[1]彩含分析60315!$A:$M,13,0)</f>
        <v>26</v>
      </c>
      <c r="H101" s="4" t="s">
        <v>10</v>
      </c>
      <c r="I101" s="3" t="s">
        <v>209</v>
      </c>
    </row>
    <row r="102" customHeight="1" spans="1:9">
      <c r="A102" s="4" t="s">
        <v>210</v>
      </c>
      <c r="B102" s="4">
        <f>VLOOKUP($A102,[1]彩含分析60315!$A:$M,8,0)</f>
        <v>38</v>
      </c>
      <c r="C102" s="4">
        <f>VLOOKUP($A102,[1]彩含分析60315!$A:$M,9,0)</f>
        <v>37</v>
      </c>
      <c r="D102" s="4">
        <f>VLOOKUP($A102,[1]彩含分析60315!$A:$M,10,0)</f>
        <v>35</v>
      </c>
      <c r="E102" s="4">
        <f>VLOOKUP($A102,[1]彩含分析60315!$A:$M,11,0)</f>
        <v>34</v>
      </c>
      <c r="F102" s="4">
        <f>VLOOKUP($A102,[1]彩含分析60315!$A:$M,12,0)</f>
        <v>33</v>
      </c>
      <c r="G102" s="4">
        <f>VLOOKUP($A102,[1]彩含分析60315!$A:$M,13,0)</f>
        <v>31</v>
      </c>
      <c r="H102" s="4" t="s">
        <v>10</v>
      </c>
      <c r="I102" s="3" t="s">
        <v>211</v>
      </c>
    </row>
    <row r="103" customHeight="1" spans="1:9">
      <c r="A103" s="4" t="s">
        <v>212</v>
      </c>
      <c r="B103" s="4">
        <f>VLOOKUP($A103,[1]彩含分析60315!$A:$M,8,0)</f>
        <v>32</v>
      </c>
      <c r="C103" s="4">
        <f>VLOOKUP($A103,[1]彩含分析60315!$A:$M,9,0)</f>
        <v>31</v>
      </c>
      <c r="D103" s="4">
        <f>VLOOKUP($A103,[1]彩含分析60315!$A:$M,10,0)</f>
        <v>30</v>
      </c>
      <c r="E103" s="4">
        <f>VLOOKUP($A103,[1]彩含分析60315!$A:$M,11,0)</f>
        <v>29</v>
      </c>
      <c r="F103" s="4">
        <f>VLOOKUP($A103,[1]彩含分析60315!$A:$M,12,0)</f>
        <v>27</v>
      </c>
      <c r="G103" s="4">
        <f>VLOOKUP($A103,[1]彩含分析60315!$A:$M,13,0)</f>
        <v>26</v>
      </c>
      <c r="H103" s="4" t="s">
        <v>10</v>
      </c>
      <c r="I103" s="3" t="s">
        <v>213</v>
      </c>
    </row>
    <row r="104" customHeight="1" spans="1:9">
      <c r="A104" s="4" t="s">
        <v>214</v>
      </c>
      <c r="B104" s="4">
        <f>VLOOKUP($A104,[1]彩含分析60315!$A:$M,8,0)</f>
        <v>30</v>
      </c>
      <c r="C104" s="4">
        <f>VLOOKUP($A104,[1]彩含分析60315!$A:$M,9,0)</f>
        <v>29</v>
      </c>
      <c r="D104" s="4">
        <f>VLOOKUP($A104,[1]彩含分析60315!$A:$M,10,0)</f>
        <v>28</v>
      </c>
      <c r="E104" s="4">
        <f>VLOOKUP($A104,[1]彩含分析60315!$A:$M,11,0)</f>
        <v>27</v>
      </c>
      <c r="F104" s="4">
        <f>VLOOKUP($A104,[1]彩含分析60315!$A:$M,12,0)</f>
        <v>26</v>
      </c>
      <c r="G104" s="4">
        <f>VLOOKUP($A104,[1]彩含分析60315!$A:$M,13,0)</f>
        <v>24</v>
      </c>
      <c r="H104" s="4" t="s">
        <v>10</v>
      </c>
      <c r="I104" s="3" t="s">
        <v>215</v>
      </c>
    </row>
    <row r="105" customHeight="1" spans="1:9">
      <c r="A105" s="4" t="s">
        <v>216</v>
      </c>
      <c r="B105" s="4">
        <f>VLOOKUP($A105,[1]彩含分析60315!$A:$M,8,0)</f>
        <v>35</v>
      </c>
      <c r="C105" s="4">
        <f>VLOOKUP($A105,[1]彩含分析60315!$A:$M,9,0)</f>
        <v>34</v>
      </c>
      <c r="D105" s="4">
        <f>VLOOKUP($A105,[1]彩含分析60315!$A:$M,10,0)</f>
        <v>33</v>
      </c>
      <c r="E105" s="4">
        <f>VLOOKUP($A105,[1]彩含分析60315!$A:$M,11,0)</f>
        <v>31</v>
      </c>
      <c r="F105" s="4">
        <f>VLOOKUP($A105,[1]彩含分析60315!$A:$M,12,0)</f>
        <v>30</v>
      </c>
      <c r="G105" s="4">
        <f>VLOOKUP($A105,[1]彩含分析60315!$A:$M,13,0)</f>
        <v>29</v>
      </c>
      <c r="H105" s="4" t="s">
        <v>10</v>
      </c>
      <c r="I105" s="3" t="s">
        <v>217</v>
      </c>
    </row>
    <row r="106" customHeight="1" spans="1:9">
      <c r="A106" s="4" t="s">
        <v>218</v>
      </c>
      <c r="B106" s="4">
        <f>VLOOKUP($A106,[1]彩含分析60315!$A:$M,8,0)</f>
        <v>34</v>
      </c>
      <c r="C106" s="4">
        <f>VLOOKUP($A106,[1]彩含分析60315!$A:$M,9,0)</f>
        <v>33</v>
      </c>
      <c r="D106" s="4">
        <f>VLOOKUP($A106,[1]彩含分析60315!$A:$M,10,0)</f>
        <v>32</v>
      </c>
      <c r="E106" s="4">
        <f>VLOOKUP($A106,[1]彩含分析60315!$A:$M,11,0)</f>
        <v>30</v>
      </c>
      <c r="F106" s="4">
        <f>VLOOKUP($A106,[1]彩含分析60315!$A:$M,12,0)</f>
        <v>29</v>
      </c>
      <c r="G106" s="4">
        <f>VLOOKUP($A106,[1]彩含分析60315!$A:$M,13,0)</f>
        <v>28</v>
      </c>
      <c r="H106" s="4" t="s">
        <v>10</v>
      </c>
      <c r="I106" s="3" t="s">
        <v>219</v>
      </c>
    </row>
    <row r="107" customHeight="1" spans="1:9">
      <c r="A107" s="4" t="s">
        <v>220</v>
      </c>
      <c r="B107" s="4">
        <f>VLOOKUP($A107,[1]彩含分析60315!$A:$M,8,0)</f>
        <v>44</v>
      </c>
      <c r="C107" s="4">
        <f>VLOOKUP($A107,[1]彩含分析60315!$A:$M,9,0)</f>
        <v>43</v>
      </c>
      <c r="D107" s="4">
        <f>VLOOKUP($A107,[1]彩含分析60315!$A:$M,10,0)</f>
        <v>41</v>
      </c>
      <c r="E107" s="4">
        <f>VLOOKUP($A107,[1]彩含分析60315!$A:$M,11,0)</f>
        <v>39</v>
      </c>
      <c r="F107" s="4">
        <f>VLOOKUP($A107,[1]彩含分析60315!$A:$M,12,0)</f>
        <v>38</v>
      </c>
      <c r="G107" s="4">
        <f>VLOOKUP($A107,[1]彩含分析60315!$A:$M,13,0)</f>
        <v>36</v>
      </c>
      <c r="H107" s="4" t="s">
        <v>10</v>
      </c>
      <c r="I107" s="3" t="s">
        <v>221</v>
      </c>
    </row>
    <row r="108" customHeight="1" spans="1:9">
      <c r="A108" s="4" t="s">
        <v>222</v>
      </c>
      <c r="B108" s="4">
        <f>VLOOKUP($A108,[1]彩含分析60315!$A:$M,8,0)</f>
        <v>26</v>
      </c>
      <c r="C108" s="4">
        <f>VLOOKUP($A108,[1]彩含分析60315!$A:$M,9,0)</f>
        <v>25</v>
      </c>
      <c r="D108" s="4">
        <f>VLOOKUP($A108,[1]彩含分析60315!$A:$M,10,0)</f>
        <v>24</v>
      </c>
      <c r="E108" s="4">
        <f>VLOOKUP($A108,[1]彩含分析60315!$A:$M,11,0)</f>
        <v>23</v>
      </c>
      <c r="F108" s="4">
        <f>VLOOKUP($A108,[1]彩含分析60315!$A:$M,12,0)</f>
        <v>22</v>
      </c>
      <c r="G108" s="4">
        <f>VLOOKUP($A108,[1]彩含分析60315!$A:$M,13,0)</f>
        <v>21</v>
      </c>
      <c r="H108" s="4" t="s">
        <v>10</v>
      </c>
      <c r="I108" s="3" t="s">
        <v>223</v>
      </c>
    </row>
    <row r="109" customHeight="1" spans="1:9">
      <c r="A109" s="4" t="s">
        <v>224</v>
      </c>
      <c r="B109" s="4">
        <f>VLOOKUP($A109,[1]彩含分析60315!$A:$M,8,0)</f>
        <v>46</v>
      </c>
      <c r="C109" s="4">
        <f>VLOOKUP($A109,[1]彩含分析60315!$A:$M,9,0)</f>
        <v>45</v>
      </c>
      <c r="D109" s="4">
        <f>VLOOKUP($A109,[1]彩含分析60315!$A:$M,10,0)</f>
        <v>43</v>
      </c>
      <c r="E109" s="4">
        <f>VLOOKUP($A109,[1]彩含分析60315!$A:$M,11,0)</f>
        <v>41</v>
      </c>
      <c r="F109" s="4">
        <f>VLOOKUP($A109,[1]彩含分析60315!$A:$M,12,0)</f>
        <v>40</v>
      </c>
      <c r="G109" s="4">
        <f>VLOOKUP($A109,[1]彩含分析60315!$A:$M,13,0)</f>
        <v>38</v>
      </c>
      <c r="H109" s="4" t="s">
        <v>10</v>
      </c>
      <c r="I109" s="3" t="s">
        <v>225</v>
      </c>
    </row>
    <row r="110" customHeight="1" spans="1:9">
      <c r="A110" s="4" t="s">
        <v>226</v>
      </c>
      <c r="B110" s="4">
        <f>VLOOKUP($A110,[1]彩含分析60315!$A:$M,8,0)</f>
        <v>150</v>
      </c>
      <c r="C110" s="4">
        <f>VLOOKUP($A110,[1]彩含分析60315!$A:$M,9,0)</f>
        <v>148</v>
      </c>
      <c r="D110" s="4">
        <f>VLOOKUP($A110,[1]彩含分析60315!$A:$M,10,0)</f>
        <v>145</v>
      </c>
      <c r="E110" s="4">
        <f>VLOOKUP($A110,[1]彩含分析60315!$A:$M,11,0)</f>
        <v>143</v>
      </c>
      <c r="F110" s="4">
        <f>VLOOKUP($A110,[1]彩含分析60315!$A:$M,12,0)</f>
        <v>142</v>
      </c>
      <c r="G110" s="4">
        <f>VLOOKUP($A110,[1]彩含分析60315!$A:$M,13,0)</f>
        <v>139</v>
      </c>
      <c r="H110" s="4" t="s">
        <v>39</v>
      </c>
      <c r="I110" s="3" t="s">
        <v>227</v>
      </c>
    </row>
    <row r="111" customHeight="1" spans="1:9">
      <c r="A111" s="4" t="s">
        <v>228</v>
      </c>
      <c r="B111" s="4">
        <f>VLOOKUP($A111,[1]彩含分析60315!$A:$M,8,0)</f>
        <v>25</v>
      </c>
      <c r="C111" s="4">
        <f>VLOOKUP($A111,[1]彩含分析60315!$A:$M,9,0)</f>
        <v>24</v>
      </c>
      <c r="D111" s="4">
        <f>VLOOKUP($A111,[1]彩含分析60315!$A:$M,10,0)</f>
        <v>23</v>
      </c>
      <c r="E111" s="4">
        <f>VLOOKUP($A111,[1]彩含分析60315!$A:$M,11,0)</f>
        <v>23</v>
      </c>
      <c r="F111" s="4">
        <f>VLOOKUP($A111,[1]彩含分析60315!$A:$M,12,0)</f>
        <v>22</v>
      </c>
      <c r="G111" s="4">
        <f>VLOOKUP($A111,[1]彩含分析60315!$A:$M,13,0)</f>
        <v>21</v>
      </c>
      <c r="H111" s="4" t="s">
        <v>10</v>
      </c>
      <c r="I111" s="3" t="s">
        <v>229</v>
      </c>
    </row>
    <row r="112" customHeight="1" spans="1:9">
      <c r="A112" s="4" t="s">
        <v>230</v>
      </c>
      <c r="B112" s="4">
        <f>VLOOKUP($A112,[1]彩含分析60315!$A:$M,8,0)</f>
        <v>34</v>
      </c>
      <c r="C112" s="4">
        <f>VLOOKUP($A112,[1]彩含分析60315!$A:$M,9,0)</f>
        <v>33</v>
      </c>
      <c r="D112" s="4">
        <f>VLOOKUP($A112,[1]彩含分析60315!$A:$M,10,0)</f>
        <v>32</v>
      </c>
      <c r="E112" s="4">
        <f>VLOOKUP($A112,[1]彩含分析60315!$A:$M,11,0)</f>
        <v>31</v>
      </c>
      <c r="F112" s="4">
        <f>VLOOKUP($A112,[1]彩含分析60315!$A:$M,12,0)</f>
        <v>29</v>
      </c>
      <c r="G112" s="4">
        <f>VLOOKUP($A112,[1]彩含分析60315!$A:$M,13,0)</f>
        <v>28</v>
      </c>
      <c r="H112" s="4" t="s">
        <v>10</v>
      </c>
      <c r="I112" s="3" t="s">
        <v>231</v>
      </c>
    </row>
    <row r="113" customHeight="1" spans="1:9">
      <c r="A113" s="4" t="s">
        <v>232</v>
      </c>
      <c r="B113" s="4">
        <f>VLOOKUP($A113,[1]彩含分析60315!$A:$M,8,0)</f>
        <v>50</v>
      </c>
      <c r="C113" s="4">
        <f>VLOOKUP($A113,[1]彩含分析60315!$A:$M,9,0)</f>
        <v>48</v>
      </c>
      <c r="D113" s="4">
        <f>VLOOKUP($A113,[1]彩含分析60315!$A:$M,10,0)</f>
        <v>46</v>
      </c>
      <c r="E113" s="4">
        <f>VLOOKUP($A113,[1]彩含分析60315!$A:$M,11,0)</f>
        <v>44</v>
      </c>
      <c r="F113" s="4">
        <f>VLOOKUP($A113,[1]彩含分析60315!$A:$M,12,0)</f>
        <v>42</v>
      </c>
      <c r="G113" s="4">
        <f>VLOOKUP($A113,[1]彩含分析60315!$A:$M,13,0)</f>
        <v>41</v>
      </c>
      <c r="H113" s="4" t="s">
        <v>10</v>
      </c>
      <c r="I113" s="3" t="s">
        <v>233</v>
      </c>
    </row>
    <row r="114" customHeight="1" spans="1:9">
      <c r="A114" s="4" t="s">
        <v>234</v>
      </c>
      <c r="B114" s="4">
        <f>VLOOKUP($A114,[1]彩含分析60315!$A:$M,8,0)</f>
        <v>38</v>
      </c>
      <c r="C114" s="4">
        <f>VLOOKUP($A114,[1]彩含分析60315!$A:$M,9,0)</f>
        <v>37</v>
      </c>
      <c r="D114" s="4">
        <f>VLOOKUP($A114,[1]彩含分析60315!$A:$M,10,0)</f>
        <v>35</v>
      </c>
      <c r="E114" s="4">
        <f>VLOOKUP($A114,[1]彩含分析60315!$A:$M,11,0)</f>
        <v>34</v>
      </c>
      <c r="F114" s="4">
        <f>VLOOKUP($A114,[1]彩含分析60315!$A:$M,12,0)</f>
        <v>32</v>
      </c>
      <c r="G114" s="4">
        <f>VLOOKUP($A114,[1]彩含分析60315!$A:$M,13,0)</f>
        <v>31</v>
      </c>
      <c r="H114" s="4" t="s">
        <v>10</v>
      </c>
      <c r="I114" s="3" t="s">
        <v>235</v>
      </c>
    </row>
    <row r="115" customHeight="1" spans="1:9">
      <c r="A115" s="4" t="s">
        <v>236</v>
      </c>
      <c r="B115" s="4">
        <f>VLOOKUP($A115,[1]彩含分析60315!$A:$M,8,0)</f>
        <v>41</v>
      </c>
      <c r="C115" s="4">
        <f>VLOOKUP($A115,[1]彩含分析60315!$A:$M,9,0)</f>
        <v>39</v>
      </c>
      <c r="D115" s="4">
        <f>VLOOKUP($A115,[1]彩含分析60315!$A:$M,10,0)</f>
        <v>38</v>
      </c>
      <c r="E115" s="4">
        <f>VLOOKUP($A115,[1]彩含分析60315!$A:$M,11,0)</f>
        <v>36</v>
      </c>
      <c r="F115" s="4">
        <f>VLOOKUP($A115,[1]彩含分析60315!$A:$M,12,0)</f>
        <v>35</v>
      </c>
      <c r="G115" s="4">
        <f>VLOOKUP($A115,[1]彩含分析60315!$A:$M,13,0)</f>
        <v>33</v>
      </c>
      <c r="H115" s="4" t="s">
        <v>10</v>
      </c>
      <c r="I115" s="3" t="s">
        <v>237</v>
      </c>
    </row>
    <row r="116" customHeight="1" spans="1:9">
      <c r="A116" s="4" t="s">
        <v>238</v>
      </c>
      <c r="B116" s="4">
        <f>VLOOKUP($A116,[1]彩含分析60315!$A:$M,8,0)</f>
        <v>44</v>
      </c>
      <c r="C116" s="4">
        <f>VLOOKUP($A116,[1]彩含分析60315!$A:$M,9,0)</f>
        <v>42</v>
      </c>
      <c r="D116" s="4">
        <f>VLOOKUP($A116,[1]彩含分析60315!$A:$M,10,0)</f>
        <v>40</v>
      </c>
      <c r="E116" s="4">
        <f>VLOOKUP($A116,[1]彩含分析60315!$A:$M,11,0)</f>
        <v>39</v>
      </c>
      <c r="F116" s="4">
        <f>VLOOKUP($A116,[1]彩含分析60315!$A:$M,12,0)</f>
        <v>37</v>
      </c>
      <c r="G116" s="4">
        <f>VLOOKUP($A116,[1]彩含分析60315!$A:$M,13,0)</f>
        <v>36</v>
      </c>
      <c r="H116" s="4" t="s">
        <v>10</v>
      </c>
      <c r="I116" s="3" t="s">
        <v>239</v>
      </c>
    </row>
    <row r="117" customHeight="1" spans="1:9">
      <c r="A117" s="4" t="s">
        <v>240</v>
      </c>
      <c r="B117" s="4">
        <f>VLOOKUP($A117,[1]彩含分析60315!$A:$M,8,0)</f>
        <v>29</v>
      </c>
      <c r="C117" s="4">
        <f>VLOOKUP($A117,[1]彩含分析60315!$A:$M,9,0)</f>
        <v>28</v>
      </c>
      <c r="D117" s="4">
        <f>VLOOKUP($A117,[1]彩含分析60315!$A:$M,10,0)</f>
        <v>27</v>
      </c>
      <c r="E117" s="4">
        <f>VLOOKUP($A117,[1]彩含分析60315!$A:$M,11,0)</f>
        <v>26</v>
      </c>
      <c r="F117" s="4">
        <f>VLOOKUP($A117,[1]彩含分析60315!$A:$M,12,0)</f>
        <v>25</v>
      </c>
      <c r="G117" s="4">
        <f>VLOOKUP($A117,[1]彩含分析60315!$A:$M,13,0)</f>
        <v>24</v>
      </c>
      <c r="H117" s="4" t="s">
        <v>10</v>
      </c>
      <c r="I117" s="3" t="s">
        <v>241</v>
      </c>
    </row>
    <row r="118" customHeight="1" spans="1:9">
      <c r="A118" s="4" t="s">
        <v>242</v>
      </c>
      <c r="B118" s="4">
        <f>VLOOKUP($A118,[1]彩含分析60315!$A:$M,8,0)</f>
        <v>35</v>
      </c>
      <c r="C118" s="4">
        <f>VLOOKUP($A118,[1]彩含分析60315!$A:$M,9,0)</f>
        <v>34</v>
      </c>
      <c r="D118" s="4">
        <f>VLOOKUP($A118,[1]彩含分析60315!$A:$M,10,0)</f>
        <v>33</v>
      </c>
      <c r="E118" s="4">
        <f>VLOOKUP($A118,[1]彩含分析60315!$A:$M,11,0)</f>
        <v>31</v>
      </c>
      <c r="F118" s="4">
        <f>VLOOKUP($A118,[1]彩含分析60315!$A:$M,12,0)</f>
        <v>30</v>
      </c>
      <c r="G118" s="4">
        <f>VLOOKUP($A118,[1]彩含分析60315!$A:$M,13,0)</f>
        <v>29</v>
      </c>
      <c r="H118" s="4" t="s">
        <v>10</v>
      </c>
      <c r="I118" s="3" t="s">
        <v>243</v>
      </c>
    </row>
    <row r="119" customHeight="1" spans="1:9">
      <c r="A119" s="4" t="s">
        <v>244</v>
      </c>
      <c r="B119" s="4">
        <f>VLOOKUP($A119,[1]彩含分析60315!$A:$M,8,0)</f>
        <v>44</v>
      </c>
      <c r="C119" s="4">
        <f>VLOOKUP($A119,[1]彩含分析60315!$A:$M,9,0)</f>
        <v>43</v>
      </c>
      <c r="D119" s="4">
        <f>VLOOKUP($A119,[1]彩含分析60315!$A:$M,10,0)</f>
        <v>41</v>
      </c>
      <c r="E119" s="4">
        <f>VLOOKUP($A119,[1]彩含分析60315!$A:$M,11,0)</f>
        <v>39</v>
      </c>
      <c r="F119" s="4">
        <f>VLOOKUP($A119,[1]彩含分析60315!$A:$M,12,0)</f>
        <v>38</v>
      </c>
      <c r="G119" s="4">
        <f>VLOOKUP($A119,[1]彩含分析60315!$A:$M,13,0)</f>
        <v>36</v>
      </c>
      <c r="H119" s="4" t="s">
        <v>10</v>
      </c>
      <c r="I119" s="3" t="s">
        <v>245</v>
      </c>
    </row>
    <row r="120" customHeight="1" spans="1:9">
      <c r="A120" s="4" t="s">
        <v>246</v>
      </c>
      <c r="B120" s="4">
        <f>VLOOKUP($A120,[1]彩含分析60315!$A:$M,8,0)</f>
        <v>35</v>
      </c>
      <c r="C120" s="4">
        <f>VLOOKUP($A120,[1]彩含分析60315!$A:$M,9,0)</f>
        <v>34</v>
      </c>
      <c r="D120" s="4">
        <f>VLOOKUP($A120,[1]彩含分析60315!$A:$M,10,0)</f>
        <v>32</v>
      </c>
      <c r="E120" s="4">
        <f>VLOOKUP($A120,[1]彩含分析60315!$A:$M,11,0)</f>
        <v>31</v>
      </c>
      <c r="F120" s="4">
        <f>VLOOKUP($A120,[1]彩含分析60315!$A:$M,12,0)</f>
        <v>30</v>
      </c>
      <c r="G120" s="4">
        <f>VLOOKUP($A120,[1]彩含分析60315!$A:$M,13,0)</f>
        <v>28</v>
      </c>
      <c r="H120" s="4" t="s">
        <v>10</v>
      </c>
      <c r="I120" s="3" t="s">
        <v>247</v>
      </c>
    </row>
    <row r="121" customHeight="1" spans="1:9">
      <c r="A121" s="4" t="s">
        <v>248</v>
      </c>
      <c r="B121" s="4">
        <f>VLOOKUP($A121,[1]彩含分析60315!$A:$M,8,0)</f>
        <v>40</v>
      </c>
      <c r="C121" s="4">
        <f>VLOOKUP($A121,[1]彩含分析60315!$A:$M,9,0)</f>
        <v>38</v>
      </c>
      <c r="D121" s="4">
        <f>VLOOKUP($A121,[1]彩含分析60315!$A:$M,10,0)</f>
        <v>37</v>
      </c>
      <c r="E121" s="4">
        <f>VLOOKUP($A121,[1]彩含分析60315!$A:$M,11,0)</f>
        <v>35</v>
      </c>
      <c r="F121" s="4">
        <f>VLOOKUP($A121,[1]彩含分析60315!$A:$M,12,0)</f>
        <v>34</v>
      </c>
      <c r="G121" s="4">
        <f>VLOOKUP($A121,[1]彩含分析60315!$A:$M,13,0)</f>
        <v>32</v>
      </c>
      <c r="H121" s="4" t="s">
        <v>10</v>
      </c>
      <c r="I121" s="3" t="s">
        <v>249</v>
      </c>
    </row>
    <row r="122" customHeight="1" spans="1:9">
      <c r="A122" s="4" t="s">
        <v>250</v>
      </c>
      <c r="B122" s="4">
        <f>VLOOKUP($A122,[1]彩含分析60315!$A:$M,8,0)</f>
        <v>59</v>
      </c>
      <c r="C122" s="4">
        <f>VLOOKUP($A122,[1]彩含分析60315!$A:$M,9,0)</f>
        <v>58</v>
      </c>
      <c r="D122" s="4">
        <f>VLOOKUP($A122,[1]彩含分析60315!$A:$M,10,0)</f>
        <v>57</v>
      </c>
      <c r="E122" s="4">
        <f>VLOOKUP($A122,[1]彩含分析60315!$A:$M,11,0)</f>
        <v>56</v>
      </c>
      <c r="F122" s="4">
        <f>VLOOKUP($A122,[1]彩含分析60315!$A:$M,12,0)</f>
        <v>56</v>
      </c>
      <c r="G122" s="4">
        <f>VLOOKUP($A122,[1]彩含分析60315!$A:$M,13,0)</f>
        <v>55</v>
      </c>
      <c r="H122" s="4" t="s">
        <v>39</v>
      </c>
      <c r="I122" s="3" t="s">
        <v>251</v>
      </c>
    </row>
    <row r="123" customHeight="1" spans="1:9">
      <c r="A123" s="4" t="s">
        <v>252</v>
      </c>
      <c r="B123" s="4">
        <f>VLOOKUP($A123,[1]彩含分析60315!$A:$M,8,0)</f>
        <v>32</v>
      </c>
      <c r="C123" s="4">
        <f>VLOOKUP($A123,[1]彩含分析60315!$A:$M,9,0)</f>
        <v>30</v>
      </c>
      <c r="D123" s="4">
        <f>VLOOKUP($A123,[1]彩含分析60315!$A:$M,10,0)</f>
        <v>29</v>
      </c>
      <c r="E123" s="4">
        <f>VLOOKUP($A123,[1]彩含分析60315!$A:$M,11,0)</f>
        <v>28</v>
      </c>
      <c r="F123" s="4">
        <f>VLOOKUP($A123,[1]彩含分析60315!$A:$M,12,0)</f>
        <v>27</v>
      </c>
      <c r="G123" s="4">
        <f>VLOOKUP($A123,[1]彩含分析60315!$A:$M,13,0)</f>
        <v>26</v>
      </c>
      <c r="H123" s="4" t="s">
        <v>10</v>
      </c>
      <c r="I123" s="3" t="s">
        <v>253</v>
      </c>
    </row>
    <row r="124" customHeight="1" spans="1:9">
      <c r="A124" s="4" t="s">
        <v>254</v>
      </c>
      <c r="B124" s="4">
        <f>VLOOKUP($A124,[1]彩含分析60315!$A:$M,8,0)</f>
        <v>32</v>
      </c>
      <c r="C124" s="4">
        <f>VLOOKUP($A124,[1]彩含分析60315!$A:$M,9,0)</f>
        <v>31</v>
      </c>
      <c r="D124" s="4">
        <f>VLOOKUP($A124,[1]彩含分析60315!$A:$M,10,0)</f>
        <v>30</v>
      </c>
      <c r="E124" s="4">
        <f>VLOOKUP($A124,[1]彩含分析60315!$A:$M,11,0)</f>
        <v>29</v>
      </c>
      <c r="F124" s="4">
        <f>VLOOKUP($A124,[1]彩含分析60315!$A:$M,12,0)</f>
        <v>27</v>
      </c>
      <c r="G124" s="4">
        <f>VLOOKUP($A124,[1]彩含分析60315!$A:$M,13,0)</f>
        <v>26</v>
      </c>
      <c r="H124" s="4" t="s">
        <v>10</v>
      </c>
      <c r="I124" s="3" t="s">
        <v>255</v>
      </c>
    </row>
    <row r="125" customHeight="1" spans="1:9">
      <c r="A125" s="4" t="s">
        <v>256</v>
      </c>
      <c r="B125" s="4">
        <f>VLOOKUP($A125,[1]彩含分析60315!$A:$M,8,0)</f>
        <v>33</v>
      </c>
      <c r="C125" s="4">
        <f>VLOOKUP($A125,[1]彩含分析60315!$A:$M,9,0)</f>
        <v>32</v>
      </c>
      <c r="D125" s="4">
        <f>VLOOKUP($A125,[1]彩含分析60315!$A:$M,10,0)</f>
        <v>31</v>
      </c>
      <c r="E125" s="4">
        <f>VLOOKUP($A125,[1]彩含分析60315!$A:$M,11,0)</f>
        <v>29</v>
      </c>
      <c r="F125" s="4">
        <f>VLOOKUP($A125,[1]彩含分析60315!$A:$M,12,0)</f>
        <v>28</v>
      </c>
      <c r="G125" s="4">
        <f>VLOOKUP($A125,[1]彩含分析60315!$A:$M,13,0)</f>
        <v>27</v>
      </c>
      <c r="H125" s="4" t="s">
        <v>10</v>
      </c>
      <c r="I125" s="3" t="s">
        <v>257</v>
      </c>
    </row>
    <row r="126" customHeight="1" spans="1:9">
      <c r="A126" s="4" t="s">
        <v>258</v>
      </c>
      <c r="B126" s="4">
        <f>VLOOKUP($A126,[1]彩含分析60315!$A:$M,8,0)</f>
        <v>29</v>
      </c>
      <c r="C126" s="4">
        <f>VLOOKUP($A126,[1]彩含分析60315!$A:$M,9,0)</f>
        <v>28</v>
      </c>
      <c r="D126" s="4">
        <f>VLOOKUP($A126,[1]彩含分析60315!$A:$M,10,0)</f>
        <v>27</v>
      </c>
      <c r="E126" s="4">
        <f>VLOOKUP($A126,[1]彩含分析60315!$A:$M,11,0)</f>
        <v>26</v>
      </c>
      <c r="F126" s="4">
        <f>VLOOKUP($A126,[1]彩含分析60315!$A:$M,12,0)</f>
        <v>25</v>
      </c>
      <c r="G126" s="4">
        <f>VLOOKUP($A126,[1]彩含分析60315!$A:$M,13,0)</f>
        <v>24</v>
      </c>
      <c r="H126" s="4" t="s">
        <v>10</v>
      </c>
      <c r="I126" s="3" t="s">
        <v>259</v>
      </c>
    </row>
    <row r="127" customHeight="1" spans="1:9">
      <c r="A127" s="4" t="s">
        <v>260</v>
      </c>
      <c r="B127" s="4">
        <f>VLOOKUP($A127,[1]彩含分析60315!$A:$M,8,0)</f>
        <v>36</v>
      </c>
      <c r="C127" s="4">
        <f>VLOOKUP($A127,[1]彩含分析60315!$A:$M,9,0)</f>
        <v>35</v>
      </c>
      <c r="D127" s="4">
        <f>VLOOKUP($A127,[1]彩含分析60315!$A:$M,10,0)</f>
        <v>34</v>
      </c>
      <c r="E127" s="4">
        <f>VLOOKUP($A127,[1]彩含分析60315!$A:$M,11,0)</f>
        <v>32</v>
      </c>
      <c r="F127" s="4">
        <f>VLOOKUP($A127,[1]彩含分析60315!$A:$M,12,0)</f>
        <v>31</v>
      </c>
      <c r="G127" s="4">
        <f>VLOOKUP($A127,[1]彩含分析60315!$A:$M,13,0)</f>
        <v>30</v>
      </c>
      <c r="H127" s="4" t="s">
        <v>10</v>
      </c>
      <c r="I127" s="3" t="s">
        <v>261</v>
      </c>
    </row>
    <row r="128" customHeight="1" spans="1:9">
      <c r="A128" s="4" t="s">
        <v>262</v>
      </c>
      <c r="B128" s="4">
        <f>VLOOKUP($A128,[1]彩含分析60315!$A:$M,8,0)</f>
        <v>33</v>
      </c>
      <c r="C128" s="4">
        <f>VLOOKUP($A128,[1]彩含分析60315!$A:$M,9,0)</f>
        <v>32</v>
      </c>
      <c r="D128" s="4">
        <f>VLOOKUP($A128,[1]彩含分析60315!$A:$M,10,0)</f>
        <v>31</v>
      </c>
      <c r="E128" s="4">
        <f>VLOOKUP($A128,[1]彩含分析60315!$A:$M,11,0)</f>
        <v>30</v>
      </c>
      <c r="F128" s="4">
        <f>VLOOKUP($A128,[1]彩含分析60315!$A:$M,12,0)</f>
        <v>28</v>
      </c>
      <c r="G128" s="4">
        <f>VLOOKUP($A128,[1]彩含分析60315!$A:$M,13,0)</f>
        <v>27</v>
      </c>
      <c r="H128" s="4" t="s">
        <v>10</v>
      </c>
      <c r="I128" s="3" t="s">
        <v>85</v>
      </c>
    </row>
    <row r="129" customHeight="1" spans="1:9">
      <c r="A129" s="4" t="s">
        <v>263</v>
      </c>
      <c r="B129" s="4">
        <f>VLOOKUP($A129,[1]彩含分析60315!$A:$M,8,0)</f>
        <v>33</v>
      </c>
      <c r="C129" s="4">
        <f>VLOOKUP($A129,[1]彩含分析60315!$A:$M,9,0)</f>
        <v>32</v>
      </c>
      <c r="D129" s="4">
        <f>VLOOKUP($A129,[1]彩含分析60315!$A:$M,10,0)</f>
        <v>30</v>
      </c>
      <c r="E129" s="4">
        <f>VLOOKUP($A129,[1]彩含分析60315!$A:$M,11,0)</f>
        <v>29</v>
      </c>
      <c r="F129" s="4">
        <f>VLOOKUP($A129,[1]彩含分析60315!$A:$M,12,0)</f>
        <v>28</v>
      </c>
      <c r="G129" s="4">
        <f>VLOOKUP($A129,[1]彩含分析60315!$A:$M,13,0)</f>
        <v>27</v>
      </c>
      <c r="H129" s="4" t="s">
        <v>10</v>
      </c>
      <c r="I129" s="3" t="s">
        <v>264</v>
      </c>
    </row>
    <row r="130" customHeight="1" spans="1:9">
      <c r="A130" s="4" t="s">
        <v>265</v>
      </c>
      <c r="B130" s="4">
        <f>VLOOKUP($A130,[1]彩含分析60315!$A:$M,8,0)</f>
        <v>79</v>
      </c>
      <c r="C130" s="4">
        <f>VLOOKUP($A130,[1]彩含分析60315!$A:$M,9,0)</f>
        <v>76</v>
      </c>
      <c r="D130" s="4">
        <f>VLOOKUP($A130,[1]彩含分析60315!$A:$M,10,0)</f>
        <v>73</v>
      </c>
      <c r="E130" s="4">
        <f>VLOOKUP($A130,[1]彩含分析60315!$A:$M,11,0)</f>
        <v>70</v>
      </c>
      <c r="F130" s="4">
        <f>VLOOKUP($A130,[1]彩含分析60315!$A:$M,12,0)</f>
        <v>67</v>
      </c>
      <c r="G130" s="4">
        <f>VLOOKUP($A130,[1]彩含分析60315!$A:$M,13,0)</f>
        <v>64</v>
      </c>
      <c r="H130" s="4" t="s">
        <v>10</v>
      </c>
      <c r="I130" s="3" t="s">
        <v>266</v>
      </c>
    </row>
    <row r="131" customHeight="1" spans="1:9">
      <c r="A131" s="4" t="s">
        <v>267</v>
      </c>
      <c r="B131" s="4">
        <f>VLOOKUP($A131,[1]彩含分析60315!$A:$M,8,0)</f>
        <v>28</v>
      </c>
      <c r="C131" s="4">
        <f>VLOOKUP($A131,[1]彩含分析60315!$A:$M,9,0)</f>
        <v>27</v>
      </c>
      <c r="D131" s="4">
        <f>VLOOKUP($A131,[1]彩含分析60315!$A:$M,10,0)</f>
        <v>26</v>
      </c>
      <c r="E131" s="4">
        <f>VLOOKUP($A131,[1]彩含分析60315!$A:$M,11,0)</f>
        <v>25</v>
      </c>
      <c r="F131" s="4">
        <f>VLOOKUP($A131,[1]彩含分析60315!$A:$M,12,0)</f>
        <v>24</v>
      </c>
      <c r="G131" s="4">
        <f>VLOOKUP($A131,[1]彩含分析60315!$A:$M,13,0)</f>
        <v>23</v>
      </c>
      <c r="H131" s="4" t="s">
        <v>10</v>
      </c>
      <c r="I131" s="3" t="s">
        <v>268</v>
      </c>
    </row>
    <row r="132" customHeight="1" spans="1:9">
      <c r="A132" s="4" t="s">
        <v>269</v>
      </c>
      <c r="B132" s="4">
        <f>VLOOKUP($A132,[1]彩含分析60315!$A:$M,8,0)</f>
        <v>31</v>
      </c>
      <c r="C132" s="4">
        <f>VLOOKUP($A132,[1]彩含分析60315!$A:$M,9,0)</f>
        <v>30</v>
      </c>
      <c r="D132" s="4">
        <f>VLOOKUP($A132,[1]彩含分析60315!$A:$M,10,0)</f>
        <v>29</v>
      </c>
      <c r="E132" s="4">
        <f>VLOOKUP($A132,[1]彩含分析60315!$A:$M,11,0)</f>
        <v>28</v>
      </c>
      <c r="F132" s="4">
        <f>VLOOKUP($A132,[1]彩含分析60315!$A:$M,12,0)</f>
        <v>27</v>
      </c>
      <c r="G132" s="4">
        <f>VLOOKUP($A132,[1]彩含分析60315!$A:$M,13,0)</f>
        <v>26</v>
      </c>
      <c r="H132" s="4" t="s">
        <v>10</v>
      </c>
      <c r="I132" s="3" t="s">
        <v>270</v>
      </c>
    </row>
    <row r="133" customHeight="1" spans="1:9">
      <c r="A133" s="4" t="s">
        <v>271</v>
      </c>
      <c r="B133" s="4">
        <f>VLOOKUP($A133,[1]彩含分析60315!$A:$M,8,0)</f>
        <v>38</v>
      </c>
      <c r="C133" s="4">
        <f>VLOOKUP($A133,[1]彩含分析60315!$A:$M,9,0)</f>
        <v>37</v>
      </c>
      <c r="D133" s="4">
        <f>VLOOKUP($A133,[1]彩含分析60315!$A:$M,10,0)</f>
        <v>35</v>
      </c>
      <c r="E133" s="4">
        <f>VLOOKUP($A133,[1]彩含分析60315!$A:$M,11,0)</f>
        <v>34</v>
      </c>
      <c r="F133" s="4">
        <f>VLOOKUP($A133,[1]彩含分析60315!$A:$M,12,0)</f>
        <v>33</v>
      </c>
      <c r="G133" s="4">
        <f>VLOOKUP($A133,[1]彩含分析60315!$A:$M,13,0)</f>
        <v>31</v>
      </c>
      <c r="H133" s="4" t="s">
        <v>10</v>
      </c>
      <c r="I133" s="3" t="s">
        <v>272</v>
      </c>
    </row>
    <row r="134" customHeight="1" spans="1:9">
      <c r="A134" s="4" t="s">
        <v>273</v>
      </c>
      <c r="B134" s="4">
        <f>VLOOKUP($A134,[1]彩含分析60315!$A:$M,8,0)</f>
        <v>35</v>
      </c>
      <c r="C134" s="4">
        <f>VLOOKUP($A134,[1]彩含分析60315!$A:$M,9,0)</f>
        <v>34</v>
      </c>
      <c r="D134" s="4">
        <f>VLOOKUP($A134,[1]彩含分析60315!$A:$M,10,0)</f>
        <v>32</v>
      </c>
      <c r="E134" s="4">
        <f>VLOOKUP($A134,[1]彩含分析60315!$A:$M,11,0)</f>
        <v>31</v>
      </c>
      <c r="F134" s="4">
        <f>VLOOKUP($A134,[1]彩含分析60315!$A:$M,12,0)</f>
        <v>30</v>
      </c>
      <c r="G134" s="4">
        <f>VLOOKUP($A134,[1]彩含分析60315!$A:$M,13,0)</f>
        <v>29</v>
      </c>
      <c r="H134" s="4" t="s">
        <v>10</v>
      </c>
      <c r="I134" s="3" t="s">
        <v>274</v>
      </c>
    </row>
    <row r="135" customHeight="1" spans="1:9">
      <c r="A135" s="4" t="s">
        <v>275</v>
      </c>
      <c r="B135" s="4">
        <f>VLOOKUP($A135,[1]彩含分析60315!$A:$M,8,0)</f>
        <v>29</v>
      </c>
      <c r="C135" s="4">
        <f>VLOOKUP($A135,[1]彩含分析60315!$A:$M,9,0)</f>
        <v>28</v>
      </c>
      <c r="D135" s="4">
        <f>VLOOKUP($A135,[1]彩含分析60315!$A:$M,10,0)</f>
        <v>27</v>
      </c>
      <c r="E135" s="4">
        <f>VLOOKUP($A135,[1]彩含分析60315!$A:$M,11,0)</f>
        <v>26</v>
      </c>
      <c r="F135" s="4">
        <f>VLOOKUP($A135,[1]彩含分析60315!$A:$M,12,0)</f>
        <v>25</v>
      </c>
      <c r="G135" s="4">
        <f>VLOOKUP($A135,[1]彩含分析60315!$A:$M,13,0)</f>
        <v>24</v>
      </c>
      <c r="H135" s="4" t="s">
        <v>10</v>
      </c>
      <c r="I135" s="3" t="s">
        <v>276</v>
      </c>
    </row>
    <row r="136" customHeight="1" spans="1:9">
      <c r="A136" s="4" t="s">
        <v>277</v>
      </c>
      <c r="B136" s="4">
        <f>VLOOKUP($A136,[1]彩含分析60315!$A:$M,8,0)</f>
        <v>40</v>
      </c>
      <c r="C136" s="4">
        <f>VLOOKUP($A136,[1]彩含分析60315!$A:$M,9,0)</f>
        <v>38</v>
      </c>
      <c r="D136" s="4">
        <f>VLOOKUP($A136,[1]彩含分析60315!$A:$M,10,0)</f>
        <v>37</v>
      </c>
      <c r="E136" s="4">
        <f>VLOOKUP($A136,[1]彩含分析60315!$A:$M,11,0)</f>
        <v>35</v>
      </c>
      <c r="F136" s="4">
        <f>VLOOKUP($A136,[1]彩含分析60315!$A:$M,12,0)</f>
        <v>34</v>
      </c>
      <c r="G136" s="4">
        <f>VLOOKUP($A136,[1]彩含分析60315!$A:$M,13,0)</f>
        <v>32</v>
      </c>
      <c r="H136" s="4" t="s">
        <v>10</v>
      </c>
      <c r="I136" s="3" t="s">
        <v>278</v>
      </c>
    </row>
    <row r="137" customHeight="1" spans="1:9">
      <c r="A137" s="4" t="s">
        <v>279</v>
      </c>
      <c r="B137" s="4">
        <f>VLOOKUP($A137,[1]彩含分析60315!$A:$M,8,0)</f>
        <v>32</v>
      </c>
      <c r="C137" s="4">
        <f>VLOOKUP($A137,[1]彩含分析60315!$A:$M,9,0)</f>
        <v>31</v>
      </c>
      <c r="D137" s="4">
        <f>VLOOKUP($A137,[1]彩含分析60315!$A:$M,10,0)</f>
        <v>30</v>
      </c>
      <c r="E137" s="4">
        <f>VLOOKUP($A137,[1]彩含分析60315!$A:$M,11,0)</f>
        <v>28</v>
      </c>
      <c r="F137" s="4">
        <f>VLOOKUP($A137,[1]彩含分析60315!$A:$M,12,0)</f>
        <v>27</v>
      </c>
      <c r="G137" s="4">
        <f>VLOOKUP($A137,[1]彩含分析60315!$A:$M,13,0)</f>
        <v>26</v>
      </c>
      <c r="H137" s="4" t="s">
        <v>10</v>
      </c>
      <c r="I137" s="3" t="s">
        <v>280</v>
      </c>
    </row>
    <row r="138" customHeight="1" spans="1:9">
      <c r="A138" s="4" t="s">
        <v>281</v>
      </c>
      <c r="B138" s="4">
        <f>VLOOKUP($A138,[1]彩含分析60315!$A:$M,8,0)</f>
        <v>40</v>
      </c>
      <c r="C138" s="4">
        <f>VLOOKUP($A138,[1]彩含分析60315!$A:$M,9,0)</f>
        <v>38</v>
      </c>
      <c r="D138" s="4">
        <f>VLOOKUP($A138,[1]彩含分析60315!$A:$M,10,0)</f>
        <v>37</v>
      </c>
      <c r="E138" s="4">
        <f>VLOOKUP($A138,[1]彩含分析60315!$A:$M,11,0)</f>
        <v>35</v>
      </c>
      <c r="F138" s="4">
        <f>VLOOKUP($A138,[1]彩含分析60315!$A:$M,12,0)</f>
        <v>34</v>
      </c>
      <c r="G138" s="4">
        <f>VLOOKUP($A138,[1]彩含分析60315!$A:$M,13,0)</f>
        <v>32</v>
      </c>
      <c r="H138" s="4" t="s">
        <v>10</v>
      </c>
      <c r="I138" s="3" t="s">
        <v>282</v>
      </c>
    </row>
    <row r="139" customHeight="1" spans="1:9">
      <c r="A139" s="4" t="s">
        <v>283</v>
      </c>
      <c r="B139" s="4">
        <f>VLOOKUP($A139,[1]彩含分析60315!$A:$M,8,0)</f>
        <v>44</v>
      </c>
      <c r="C139" s="4">
        <f>VLOOKUP($A139,[1]彩含分析60315!$A:$M,9,0)</f>
        <v>42</v>
      </c>
      <c r="D139" s="4">
        <f>VLOOKUP($A139,[1]彩含分析60315!$A:$M,10,0)</f>
        <v>40</v>
      </c>
      <c r="E139" s="4">
        <f>VLOOKUP($A139,[1]彩含分析60315!$A:$M,11,0)</f>
        <v>39</v>
      </c>
      <c r="F139" s="4">
        <f>VLOOKUP($A139,[1]彩含分析60315!$A:$M,12,0)</f>
        <v>37</v>
      </c>
      <c r="G139" s="4">
        <f>VLOOKUP($A139,[1]彩含分析60315!$A:$M,13,0)</f>
        <v>36</v>
      </c>
      <c r="H139" s="4" t="s">
        <v>10</v>
      </c>
      <c r="I139" s="3" t="s">
        <v>284</v>
      </c>
    </row>
    <row r="140" customHeight="1" spans="1:9">
      <c r="A140" s="4" t="s">
        <v>285</v>
      </c>
      <c r="B140" s="4">
        <f>VLOOKUP($A140,[1]彩含分析60315!$A:$M,8,0)</f>
        <v>34</v>
      </c>
      <c r="C140" s="4">
        <f>VLOOKUP($A140,[1]彩含分析60315!$A:$M,9,0)</f>
        <v>33</v>
      </c>
      <c r="D140" s="4">
        <f>VLOOKUP($A140,[1]彩含分析60315!$A:$M,10,0)</f>
        <v>32</v>
      </c>
      <c r="E140" s="4">
        <f>VLOOKUP($A140,[1]彩含分析60315!$A:$M,11,0)</f>
        <v>31</v>
      </c>
      <c r="F140" s="4">
        <f>VLOOKUP($A140,[1]彩含分析60315!$A:$M,12,0)</f>
        <v>29</v>
      </c>
      <c r="G140" s="4">
        <f>VLOOKUP($A140,[1]彩含分析60315!$A:$M,13,0)</f>
        <v>28</v>
      </c>
      <c r="H140" s="4" t="s">
        <v>10</v>
      </c>
      <c r="I140" s="3" t="s">
        <v>286</v>
      </c>
    </row>
    <row r="141" customHeight="1" spans="1:9">
      <c r="A141" s="4" t="s">
        <v>287</v>
      </c>
      <c r="B141" s="4">
        <f>VLOOKUP($A141,[1]彩含分析60315!$A:$M,8,0)</f>
        <v>37</v>
      </c>
      <c r="C141" s="4">
        <f>VLOOKUP($A141,[1]彩含分析60315!$A:$M,9,0)</f>
        <v>35</v>
      </c>
      <c r="D141" s="4">
        <f>VLOOKUP($A141,[1]彩含分析60315!$A:$M,10,0)</f>
        <v>34</v>
      </c>
      <c r="E141" s="4">
        <f>VLOOKUP($A141,[1]彩含分析60315!$A:$M,11,0)</f>
        <v>33</v>
      </c>
      <c r="F141" s="4">
        <f>VLOOKUP($A141,[1]彩含分析60315!$A:$M,12,0)</f>
        <v>31</v>
      </c>
      <c r="G141" s="4">
        <f>VLOOKUP($A141,[1]彩含分析60315!$A:$M,13,0)</f>
        <v>30</v>
      </c>
      <c r="H141" s="4" t="s">
        <v>10</v>
      </c>
      <c r="I141" s="3" t="s">
        <v>288</v>
      </c>
    </row>
    <row r="142" customHeight="1" spans="1:9">
      <c r="A142" s="4" t="s">
        <v>289</v>
      </c>
      <c r="B142" s="4">
        <f>VLOOKUP($A142,[1]彩含分析60315!$A:$M,8,0)</f>
        <v>46</v>
      </c>
      <c r="C142" s="4">
        <f>VLOOKUP($A142,[1]彩含分析60315!$A:$M,9,0)</f>
        <v>44</v>
      </c>
      <c r="D142" s="4">
        <f>VLOOKUP($A142,[1]彩含分析60315!$A:$M,10,0)</f>
        <v>43</v>
      </c>
      <c r="E142" s="4">
        <f>VLOOKUP($A142,[1]彩含分析60315!$A:$M,11,0)</f>
        <v>41</v>
      </c>
      <c r="F142" s="4">
        <f>VLOOKUP($A142,[1]彩含分析60315!$A:$M,12,0)</f>
        <v>39</v>
      </c>
      <c r="G142" s="4">
        <f>VLOOKUP($A142,[1]彩含分析60315!$A:$M,13,0)</f>
        <v>38</v>
      </c>
      <c r="H142" s="4" t="s">
        <v>10</v>
      </c>
      <c r="I142" s="3" t="s">
        <v>290</v>
      </c>
    </row>
    <row r="143" customHeight="1" spans="1:9">
      <c r="A143" s="4" t="s">
        <v>291</v>
      </c>
      <c r="B143" s="4">
        <f>VLOOKUP($A143,[1]彩含分析60315!$A:$M,8,0)</f>
        <v>38</v>
      </c>
      <c r="C143" s="4">
        <f>VLOOKUP($A143,[1]彩含分析60315!$A:$M,9,0)</f>
        <v>36</v>
      </c>
      <c r="D143" s="4">
        <f>VLOOKUP($A143,[1]彩含分析60315!$A:$M,10,0)</f>
        <v>35</v>
      </c>
      <c r="E143" s="4">
        <f>VLOOKUP($A143,[1]彩含分析60315!$A:$M,11,0)</f>
        <v>34</v>
      </c>
      <c r="F143" s="4">
        <f>VLOOKUP($A143,[1]彩含分析60315!$A:$M,12,0)</f>
        <v>32</v>
      </c>
      <c r="G143" s="4">
        <f>VLOOKUP($A143,[1]彩含分析60315!$A:$M,13,0)</f>
        <v>31</v>
      </c>
      <c r="H143" s="4" t="s">
        <v>10</v>
      </c>
      <c r="I143" s="3" t="s">
        <v>292</v>
      </c>
    </row>
    <row r="144" customHeight="1" spans="1:9">
      <c r="A144" s="4" t="s">
        <v>293</v>
      </c>
      <c r="B144" s="4">
        <f>VLOOKUP($A144,[1]彩含分析60315!$A:$M,8,0)</f>
        <v>44</v>
      </c>
      <c r="C144" s="4">
        <f>VLOOKUP($A144,[1]彩含分析60315!$A:$M,9,0)</f>
        <v>42</v>
      </c>
      <c r="D144" s="4">
        <f>VLOOKUP($A144,[1]彩含分析60315!$A:$M,10,0)</f>
        <v>40</v>
      </c>
      <c r="E144" s="4">
        <f>VLOOKUP($A144,[1]彩含分析60315!$A:$M,11,0)</f>
        <v>39</v>
      </c>
      <c r="F144" s="4">
        <f>VLOOKUP($A144,[1]彩含分析60315!$A:$M,12,0)</f>
        <v>37</v>
      </c>
      <c r="G144" s="4">
        <f>VLOOKUP($A144,[1]彩含分析60315!$A:$M,13,0)</f>
        <v>36</v>
      </c>
      <c r="H144" s="4" t="s">
        <v>10</v>
      </c>
      <c r="I144" s="3" t="s">
        <v>294</v>
      </c>
    </row>
    <row r="145" customHeight="1" spans="1:9">
      <c r="A145" s="4" t="s">
        <v>295</v>
      </c>
      <c r="B145" s="4">
        <f>VLOOKUP($A145,[1]彩含分析60315!$A:$M,8,0)</f>
        <v>64</v>
      </c>
      <c r="C145" s="4">
        <f>VLOOKUP($A145,[1]彩含分析60315!$A:$M,9,0)</f>
        <v>63</v>
      </c>
      <c r="D145" s="4">
        <f>VLOOKUP($A145,[1]彩含分析60315!$A:$M,10,0)</f>
        <v>62</v>
      </c>
      <c r="E145" s="4">
        <f>VLOOKUP($A145,[1]彩含分析60315!$A:$M,11,0)</f>
        <v>61</v>
      </c>
      <c r="F145" s="4">
        <f>VLOOKUP($A145,[1]彩含分析60315!$A:$M,12,0)</f>
        <v>60</v>
      </c>
      <c r="G145" s="4">
        <f>VLOOKUP($A145,[1]彩含分析60315!$A:$M,13,0)</f>
        <v>59</v>
      </c>
      <c r="H145" s="4" t="s">
        <v>39</v>
      </c>
      <c r="I145" s="3" t="s">
        <v>296</v>
      </c>
    </row>
    <row r="146" customHeight="1" spans="1:9">
      <c r="A146" s="4" t="s">
        <v>297</v>
      </c>
      <c r="B146" s="4">
        <f>VLOOKUP($A146,[1]彩含分析60315!$A:$M,8,0)</f>
        <v>53</v>
      </c>
      <c r="C146" s="4">
        <f>VLOOKUP($A146,[1]彩含分析60315!$A:$M,9,0)</f>
        <v>51</v>
      </c>
      <c r="D146" s="4">
        <f>VLOOKUP($A146,[1]彩含分析60315!$A:$M,10,0)</f>
        <v>49</v>
      </c>
      <c r="E146" s="4">
        <f>VLOOKUP($A146,[1]彩含分析60315!$A:$M,11,0)</f>
        <v>47</v>
      </c>
      <c r="F146" s="4">
        <f>VLOOKUP($A146,[1]彩含分析60315!$A:$M,12,0)</f>
        <v>45</v>
      </c>
      <c r="G146" s="4">
        <f>VLOOKUP($A146,[1]彩含分析60315!$A:$M,13,0)</f>
        <v>43</v>
      </c>
      <c r="H146" s="4" t="s">
        <v>10</v>
      </c>
      <c r="I146" s="3" t="s">
        <v>298</v>
      </c>
    </row>
    <row r="147" customHeight="1" spans="1:9">
      <c r="A147" s="4" t="s">
        <v>299</v>
      </c>
      <c r="B147" s="4">
        <f>VLOOKUP($A147,[1]彩含分析60315!$A:$M,8,0)</f>
        <v>34</v>
      </c>
      <c r="C147" s="4">
        <f>VLOOKUP($A147,[1]彩含分析60315!$A:$M,9,0)</f>
        <v>33</v>
      </c>
      <c r="D147" s="4">
        <f>VLOOKUP($A147,[1]彩含分析60315!$A:$M,10,0)</f>
        <v>32</v>
      </c>
      <c r="E147" s="4">
        <f>VLOOKUP($A147,[1]彩含分析60315!$A:$M,11,0)</f>
        <v>31</v>
      </c>
      <c r="F147" s="4">
        <f>VLOOKUP($A147,[1]彩含分析60315!$A:$M,12,0)</f>
        <v>29</v>
      </c>
      <c r="G147" s="4">
        <f>VLOOKUP($A147,[1]彩含分析60315!$A:$M,13,0)</f>
        <v>28</v>
      </c>
      <c r="H147" s="4" t="s">
        <v>10</v>
      </c>
      <c r="I147" s="3" t="s">
        <v>300</v>
      </c>
    </row>
    <row r="148" customHeight="1" spans="1:9">
      <c r="A148" s="4" t="s">
        <v>301</v>
      </c>
      <c r="B148" s="4">
        <f>VLOOKUP($A148,[1]彩含分析60315!$A:$M,8,0)</f>
        <v>34</v>
      </c>
      <c r="C148" s="4">
        <f>VLOOKUP($A148,[1]彩含分析60315!$A:$M,9,0)</f>
        <v>33</v>
      </c>
      <c r="D148" s="4">
        <f>VLOOKUP($A148,[1]彩含分析60315!$A:$M,10,0)</f>
        <v>32</v>
      </c>
      <c r="E148" s="4">
        <f>VLOOKUP($A148,[1]彩含分析60315!$A:$M,11,0)</f>
        <v>30</v>
      </c>
      <c r="F148" s="4">
        <f>VLOOKUP($A148,[1]彩含分析60315!$A:$M,12,0)</f>
        <v>29</v>
      </c>
      <c r="G148" s="4">
        <f>VLOOKUP($A148,[1]彩含分析60315!$A:$M,13,0)</f>
        <v>28</v>
      </c>
      <c r="H148" s="4" t="s">
        <v>10</v>
      </c>
      <c r="I148" s="3" t="s">
        <v>302</v>
      </c>
    </row>
    <row r="149" customHeight="1" spans="1:9">
      <c r="A149" s="4" t="s">
        <v>303</v>
      </c>
      <c r="B149" s="4">
        <f>VLOOKUP($A149,[1]彩含分析60315!$A:$M,8,0)</f>
        <v>45</v>
      </c>
      <c r="C149" s="4">
        <f>VLOOKUP($A149,[1]彩含分析60315!$A:$M,9,0)</f>
        <v>43</v>
      </c>
      <c r="D149" s="4">
        <f>VLOOKUP($A149,[1]彩含分析60315!$A:$M,10,0)</f>
        <v>41</v>
      </c>
      <c r="E149" s="4">
        <f>VLOOKUP($A149,[1]彩含分析60315!$A:$M,11,0)</f>
        <v>40</v>
      </c>
      <c r="F149" s="4">
        <f>VLOOKUP($A149,[1]彩含分析60315!$A:$M,12,0)</f>
        <v>38</v>
      </c>
      <c r="G149" s="4">
        <f>VLOOKUP($A149,[1]彩含分析60315!$A:$M,13,0)</f>
        <v>36</v>
      </c>
      <c r="H149" s="4" t="s">
        <v>10</v>
      </c>
      <c r="I149" s="3" t="s">
        <v>304</v>
      </c>
    </row>
    <row r="150" customHeight="1" spans="1:9">
      <c r="A150" s="4" t="s">
        <v>305</v>
      </c>
      <c r="B150" s="4">
        <f>VLOOKUP($A150,[1]彩含分析60315!$A:$M,8,0)</f>
        <v>26</v>
      </c>
      <c r="C150" s="4">
        <f>VLOOKUP($A150,[1]彩含分析60315!$A:$M,9,0)</f>
        <v>25</v>
      </c>
      <c r="D150" s="4">
        <f>VLOOKUP($A150,[1]彩含分析60315!$A:$M,10,0)</f>
        <v>24</v>
      </c>
      <c r="E150" s="4">
        <f>VLOOKUP($A150,[1]彩含分析60315!$A:$M,11,0)</f>
        <v>23</v>
      </c>
      <c r="F150" s="4">
        <f>VLOOKUP($A150,[1]彩含分析60315!$A:$M,12,0)</f>
        <v>22</v>
      </c>
      <c r="G150" s="4">
        <f>VLOOKUP($A150,[1]彩含分析60315!$A:$M,13,0)</f>
        <v>21</v>
      </c>
      <c r="H150" s="4" t="s">
        <v>10</v>
      </c>
      <c r="I150" s="3" t="s">
        <v>306</v>
      </c>
    </row>
    <row r="151" customHeight="1" spans="1:9">
      <c r="A151" s="4" t="s">
        <v>307</v>
      </c>
      <c r="B151" s="4">
        <f>VLOOKUP($A151,[1]彩含分析60315!$A:$M,8,0)</f>
        <v>33</v>
      </c>
      <c r="C151" s="4">
        <f>VLOOKUP($A151,[1]彩含分析60315!$A:$M,9,0)</f>
        <v>32</v>
      </c>
      <c r="D151" s="4">
        <f>VLOOKUP($A151,[1]彩含分析60315!$A:$M,10,0)</f>
        <v>30</v>
      </c>
      <c r="E151" s="4">
        <f>VLOOKUP($A151,[1]彩含分析60315!$A:$M,11,0)</f>
        <v>29</v>
      </c>
      <c r="F151" s="4">
        <f>VLOOKUP($A151,[1]彩含分析60315!$A:$M,12,0)</f>
        <v>28</v>
      </c>
      <c r="G151" s="4">
        <f>VLOOKUP($A151,[1]彩含分析60315!$A:$M,13,0)</f>
        <v>27</v>
      </c>
      <c r="H151" s="4" t="s">
        <v>10</v>
      </c>
      <c r="I151" s="3" t="s">
        <v>308</v>
      </c>
    </row>
    <row r="152" customHeight="1" spans="1:9">
      <c r="A152" s="4" t="s">
        <v>309</v>
      </c>
      <c r="B152" s="4">
        <f>VLOOKUP($A152,[1]彩含分析60315!$A:$M,8,0)</f>
        <v>48</v>
      </c>
      <c r="C152" s="4">
        <f>VLOOKUP($A152,[1]彩含分析60315!$A:$M,9,0)</f>
        <v>46</v>
      </c>
      <c r="D152" s="4">
        <f>VLOOKUP($A152,[1]彩含分析60315!$A:$M,10,0)</f>
        <v>44</v>
      </c>
      <c r="E152" s="4">
        <f>VLOOKUP($A152,[1]彩含分析60315!$A:$M,11,0)</f>
        <v>42</v>
      </c>
      <c r="F152" s="4">
        <f>VLOOKUP($A152,[1]彩含分析60315!$A:$M,12,0)</f>
        <v>41</v>
      </c>
      <c r="G152" s="4">
        <f>VLOOKUP($A152,[1]彩含分析60315!$A:$M,13,0)</f>
        <v>39</v>
      </c>
      <c r="H152" s="4" t="s">
        <v>10</v>
      </c>
      <c r="I152" s="3" t="s">
        <v>310</v>
      </c>
    </row>
    <row r="153" customHeight="1" spans="1:9">
      <c r="A153" s="4" t="s">
        <v>311</v>
      </c>
      <c r="B153" s="4">
        <f>VLOOKUP($A153,[1]彩含分析60315!$A:$M,8,0)</f>
        <v>31</v>
      </c>
      <c r="C153" s="4">
        <f>VLOOKUP($A153,[1]彩含分析60315!$A:$M,9,0)</f>
        <v>30</v>
      </c>
      <c r="D153" s="4">
        <f>VLOOKUP($A153,[1]彩含分析60315!$A:$M,10,0)</f>
        <v>29</v>
      </c>
      <c r="E153" s="4">
        <f>VLOOKUP($A153,[1]彩含分析60315!$A:$M,11,0)</f>
        <v>28</v>
      </c>
      <c r="F153" s="4">
        <f>VLOOKUP($A153,[1]彩含分析60315!$A:$M,12,0)</f>
        <v>27</v>
      </c>
      <c r="G153" s="4">
        <f>VLOOKUP($A153,[1]彩含分析60315!$A:$M,13,0)</f>
        <v>25</v>
      </c>
      <c r="H153" s="4" t="s">
        <v>10</v>
      </c>
      <c r="I153" s="3" t="s">
        <v>312</v>
      </c>
    </row>
    <row r="154" customHeight="1" spans="1:9">
      <c r="A154" s="4" t="s">
        <v>313</v>
      </c>
      <c r="B154" s="4">
        <f>VLOOKUP($A154,[1]彩含分析60315!$A:$M,8,0)</f>
        <v>32</v>
      </c>
      <c r="C154" s="4">
        <f>VLOOKUP($A154,[1]彩含分析60315!$A:$M,9,0)</f>
        <v>30</v>
      </c>
      <c r="D154" s="4">
        <f>VLOOKUP($A154,[1]彩含分析60315!$A:$M,10,0)</f>
        <v>29</v>
      </c>
      <c r="E154" s="4">
        <f>VLOOKUP($A154,[1]彩含分析60315!$A:$M,11,0)</f>
        <v>28</v>
      </c>
      <c r="F154" s="4">
        <f>VLOOKUP($A154,[1]彩含分析60315!$A:$M,12,0)</f>
        <v>27</v>
      </c>
      <c r="G154" s="4">
        <f>VLOOKUP($A154,[1]彩含分析60315!$A:$M,13,0)</f>
        <v>26</v>
      </c>
      <c r="H154" s="4" t="s">
        <v>10</v>
      </c>
      <c r="I154" s="3" t="s">
        <v>314</v>
      </c>
    </row>
    <row r="155" customHeight="1" spans="1:9">
      <c r="A155" s="4" t="s">
        <v>315</v>
      </c>
      <c r="B155" s="4">
        <f>VLOOKUP($A155,[1]彩含分析60315!$A:$M,8,0)</f>
        <v>53</v>
      </c>
      <c r="C155" s="4">
        <f>VLOOKUP($A155,[1]彩含分析60315!$A:$M,9,0)</f>
        <v>51</v>
      </c>
      <c r="D155" s="4">
        <f>VLOOKUP($A155,[1]彩含分析60315!$A:$M,10,0)</f>
        <v>49</v>
      </c>
      <c r="E155" s="4">
        <f>VLOOKUP($A155,[1]彩含分析60315!$A:$M,11,0)</f>
        <v>47</v>
      </c>
      <c r="F155" s="4">
        <f>VLOOKUP($A155,[1]彩含分析60315!$A:$M,12,0)</f>
        <v>45</v>
      </c>
      <c r="G155" s="4">
        <f>VLOOKUP($A155,[1]彩含分析60315!$A:$M,13,0)</f>
        <v>43</v>
      </c>
      <c r="H155" s="4" t="s">
        <v>10</v>
      </c>
      <c r="I155" s="3" t="s">
        <v>316</v>
      </c>
    </row>
    <row r="156" customHeight="1" spans="1:9">
      <c r="A156" s="4" t="s">
        <v>317</v>
      </c>
      <c r="B156" s="4">
        <f>VLOOKUP($A156,[1]彩含分析60315!$A:$M,8,0)</f>
        <v>36</v>
      </c>
      <c r="C156" s="4">
        <f>VLOOKUP($A156,[1]彩含分析60315!$A:$M,9,0)</f>
        <v>35</v>
      </c>
      <c r="D156" s="4">
        <f>VLOOKUP($A156,[1]彩含分析60315!$A:$M,10,0)</f>
        <v>34</v>
      </c>
      <c r="E156" s="4">
        <f>VLOOKUP($A156,[1]彩含分析60315!$A:$M,11,0)</f>
        <v>32</v>
      </c>
      <c r="F156" s="4">
        <f>VLOOKUP($A156,[1]彩含分析60315!$A:$M,12,0)</f>
        <v>31</v>
      </c>
      <c r="G156" s="4">
        <f>VLOOKUP($A156,[1]彩含分析60315!$A:$M,13,0)</f>
        <v>30</v>
      </c>
      <c r="H156" s="4" t="s">
        <v>10</v>
      </c>
      <c r="I156" s="3" t="s">
        <v>318</v>
      </c>
    </row>
    <row r="157" customHeight="1" spans="1:9">
      <c r="A157" s="4" t="s">
        <v>319</v>
      </c>
      <c r="B157" s="4">
        <f>VLOOKUP($A157,[1]彩含分析60315!$A:$M,8,0)</f>
        <v>29</v>
      </c>
      <c r="C157" s="4">
        <f>VLOOKUP($A157,[1]彩含分析60315!$A:$M,9,0)</f>
        <v>28</v>
      </c>
      <c r="D157" s="4">
        <f>VLOOKUP($A157,[1]彩含分析60315!$A:$M,10,0)</f>
        <v>27</v>
      </c>
      <c r="E157" s="4">
        <f>VLOOKUP($A157,[1]彩含分析60315!$A:$M,11,0)</f>
        <v>26</v>
      </c>
      <c r="F157" s="4">
        <f>VLOOKUP($A157,[1]彩含分析60315!$A:$M,12,0)</f>
        <v>25</v>
      </c>
      <c r="G157" s="4">
        <f>VLOOKUP($A157,[1]彩含分析60315!$A:$M,13,0)</f>
        <v>24</v>
      </c>
      <c r="H157" s="4" t="s">
        <v>10</v>
      </c>
      <c r="I157" s="3" t="s">
        <v>320</v>
      </c>
    </row>
    <row r="158" customHeight="1" spans="1:9">
      <c r="A158" s="4" t="s">
        <v>321</v>
      </c>
      <c r="B158" s="4">
        <f>VLOOKUP($A158,[1]彩含分析60315!$A:$M,8,0)</f>
        <v>49</v>
      </c>
      <c r="C158" s="4">
        <f>VLOOKUP($A158,[1]彩含分析60315!$A:$M,9,0)</f>
        <v>47</v>
      </c>
      <c r="D158" s="4">
        <f>VLOOKUP($A158,[1]彩含分析60315!$A:$M,10,0)</f>
        <v>45</v>
      </c>
      <c r="E158" s="4">
        <f>VLOOKUP($A158,[1]彩含分析60315!$A:$M,11,0)</f>
        <v>43</v>
      </c>
      <c r="F158" s="4">
        <f>VLOOKUP($A158,[1]彩含分析60315!$A:$M,12,0)</f>
        <v>42</v>
      </c>
      <c r="G158" s="4">
        <f>VLOOKUP($A158,[1]彩含分析60315!$A:$M,13,0)</f>
        <v>40</v>
      </c>
      <c r="H158" s="4" t="s">
        <v>10</v>
      </c>
      <c r="I158" s="3" t="s">
        <v>322</v>
      </c>
    </row>
    <row r="159" customHeight="1" spans="1:9">
      <c r="A159" s="4" t="s">
        <v>323</v>
      </c>
      <c r="B159" s="4">
        <f>VLOOKUP($A159,[1]彩含分析60315!$A:$M,8,0)</f>
        <v>43</v>
      </c>
      <c r="C159" s="4">
        <f>VLOOKUP($A159,[1]彩含分析60315!$A:$M,9,0)</f>
        <v>42</v>
      </c>
      <c r="D159" s="4">
        <f>VLOOKUP($A159,[1]彩含分析60315!$A:$M,10,0)</f>
        <v>40</v>
      </c>
      <c r="E159" s="4">
        <f>VLOOKUP($A159,[1]彩含分析60315!$A:$M,11,0)</f>
        <v>39</v>
      </c>
      <c r="F159" s="4">
        <f>VLOOKUP($A159,[1]彩含分析60315!$A:$M,12,0)</f>
        <v>37</v>
      </c>
      <c r="G159" s="4">
        <f>VLOOKUP($A159,[1]彩含分析60315!$A:$M,13,0)</f>
        <v>35</v>
      </c>
      <c r="H159" s="4" t="s">
        <v>10</v>
      </c>
      <c r="I159" s="3" t="s">
        <v>324</v>
      </c>
    </row>
    <row r="160" customHeight="1" spans="1:9">
      <c r="A160" s="4" t="s">
        <v>325</v>
      </c>
      <c r="B160" s="4">
        <f>VLOOKUP($A160,[1]彩含分析60315!$A:$M,8,0)</f>
        <v>45</v>
      </c>
      <c r="C160" s="4">
        <f>VLOOKUP($A160,[1]彩含分析60315!$A:$M,9,0)</f>
        <v>43</v>
      </c>
      <c r="D160" s="4">
        <f>VLOOKUP($A160,[1]彩含分析60315!$A:$M,10,0)</f>
        <v>41</v>
      </c>
      <c r="E160" s="4">
        <f>VLOOKUP($A160,[1]彩含分析60315!$A:$M,11,0)</f>
        <v>40</v>
      </c>
      <c r="F160" s="4">
        <f>VLOOKUP($A160,[1]彩含分析60315!$A:$M,12,0)</f>
        <v>38</v>
      </c>
      <c r="G160" s="4">
        <f>VLOOKUP($A160,[1]彩含分析60315!$A:$M,13,0)</f>
        <v>36</v>
      </c>
      <c r="H160" s="4" t="s">
        <v>10</v>
      </c>
      <c r="I160" s="3" t="s">
        <v>326</v>
      </c>
    </row>
    <row r="161" customHeight="1" spans="1:9">
      <c r="A161" s="4" t="s">
        <v>327</v>
      </c>
      <c r="B161" s="4">
        <f>VLOOKUP($A161,[1]彩含分析60315!$A:$M,8,0)</f>
        <v>79</v>
      </c>
      <c r="C161" s="4">
        <f>VLOOKUP($A161,[1]彩含分析60315!$A:$M,9,0)</f>
        <v>78</v>
      </c>
      <c r="D161" s="4">
        <f>VLOOKUP($A161,[1]彩含分析60315!$A:$M,10,0)</f>
        <v>77</v>
      </c>
      <c r="E161" s="4">
        <f>VLOOKUP($A161,[1]彩含分析60315!$A:$M,11,0)</f>
        <v>75</v>
      </c>
      <c r="F161" s="4">
        <f>VLOOKUP($A161,[1]彩含分析60315!$A:$M,12,0)</f>
        <v>75</v>
      </c>
      <c r="G161" s="4">
        <f>VLOOKUP($A161,[1]彩含分析60315!$A:$M,13,0)</f>
        <v>73</v>
      </c>
      <c r="H161" s="4" t="s">
        <v>39</v>
      </c>
      <c r="I161" s="3" t="s">
        <v>328</v>
      </c>
    </row>
    <row r="162" customHeight="1" spans="1:9">
      <c r="A162" s="4" t="s">
        <v>329</v>
      </c>
      <c r="B162" s="4">
        <f>VLOOKUP($A162,[1]彩含分析60315!$A:$M,8,0)</f>
        <v>48</v>
      </c>
      <c r="C162" s="4">
        <f>VLOOKUP($A162,[1]彩含分析60315!$A:$M,9,0)</f>
        <v>46</v>
      </c>
      <c r="D162" s="4">
        <f>VLOOKUP($A162,[1]彩含分析60315!$A:$M,10,0)</f>
        <v>44</v>
      </c>
      <c r="E162" s="4">
        <f>VLOOKUP($A162,[1]彩含分析60315!$A:$M,11,0)</f>
        <v>42</v>
      </c>
      <c r="F162" s="4">
        <f>VLOOKUP($A162,[1]彩含分析60315!$A:$M,12,0)</f>
        <v>41</v>
      </c>
      <c r="G162" s="4">
        <f>VLOOKUP($A162,[1]彩含分析60315!$A:$M,13,0)</f>
        <v>39</v>
      </c>
      <c r="H162" s="4" t="s">
        <v>10</v>
      </c>
      <c r="I162" s="3" t="s">
        <v>330</v>
      </c>
    </row>
    <row r="163" customHeight="1" spans="1:9">
      <c r="A163" s="4" t="s">
        <v>331</v>
      </c>
      <c r="B163" s="4">
        <f>VLOOKUP($A163,[1]彩含分析60315!$A:$M,8,0)</f>
        <v>31</v>
      </c>
      <c r="C163" s="4">
        <f>VLOOKUP($A163,[1]彩含分析60315!$A:$M,9,0)</f>
        <v>30</v>
      </c>
      <c r="D163" s="4">
        <f>VLOOKUP($A163,[1]彩含分析60315!$A:$M,10,0)</f>
        <v>29</v>
      </c>
      <c r="E163" s="4">
        <f>VLOOKUP($A163,[1]彩含分析60315!$A:$M,11,0)</f>
        <v>28</v>
      </c>
      <c r="F163" s="4">
        <f>VLOOKUP($A163,[1]彩含分析60315!$A:$M,12,0)</f>
        <v>27</v>
      </c>
      <c r="G163" s="4">
        <f>VLOOKUP($A163,[1]彩含分析60315!$A:$M,13,0)</f>
        <v>26</v>
      </c>
      <c r="H163" s="4" t="s">
        <v>10</v>
      </c>
      <c r="I163" s="3" t="s">
        <v>332</v>
      </c>
    </row>
    <row r="164" customHeight="1" spans="1:9">
      <c r="A164" s="4" t="s">
        <v>333</v>
      </c>
      <c r="B164" s="4">
        <f>VLOOKUP($A164,[1]彩含分析60315!$A:$M,8,0)</f>
        <v>49</v>
      </c>
      <c r="C164" s="4">
        <f>VLOOKUP($A164,[1]彩含分析60315!$A:$M,9,0)</f>
        <v>47</v>
      </c>
      <c r="D164" s="4">
        <f>VLOOKUP($A164,[1]彩含分析60315!$A:$M,10,0)</f>
        <v>45</v>
      </c>
      <c r="E164" s="4">
        <f>VLOOKUP($A164,[1]彩含分析60315!$A:$M,11,0)</f>
        <v>43</v>
      </c>
      <c r="F164" s="4">
        <f>VLOOKUP($A164,[1]彩含分析60315!$A:$M,12,0)</f>
        <v>42</v>
      </c>
      <c r="G164" s="4">
        <f>VLOOKUP($A164,[1]彩含分析60315!$A:$M,13,0)</f>
        <v>40</v>
      </c>
      <c r="H164" s="4" t="s">
        <v>10</v>
      </c>
      <c r="I164" s="3" t="s">
        <v>334</v>
      </c>
    </row>
    <row r="165" customHeight="1" spans="1:9">
      <c r="A165" s="4" t="s">
        <v>335</v>
      </c>
      <c r="B165" s="4">
        <f>VLOOKUP($A165,[1]彩含分析60315!$A:$M,8,0)</f>
        <v>60</v>
      </c>
      <c r="C165" s="4">
        <f>VLOOKUP($A165,[1]彩含分析60315!$A:$M,9,0)</f>
        <v>58</v>
      </c>
      <c r="D165" s="4">
        <f>VLOOKUP($A165,[1]彩含分析60315!$A:$M,10,0)</f>
        <v>55</v>
      </c>
      <c r="E165" s="4">
        <f>VLOOKUP($A165,[1]彩含分析60315!$A:$M,11,0)</f>
        <v>53</v>
      </c>
      <c r="F165" s="4">
        <f>VLOOKUP($A165,[1]彩含分析60315!$A:$M,12,0)</f>
        <v>51</v>
      </c>
      <c r="G165" s="4">
        <f>VLOOKUP($A165,[1]彩含分析60315!$A:$M,13,0)</f>
        <v>49</v>
      </c>
      <c r="H165" s="4" t="s">
        <v>10</v>
      </c>
      <c r="I165" s="3" t="s">
        <v>336</v>
      </c>
    </row>
    <row r="166" customHeight="1" spans="1:9">
      <c r="A166" s="4" t="s">
        <v>337</v>
      </c>
      <c r="B166" s="4">
        <f>VLOOKUP($A166,[1]彩含分析60315!$A:$M,8,0)</f>
        <v>44</v>
      </c>
      <c r="C166" s="4">
        <f>VLOOKUP($A166,[1]彩含分析60315!$A:$M,9,0)</f>
        <v>42</v>
      </c>
      <c r="D166" s="4">
        <f>VLOOKUP($A166,[1]彩含分析60315!$A:$M,10,0)</f>
        <v>40</v>
      </c>
      <c r="E166" s="4">
        <f>VLOOKUP($A166,[1]彩含分析60315!$A:$M,11,0)</f>
        <v>39</v>
      </c>
      <c r="F166" s="4">
        <f>VLOOKUP($A166,[1]彩含分析60315!$A:$M,12,0)</f>
        <v>37</v>
      </c>
      <c r="G166" s="4">
        <f>VLOOKUP($A166,[1]彩含分析60315!$A:$M,13,0)</f>
        <v>36</v>
      </c>
      <c r="H166" s="4" t="s">
        <v>10</v>
      </c>
      <c r="I166" s="3" t="s">
        <v>338</v>
      </c>
    </row>
    <row r="167" customHeight="1" spans="1:9">
      <c r="A167" s="4" t="s">
        <v>339</v>
      </c>
      <c r="B167" s="4">
        <f>VLOOKUP($A167,[1]彩含分析60315!$A:$M,8,0)</f>
        <v>30</v>
      </c>
      <c r="C167" s="4">
        <f>VLOOKUP($A167,[1]彩含分析60315!$A:$M,9,0)</f>
        <v>29</v>
      </c>
      <c r="D167" s="4">
        <f>VLOOKUP($A167,[1]彩含分析60315!$A:$M,10,0)</f>
        <v>28</v>
      </c>
      <c r="E167" s="4">
        <f>VLOOKUP($A167,[1]彩含分析60315!$A:$M,11,0)</f>
        <v>27</v>
      </c>
      <c r="F167" s="4">
        <f>VLOOKUP($A167,[1]彩含分析60315!$A:$M,12,0)</f>
        <v>26</v>
      </c>
      <c r="G167" s="4">
        <f>VLOOKUP($A167,[1]彩含分析60315!$A:$M,13,0)</f>
        <v>25</v>
      </c>
      <c r="H167" s="4" t="s">
        <v>10</v>
      </c>
      <c r="I167" s="3" t="s">
        <v>340</v>
      </c>
    </row>
    <row r="168" customHeight="1" spans="1:9">
      <c r="A168" s="4" t="s">
        <v>341</v>
      </c>
      <c r="B168" s="4">
        <f>VLOOKUP($A168,[1]彩含分析60315!$A:$M,8,0)</f>
        <v>39</v>
      </c>
      <c r="C168" s="4">
        <f>VLOOKUP($A168,[1]彩含分析60315!$A:$M,9,0)</f>
        <v>37</v>
      </c>
      <c r="D168" s="4">
        <f>VLOOKUP($A168,[1]彩含分析60315!$A:$M,10,0)</f>
        <v>36</v>
      </c>
      <c r="E168" s="4">
        <f>VLOOKUP($A168,[1]彩含分析60315!$A:$M,11,0)</f>
        <v>34</v>
      </c>
      <c r="F168" s="4">
        <f>VLOOKUP($A168,[1]彩含分析60315!$A:$M,12,0)</f>
        <v>33</v>
      </c>
      <c r="G168" s="4">
        <f>VLOOKUP($A168,[1]彩含分析60315!$A:$M,13,0)</f>
        <v>32</v>
      </c>
      <c r="H168" s="4" t="s">
        <v>10</v>
      </c>
      <c r="I168" s="3" t="s">
        <v>342</v>
      </c>
    </row>
    <row r="169" customHeight="1" spans="1:9">
      <c r="A169" s="4" t="s">
        <v>343</v>
      </c>
      <c r="B169" s="4">
        <f>VLOOKUP($A169,[1]彩含分析60315!$A:$M,8,0)</f>
        <v>60</v>
      </c>
      <c r="C169" s="4">
        <f>VLOOKUP($A169,[1]彩含分析60315!$A:$M,9,0)</f>
        <v>59</v>
      </c>
      <c r="D169" s="4">
        <f>VLOOKUP($A169,[1]彩含分析60315!$A:$M,10,0)</f>
        <v>58</v>
      </c>
      <c r="E169" s="4">
        <f>VLOOKUP($A169,[1]彩含分析60315!$A:$M,11,0)</f>
        <v>57</v>
      </c>
      <c r="F169" s="4">
        <f>VLOOKUP($A169,[1]彩含分析60315!$A:$M,12,0)</f>
        <v>56</v>
      </c>
      <c r="G169" s="4">
        <f>VLOOKUP($A169,[1]彩含分析60315!$A:$M,13,0)</f>
        <v>55</v>
      </c>
      <c r="H169" s="4" t="s">
        <v>39</v>
      </c>
      <c r="I169" s="3" t="s">
        <v>344</v>
      </c>
    </row>
    <row r="170" customHeight="1" spans="1:9">
      <c r="A170" s="4" t="s">
        <v>345</v>
      </c>
      <c r="B170" s="4">
        <f>VLOOKUP($A170,[1]彩含分析60315!$A:$M,8,0)</f>
        <v>44</v>
      </c>
      <c r="C170" s="4">
        <f>VLOOKUP($A170,[1]彩含分析60315!$A:$M,9,0)</f>
        <v>42</v>
      </c>
      <c r="D170" s="4">
        <f>VLOOKUP($A170,[1]彩含分析60315!$A:$M,10,0)</f>
        <v>40</v>
      </c>
      <c r="E170" s="4">
        <f>VLOOKUP($A170,[1]彩含分析60315!$A:$M,11,0)</f>
        <v>39</v>
      </c>
      <c r="F170" s="4">
        <f>VLOOKUP($A170,[1]彩含分析60315!$A:$M,12,0)</f>
        <v>37</v>
      </c>
      <c r="G170" s="4">
        <f>VLOOKUP($A170,[1]彩含分析60315!$A:$M,13,0)</f>
        <v>36</v>
      </c>
      <c r="H170" s="4" t="s">
        <v>10</v>
      </c>
      <c r="I170" s="3" t="s">
        <v>346</v>
      </c>
    </row>
    <row r="171" customHeight="1" spans="1:9">
      <c r="A171" s="4" t="s">
        <v>347</v>
      </c>
      <c r="B171" s="4">
        <f>VLOOKUP($A171,[1]彩含分析60315!$A:$M,8,0)</f>
        <v>46</v>
      </c>
      <c r="C171" s="4">
        <f>VLOOKUP($A171,[1]彩含分析60315!$A:$M,9,0)</f>
        <v>45</v>
      </c>
      <c r="D171" s="4">
        <f>VLOOKUP($A171,[1]彩含分析60315!$A:$M,10,0)</f>
        <v>43</v>
      </c>
      <c r="E171" s="4">
        <f>VLOOKUP($A171,[1]彩含分析60315!$A:$M,11,0)</f>
        <v>41</v>
      </c>
      <c r="F171" s="4">
        <f>VLOOKUP($A171,[1]彩含分析60315!$A:$M,12,0)</f>
        <v>40</v>
      </c>
      <c r="G171" s="4">
        <f>VLOOKUP($A171,[1]彩含分析60315!$A:$M,13,0)</f>
        <v>38</v>
      </c>
      <c r="H171" s="4" t="s">
        <v>10</v>
      </c>
      <c r="I171" s="3" t="s">
        <v>348</v>
      </c>
    </row>
    <row r="172" customHeight="1" spans="1:9">
      <c r="A172" s="4" t="s">
        <v>349</v>
      </c>
      <c r="B172" s="4">
        <f>VLOOKUP($A172,[1]彩含分析60315!$A:$M,8,0)</f>
        <v>57</v>
      </c>
      <c r="C172" s="4">
        <f>VLOOKUP($A172,[1]彩含分析60315!$A:$M,9,0)</f>
        <v>55</v>
      </c>
      <c r="D172" s="4">
        <f>VLOOKUP($A172,[1]彩含分析60315!$A:$M,10,0)</f>
        <v>53</v>
      </c>
      <c r="E172" s="4">
        <f>VLOOKUP($A172,[1]彩含分析60315!$A:$M,11,0)</f>
        <v>51</v>
      </c>
      <c r="F172" s="4">
        <f>VLOOKUP($A172,[1]彩含分析60315!$A:$M,12,0)</f>
        <v>49</v>
      </c>
      <c r="G172" s="4">
        <f>VLOOKUP($A172,[1]彩含分析60315!$A:$M,13,0)</f>
        <v>47</v>
      </c>
      <c r="H172" s="4" t="s">
        <v>10</v>
      </c>
      <c r="I172" s="3" t="s">
        <v>350</v>
      </c>
    </row>
    <row r="173" customHeight="1" spans="1:9">
      <c r="A173" s="4" t="s">
        <v>351</v>
      </c>
      <c r="B173" s="4">
        <f>VLOOKUP($A173,[1]彩含分析60315!$A:$M,8,0)</f>
        <v>43</v>
      </c>
      <c r="C173" s="4">
        <f>VLOOKUP($A173,[1]彩含分析60315!$A:$M,9,0)</f>
        <v>42</v>
      </c>
      <c r="D173" s="4">
        <f>VLOOKUP($A173,[1]彩含分析60315!$A:$M,10,0)</f>
        <v>40</v>
      </c>
      <c r="E173" s="4">
        <f>VLOOKUP($A173,[1]彩含分析60315!$A:$M,11,0)</f>
        <v>38</v>
      </c>
      <c r="F173" s="4">
        <f>VLOOKUP($A173,[1]彩含分析60315!$A:$M,12,0)</f>
        <v>37</v>
      </c>
      <c r="G173" s="4">
        <f>VLOOKUP($A173,[1]彩含分析60315!$A:$M,13,0)</f>
        <v>35</v>
      </c>
      <c r="H173" s="4" t="s">
        <v>10</v>
      </c>
      <c r="I173" s="3" t="s">
        <v>352</v>
      </c>
    </row>
    <row r="174" customHeight="1" spans="1:9">
      <c r="A174" s="4" t="s">
        <v>353</v>
      </c>
      <c r="B174" s="4">
        <f>VLOOKUP($A174,[1]彩含分析60315!$A:$M,8,0)</f>
        <v>93</v>
      </c>
      <c r="C174" s="4">
        <f>VLOOKUP($A174,[1]彩含分析60315!$A:$M,9,0)</f>
        <v>90</v>
      </c>
      <c r="D174" s="4">
        <f>VLOOKUP($A174,[1]彩含分析60315!$A:$M,10,0)</f>
        <v>86</v>
      </c>
      <c r="E174" s="4">
        <f>VLOOKUP($A174,[1]彩含分析60315!$A:$M,11,0)</f>
        <v>83</v>
      </c>
      <c r="F174" s="4">
        <f>VLOOKUP($A174,[1]彩含分析60315!$A:$M,12,0)</f>
        <v>79</v>
      </c>
      <c r="G174" s="4">
        <f>VLOOKUP($A174,[1]彩含分析60315!$A:$M,13,0)</f>
        <v>76</v>
      </c>
      <c r="H174" s="4" t="s">
        <v>10</v>
      </c>
      <c r="I174" s="3" t="s">
        <v>354</v>
      </c>
    </row>
    <row r="175" customHeight="1" spans="1:9">
      <c r="A175" s="4" t="s">
        <v>355</v>
      </c>
      <c r="B175" s="4">
        <f>VLOOKUP($A175,[1]彩含分析60315!$A:$M,8,0)</f>
        <v>39</v>
      </c>
      <c r="C175" s="4">
        <f>VLOOKUP($A175,[1]彩含分析60315!$A:$M,9,0)</f>
        <v>37</v>
      </c>
      <c r="D175" s="4">
        <f>VLOOKUP($A175,[1]彩含分析60315!$A:$M,10,0)</f>
        <v>36</v>
      </c>
      <c r="E175" s="4">
        <f>VLOOKUP($A175,[1]彩含分析60315!$A:$M,11,0)</f>
        <v>35</v>
      </c>
      <c r="F175" s="4">
        <f>VLOOKUP($A175,[1]彩含分析60315!$A:$M,12,0)</f>
        <v>33</v>
      </c>
      <c r="G175" s="4">
        <f>VLOOKUP($A175,[1]彩含分析60315!$A:$M,13,0)</f>
        <v>32</v>
      </c>
      <c r="H175" s="4" t="s">
        <v>10</v>
      </c>
      <c r="I175" s="3" t="s">
        <v>356</v>
      </c>
    </row>
    <row r="176" customHeight="1" spans="1:9">
      <c r="A176" s="4" t="s">
        <v>357</v>
      </c>
      <c r="B176" s="4">
        <f>VLOOKUP($A176,[1]彩含分析60315!$A:$M,8,0)</f>
        <v>24</v>
      </c>
      <c r="C176" s="4">
        <f>VLOOKUP($A176,[1]彩含分析60315!$A:$M,9,0)</f>
        <v>23</v>
      </c>
      <c r="D176" s="4">
        <f>VLOOKUP($A176,[1]彩含分析60315!$A:$M,10,0)</f>
        <v>22</v>
      </c>
      <c r="E176" s="4">
        <f>VLOOKUP($A176,[1]彩含分析60315!$A:$M,11,0)</f>
        <v>21</v>
      </c>
      <c r="F176" s="4">
        <f>VLOOKUP($A176,[1]彩含分析60315!$A:$M,12,0)</f>
        <v>21</v>
      </c>
      <c r="G176" s="4">
        <f>VLOOKUP($A176,[1]彩含分析60315!$A:$M,13,0)</f>
        <v>20</v>
      </c>
      <c r="H176" s="4" t="s">
        <v>10</v>
      </c>
      <c r="I176" s="3" t="s">
        <v>358</v>
      </c>
    </row>
    <row r="177" customHeight="1" spans="1:9">
      <c r="A177" s="4" t="s">
        <v>359</v>
      </c>
      <c r="B177" s="4">
        <f>VLOOKUP($A177,[1]彩含分析60315!$A:$M,8,0)</f>
        <v>35</v>
      </c>
      <c r="C177" s="4">
        <f>VLOOKUP($A177,[1]彩含分析60315!$A:$M,9,0)</f>
        <v>34</v>
      </c>
      <c r="D177" s="4">
        <f>VLOOKUP($A177,[1]彩含分析60315!$A:$M,10,0)</f>
        <v>32</v>
      </c>
      <c r="E177" s="4">
        <f>VLOOKUP($A177,[1]彩含分析60315!$A:$M,11,0)</f>
        <v>31</v>
      </c>
      <c r="F177" s="4">
        <f>VLOOKUP($A177,[1]彩含分析60315!$A:$M,12,0)</f>
        <v>30</v>
      </c>
      <c r="G177" s="4">
        <f>VLOOKUP($A177,[1]彩含分析60315!$A:$M,13,0)</f>
        <v>28</v>
      </c>
      <c r="H177" s="4" t="s">
        <v>10</v>
      </c>
      <c r="I177" s="3" t="s">
        <v>360</v>
      </c>
    </row>
    <row r="178" customHeight="1" spans="1:9">
      <c r="A178" s="4" t="s">
        <v>361</v>
      </c>
      <c r="B178" s="4">
        <f>VLOOKUP($A178,[1]彩含分析60315!$A:$M,8,0)</f>
        <v>36</v>
      </c>
      <c r="C178" s="4">
        <f>VLOOKUP($A178,[1]彩含分析60315!$A:$M,9,0)</f>
        <v>35</v>
      </c>
      <c r="D178" s="4">
        <f>VLOOKUP($A178,[1]彩含分析60315!$A:$M,10,0)</f>
        <v>33</v>
      </c>
      <c r="E178" s="4">
        <f>VLOOKUP($A178,[1]彩含分析60315!$A:$M,11,0)</f>
        <v>32</v>
      </c>
      <c r="F178" s="4">
        <f>VLOOKUP($A178,[1]彩含分析60315!$A:$M,12,0)</f>
        <v>31</v>
      </c>
      <c r="G178" s="4">
        <f>VLOOKUP($A178,[1]彩含分析60315!$A:$M,13,0)</f>
        <v>29</v>
      </c>
      <c r="H178" s="4" t="s">
        <v>10</v>
      </c>
      <c r="I178" s="3" t="s">
        <v>362</v>
      </c>
    </row>
    <row r="179" customHeight="1" spans="1:9">
      <c r="A179" s="4" t="s">
        <v>363</v>
      </c>
      <c r="B179" s="4">
        <f>VLOOKUP($A179,[1]彩含分析60315!$A:$M,8,0)</f>
        <v>37</v>
      </c>
      <c r="C179" s="4">
        <f>VLOOKUP($A179,[1]彩含分析60315!$A:$M,9,0)</f>
        <v>36</v>
      </c>
      <c r="D179" s="4">
        <f>VLOOKUP($A179,[1]彩含分析60315!$A:$M,10,0)</f>
        <v>34</v>
      </c>
      <c r="E179" s="4">
        <f>VLOOKUP($A179,[1]彩含分析60315!$A:$M,11,0)</f>
        <v>33</v>
      </c>
      <c r="F179" s="4">
        <f>VLOOKUP($A179,[1]彩含分析60315!$A:$M,12,0)</f>
        <v>32</v>
      </c>
      <c r="G179" s="4">
        <f>VLOOKUP($A179,[1]彩含分析60315!$A:$M,13,0)</f>
        <v>30</v>
      </c>
      <c r="H179" s="4" t="s">
        <v>10</v>
      </c>
      <c r="I179" s="3" t="s">
        <v>364</v>
      </c>
    </row>
    <row r="180" customHeight="1" spans="1:9">
      <c r="A180" s="4" t="s">
        <v>365</v>
      </c>
      <c r="B180" s="4">
        <f>VLOOKUP($A180,[1]彩含分析60315!$A:$M,8,0)</f>
        <v>32</v>
      </c>
      <c r="C180" s="4">
        <f>VLOOKUP($A180,[1]彩含分析60315!$A:$M,9,0)</f>
        <v>31</v>
      </c>
      <c r="D180" s="4">
        <f>VLOOKUP($A180,[1]彩含分析60315!$A:$M,10,0)</f>
        <v>30</v>
      </c>
      <c r="E180" s="4">
        <f>VLOOKUP($A180,[1]彩含分析60315!$A:$M,11,0)</f>
        <v>29</v>
      </c>
      <c r="F180" s="4">
        <f>VLOOKUP($A180,[1]彩含分析60315!$A:$M,12,0)</f>
        <v>28</v>
      </c>
      <c r="G180" s="4">
        <f>VLOOKUP($A180,[1]彩含分析60315!$A:$M,13,0)</f>
        <v>26</v>
      </c>
      <c r="H180" s="4" t="s">
        <v>10</v>
      </c>
      <c r="I180" s="3" t="s">
        <v>366</v>
      </c>
    </row>
    <row r="181" customHeight="1" spans="1:9">
      <c r="A181" s="4" t="s">
        <v>367</v>
      </c>
      <c r="B181" s="4">
        <f>VLOOKUP($A181,[1]彩含分析60315!$A:$M,8,0)</f>
        <v>28</v>
      </c>
      <c r="C181" s="4">
        <f>VLOOKUP($A181,[1]彩含分析60315!$A:$M,9,0)</f>
        <v>27</v>
      </c>
      <c r="D181" s="4">
        <f>VLOOKUP($A181,[1]彩含分析60315!$A:$M,10,0)</f>
        <v>26</v>
      </c>
      <c r="E181" s="4">
        <f>VLOOKUP($A181,[1]彩含分析60315!$A:$M,11,0)</f>
        <v>25</v>
      </c>
      <c r="F181" s="4">
        <f>VLOOKUP($A181,[1]彩含分析60315!$A:$M,12,0)</f>
        <v>24</v>
      </c>
      <c r="G181" s="4">
        <f>VLOOKUP($A181,[1]彩含分析60315!$A:$M,13,0)</f>
        <v>23</v>
      </c>
      <c r="H181" s="4" t="s">
        <v>10</v>
      </c>
      <c r="I181" s="3" t="s">
        <v>368</v>
      </c>
    </row>
    <row r="182" customHeight="1" spans="1:9">
      <c r="A182" s="4" t="s">
        <v>369</v>
      </c>
      <c r="B182" s="4">
        <f>VLOOKUP($A182,[1]彩含分析60315!$A:$M,8,0)</f>
        <v>52</v>
      </c>
      <c r="C182" s="4">
        <f>VLOOKUP($A182,[1]彩含分析60315!$A:$M,9,0)</f>
        <v>52</v>
      </c>
      <c r="D182" s="4">
        <f>VLOOKUP($A182,[1]彩含分析60315!$A:$M,10,0)</f>
        <v>51</v>
      </c>
      <c r="E182" s="4">
        <f>VLOOKUP($A182,[1]彩含分析60315!$A:$M,11,0)</f>
        <v>50</v>
      </c>
      <c r="F182" s="4">
        <f>VLOOKUP($A182,[1]彩含分析60315!$A:$M,12,0)</f>
        <v>49</v>
      </c>
      <c r="G182" s="4">
        <f>VLOOKUP($A182,[1]彩含分析60315!$A:$M,13,0)</f>
        <v>49</v>
      </c>
      <c r="H182" s="4" t="s">
        <v>39</v>
      </c>
      <c r="I182" s="3" t="s">
        <v>370</v>
      </c>
    </row>
    <row r="183" customHeight="1" spans="1:9">
      <c r="A183" s="4" t="s">
        <v>371</v>
      </c>
      <c r="B183" s="4">
        <f>VLOOKUP($A183,[1]彩含分析60315!$A:$M,8,0)</f>
        <v>39</v>
      </c>
      <c r="C183" s="4">
        <f>VLOOKUP($A183,[1]彩含分析60315!$A:$M,9,0)</f>
        <v>38</v>
      </c>
      <c r="D183" s="4">
        <f>VLOOKUP($A183,[1]彩含分析60315!$A:$M,10,0)</f>
        <v>36</v>
      </c>
      <c r="E183" s="4">
        <f>VLOOKUP($A183,[1]彩含分析60315!$A:$M,11,0)</f>
        <v>35</v>
      </c>
      <c r="F183" s="4">
        <f>VLOOKUP($A183,[1]彩含分析60315!$A:$M,12,0)</f>
        <v>33</v>
      </c>
      <c r="G183" s="4">
        <f>VLOOKUP($A183,[1]彩含分析60315!$A:$M,13,0)</f>
        <v>32</v>
      </c>
      <c r="H183" s="4" t="s">
        <v>10</v>
      </c>
      <c r="I183" s="3" t="s">
        <v>372</v>
      </c>
    </row>
    <row r="184" customHeight="1" spans="1:9">
      <c r="A184" s="4" t="s">
        <v>373</v>
      </c>
      <c r="B184" s="4">
        <f>VLOOKUP($A184,[1]彩含分析60315!$A:$M,8,0)</f>
        <v>35</v>
      </c>
      <c r="C184" s="4">
        <f>VLOOKUP($A184,[1]彩含分析60315!$A:$M,9,0)</f>
        <v>33</v>
      </c>
      <c r="D184" s="4">
        <f>VLOOKUP($A184,[1]彩含分析60315!$A:$M,10,0)</f>
        <v>32</v>
      </c>
      <c r="E184" s="4">
        <f>VLOOKUP($A184,[1]彩含分析60315!$A:$M,11,0)</f>
        <v>31</v>
      </c>
      <c r="F184" s="4">
        <f>VLOOKUP($A184,[1]彩含分析60315!$A:$M,12,0)</f>
        <v>30</v>
      </c>
      <c r="G184" s="4">
        <f>VLOOKUP($A184,[1]彩含分析60315!$A:$M,13,0)</f>
        <v>28</v>
      </c>
      <c r="H184" s="4" t="s">
        <v>10</v>
      </c>
      <c r="I184" s="3" t="s">
        <v>374</v>
      </c>
    </row>
    <row r="185" customHeight="1" spans="1:9">
      <c r="A185" s="4" t="s">
        <v>375</v>
      </c>
      <c r="B185" s="4">
        <f>VLOOKUP($A185,[1]彩含分析60315!$A:$M,8,0)</f>
        <v>43</v>
      </c>
      <c r="C185" s="4">
        <f>VLOOKUP($A185,[1]彩含分析60315!$A:$M,9,0)</f>
        <v>41</v>
      </c>
      <c r="D185" s="4">
        <f>VLOOKUP($A185,[1]彩含分析60315!$A:$M,10,0)</f>
        <v>40</v>
      </c>
      <c r="E185" s="4">
        <f>VLOOKUP($A185,[1]彩含分析60315!$A:$M,11,0)</f>
        <v>38</v>
      </c>
      <c r="F185" s="4">
        <f>VLOOKUP($A185,[1]彩含分析60315!$A:$M,12,0)</f>
        <v>37</v>
      </c>
      <c r="G185" s="4">
        <f>VLOOKUP($A185,[1]彩含分析60315!$A:$M,13,0)</f>
        <v>35</v>
      </c>
      <c r="H185" s="4" t="s">
        <v>10</v>
      </c>
      <c r="I185" s="3" t="s">
        <v>376</v>
      </c>
    </row>
    <row r="186" customHeight="1" spans="1:9">
      <c r="A186" s="4" t="s">
        <v>377</v>
      </c>
      <c r="B186" s="4">
        <f>VLOOKUP($A186,[1]彩含分析60315!$A:$M,8,0)</f>
        <v>48</v>
      </c>
      <c r="C186" s="4">
        <f>VLOOKUP($A186,[1]彩含分析60315!$A:$M,9,0)</f>
        <v>46</v>
      </c>
      <c r="D186" s="4">
        <f>VLOOKUP($A186,[1]彩含分析60315!$A:$M,10,0)</f>
        <v>44</v>
      </c>
      <c r="E186" s="4">
        <f>VLOOKUP($A186,[1]彩含分析60315!$A:$M,11,0)</f>
        <v>42</v>
      </c>
      <c r="F186" s="4">
        <f>VLOOKUP($A186,[1]彩含分析60315!$A:$M,12,0)</f>
        <v>41</v>
      </c>
      <c r="G186" s="4">
        <f>VLOOKUP($A186,[1]彩含分析60315!$A:$M,13,0)</f>
        <v>39</v>
      </c>
      <c r="H186" s="4" t="s">
        <v>10</v>
      </c>
      <c r="I186" s="3" t="s">
        <v>310</v>
      </c>
    </row>
    <row r="187" customHeight="1" spans="1:9">
      <c r="A187" s="4" t="s">
        <v>378</v>
      </c>
      <c r="B187" s="4">
        <f>VLOOKUP($A187,[1]彩含分析60315!$A:$M,8,0)</f>
        <v>26</v>
      </c>
      <c r="C187" s="4">
        <f>VLOOKUP($A187,[1]彩含分析60315!$A:$M,9,0)</f>
        <v>25</v>
      </c>
      <c r="D187" s="4">
        <f>VLOOKUP($A187,[1]彩含分析60315!$A:$M,10,0)</f>
        <v>24</v>
      </c>
      <c r="E187" s="4">
        <f>VLOOKUP($A187,[1]彩含分析60315!$A:$M,11,0)</f>
        <v>23</v>
      </c>
      <c r="F187" s="4">
        <f>VLOOKUP($A187,[1]彩含分析60315!$A:$M,12,0)</f>
        <v>22</v>
      </c>
      <c r="G187" s="4">
        <f>VLOOKUP($A187,[1]彩含分析60315!$A:$M,13,0)</f>
        <v>21</v>
      </c>
      <c r="H187" s="4" t="s">
        <v>10</v>
      </c>
      <c r="I187" s="3" t="s">
        <v>19</v>
      </c>
    </row>
    <row r="188" customHeight="1" spans="1:9">
      <c r="A188" s="4" t="s">
        <v>379</v>
      </c>
      <c r="B188" s="4">
        <f>VLOOKUP($A188,[1]彩含分析60315!$A:$M,8,0)</f>
        <v>35</v>
      </c>
      <c r="C188" s="4">
        <f>VLOOKUP($A188,[1]彩含分析60315!$A:$M,9,0)</f>
        <v>34</v>
      </c>
      <c r="D188" s="4">
        <f>VLOOKUP($A188,[1]彩含分析60315!$A:$M,10,0)</f>
        <v>33</v>
      </c>
      <c r="E188" s="4">
        <f>VLOOKUP($A188,[1]彩含分析60315!$A:$M,11,0)</f>
        <v>31</v>
      </c>
      <c r="F188" s="4">
        <f>VLOOKUP($A188,[1]彩含分析60315!$A:$M,12,0)</f>
        <v>30</v>
      </c>
      <c r="G188" s="4">
        <f>VLOOKUP($A188,[1]彩含分析60315!$A:$M,13,0)</f>
        <v>29</v>
      </c>
      <c r="H188" s="4" t="s">
        <v>10</v>
      </c>
      <c r="I188" s="3" t="s">
        <v>380</v>
      </c>
    </row>
    <row r="189" customHeight="1" spans="1:9">
      <c r="A189" s="4" t="s">
        <v>381</v>
      </c>
      <c r="B189" s="4">
        <f>VLOOKUP($A189,[1]彩含分析60315!$A:$M,8,0)</f>
        <v>29</v>
      </c>
      <c r="C189" s="4">
        <f>VLOOKUP($A189,[1]彩含分析60315!$A:$M,9,0)</f>
        <v>28</v>
      </c>
      <c r="D189" s="4">
        <f>VLOOKUP($A189,[1]彩含分析60315!$A:$M,10,0)</f>
        <v>27</v>
      </c>
      <c r="E189" s="4">
        <f>VLOOKUP($A189,[1]彩含分析60315!$A:$M,11,0)</f>
        <v>26</v>
      </c>
      <c r="F189" s="4">
        <f>VLOOKUP($A189,[1]彩含分析60315!$A:$M,12,0)</f>
        <v>25</v>
      </c>
      <c r="G189" s="4">
        <f>VLOOKUP($A189,[1]彩含分析60315!$A:$M,13,0)</f>
        <v>24</v>
      </c>
      <c r="H189" s="4" t="s">
        <v>10</v>
      </c>
      <c r="I189" s="3" t="s">
        <v>382</v>
      </c>
    </row>
    <row r="190" customHeight="1" spans="1:9">
      <c r="A190" s="4" t="s">
        <v>383</v>
      </c>
      <c r="B190" s="4">
        <f>VLOOKUP($A190,[1]彩含分析60315!$A:$M,8,0)</f>
        <v>40</v>
      </c>
      <c r="C190" s="4">
        <f>VLOOKUP($A190,[1]彩含分析60315!$A:$M,9,0)</f>
        <v>38</v>
      </c>
      <c r="D190" s="4">
        <f>VLOOKUP($A190,[1]彩含分析60315!$A:$M,10,0)</f>
        <v>37</v>
      </c>
      <c r="E190" s="4">
        <f>VLOOKUP($A190,[1]彩含分析60315!$A:$M,11,0)</f>
        <v>35</v>
      </c>
      <c r="F190" s="4">
        <f>VLOOKUP($A190,[1]彩含分析60315!$A:$M,12,0)</f>
        <v>34</v>
      </c>
      <c r="G190" s="4">
        <f>VLOOKUP($A190,[1]彩含分析60315!$A:$M,13,0)</f>
        <v>32</v>
      </c>
      <c r="H190" s="4" t="s">
        <v>10</v>
      </c>
      <c r="I190" s="3" t="s">
        <v>384</v>
      </c>
    </row>
    <row r="191" customHeight="1" spans="1:9">
      <c r="A191" s="4" t="s">
        <v>385</v>
      </c>
      <c r="B191" s="4">
        <f>VLOOKUP($A191,[1]彩含分析60315!$A:$M,8,0)</f>
        <v>33</v>
      </c>
      <c r="C191" s="4">
        <f>VLOOKUP($A191,[1]彩含分析60315!$A:$M,9,0)</f>
        <v>32</v>
      </c>
      <c r="D191" s="4">
        <f>VLOOKUP($A191,[1]彩含分析60315!$A:$M,10,0)</f>
        <v>31</v>
      </c>
      <c r="E191" s="4">
        <f>VLOOKUP($A191,[1]彩含分析60315!$A:$M,11,0)</f>
        <v>30</v>
      </c>
      <c r="F191" s="4">
        <f>VLOOKUP($A191,[1]彩含分析60315!$A:$M,12,0)</f>
        <v>28</v>
      </c>
      <c r="G191" s="4">
        <f>VLOOKUP($A191,[1]彩含分析60315!$A:$M,13,0)</f>
        <v>27</v>
      </c>
      <c r="H191" s="4" t="s">
        <v>10</v>
      </c>
      <c r="I191" s="3" t="s">
        <v>386</v>
      </c>
    </row>
    <row r="192" customHeight="1" spans="1:9">
      <c r="A192" s="4" t="s">
        <v>387</v>
      </c>
      <c r="B192" s="4">
        <f>VLOOKUP($A192,[1]彩含分析60315!$A:$M,8,0)</f>
        <v>40</v>
      </c>
      <c r="C192" s="4">
        <f>VLOOKUP($A192,[1]彩含分析60315!$A:$M,9,0)</f>
        <v>39</v>
      </c>
      <c r="D192" s="4">
        <f>VLOOKUP($A192,[1]彩含分析60315!$A:$M,10,0)</f>
        <v>38</v>
      </c>
      <c r="E192" s="4">
        <f>VLOOKUP($A192,[1]彩含分析60315!$A:$M,11,0)</f>
        <v>38</v>
      </c>
      <c r="F192" s="4">
        <f>VLOOKUP($A192,[1]彩含分析60315!$A:$M,12,0)</f>
        <v>37</v>
      </c>
      <c r="G192" s="4">
        <f>VLOOKUP($A192,[1]彩含分析60315!$A:$M,13,0)</f>
        <v>37</v>
      </c>
      <c r="H192" s="4" t="s">
        <v>39</v>
      </c>
      <c r="I192" s="3" t="s">
        <v>388</v>
      </c>
    </row>
    <row r="193" customHeight="1" spans="1:9">
      <c r="A193" s="4" t="s">
        <v>389</v>
      </c>
      <c r="B193" s="4">
        <f>VLOOKUP($A193,[1]彩含分析60315!$A:$M,8,0)</f>
        <v>44</v>
      </c>
      <c r="C193" s="4">
        <f>VLOOKUP($A193,[1]彩含分析60315!$A:$M,9,0)</f>
        <v>43</v>
      </c>
      <c r="D193" s="4">
        <f>VLOOKUP($A193,[1]彩含分析60315!$A:$M,10,0)</f>
        <v>41</v>
      </c>
      <c r="E193" s="4">
        <f>VLOOKUP($A193,[1]彩含分析60315!$A:$M,11,0)</f>
        <v>40</v>
      </c>
      <c r="F193" s="4">
        <f>VLOOKUP($A193,[1]彩含分析60315!$A:$M,12,0)</f>
        <v>38</v>
      </c>
      <c r="G193" s="4">
        <f>VLOOKUP($A193,[1]彩含分析60315!$A:$M,13,0)</f>
        <v>36</v>
      </c>
      <c r="H193" s="4" t="s">
        <v>10</v>
      </c>
      <c r="I193" s="3" t="s">
        <v>390</v>
      </c>
    </row>
    <row r="194" customHeight="1" spans="1:9">
      <c r="A194" s="4" t="s">
        <v>391</v>
      </c>
      <c r="B194" s="4">
        <f>VLOOKUP($A194,[1]彩含分析60315!$A:$M,8,0)</f>
        <v>52</v>
      </c>
      <c r="C194" s="4">
        <f>VLOOKUP($A194,[1]彩含分析60315!$A:$M,9,0)</f>
        <v>50</v>
      </c>
      <c r="D194" s="4">
        <f>VLOOKUP($A194,[1]彩含分析60315!$A:$M,10,0)</f>
        <v>48</v>
      </c>
      <c r="E194" s="4">
        <f>VLOOKUP($A194,[1]彩含分析60315!$A:$M,11,0)</f>
        <v>46</v>
      </c>
      <c r="F194" s="4">
        <f>VLOOKUP($A194,[1]彩含分析60315!$A:$M,12,0)</f>
        <v>44</v>
      </c>
      <c r="G194" s="4">
        <f>VLOOKUP($A194,[1]彩含分析60315!$A:$M,13,0)</f>
        <v>42</v>
      </c>
      <c r="H194" s="4" t="s">
        <v>10</v>
      </c>
      <c r="I194" s="3" t="s">
        <v>392</v>
      </c>
    </row>
    <row r="195" customHeight="1" spans="1:9">
      <c r="A195" s="4" t="s">
        <v>393</v>
      </c>
      <c r="B195" s="4">
        <f>VLOOKUP($A195,[1]彩含分析60315!$A:$M,8,0)</f>
        <v>31</v>
      </c>
      <c r="C195" s="4">
        <f>VLOOKUP($A195,[1]彩含分析60315!$A:$M,9,0)</f>
        <v>30</v>
      </c>
      <c r="D195" s="4">
        <f>VLOOKUP($A195,[1]彩含分析60315!$A:$M,10,0)</f>
        <v>29</v>
      </c>
      <c r="E195" s="4">
        <f>VLOOKUP($A195,[1]彩含分析60315!$A:$M,11,0)</f>
        <v>28</v>
      </c>
      <c r="F195" s="4">
        <f>VLOOKUP($A195,[1]彩含分析60315!$A:$M,12,0)</f>
        <v>26</v>
      </c>
      <c r="G195" s="4">
        <f>VLOOKUP($A195,[1]彩含分析60315!$A:$M,13,0)</f>
        <v>25</v>
      </c>
      <c r="H195" s="4" t="s">
        <v>10</v>
      </c>
      <c r="I195" s="3" t="s">
        <v>394</v>
      </c>
    </row>
    <row r="196" customHeight="1" spans="1:9">
      <c r="A196" s="4" t="s">
        <v>395</v>
      </c>
      <c r="B196" s="4">
        <f>VLOOKUP($A196,[1]彩含分析60315!$A:$M,8,0)</f>
        <v>36</v>
      </c>
      <c r="C196" s="4">
        <f>VLOOKUP($A196,[1]彩含分析60315!$A:$M,9,0)</f>
        <v>35</v>
      </c>
      <c r="D196" s="4">
        <f>VLOOKUP($A196,[1]彩含分析60315!$A:$M,10,0)</f>
        <v>33</v>
      </c>
      <c r="E196" s="4">
        <f>VLOOKUP($A196,[1]彩含分析60315!$A:$M,11,0)</f>
        <v>32</v>
      </c>
      <c r="F196" s="4">
        <f>VLOOKUP($A196,[1]彩含分析60315!$A:$M,12,0)</f>
        <v>31</v>
      </c>
      <c r="G196" s="4">
        <f>VLOOKUP($A196,[1]彩含分析60315!$A:$M,13,0)</f>
        <v>29</v>
      </c>
      <c r="H196" s="4" t="s">
        <v>10</v>
      </c>
      <c r="I196" s="3" t="s">
        <v>396</v>
      </c>
    </row>
    <row r="197" customHeight="1" spans="1:9">
      <c r="A197" s="4" t="s">
        <v>397</v>
      </c>
      <c r="B197" s="4">
        <f>VLOOKUP($A197,[1]彩含分析60315!$A:$M,8,0)</f>
        <v>49</v>
      </c>
      <c r="C197" s="4">
        <f>VLOOKUP($A197,[1]彩含分析60315!$A:$M,9,0)</f>
        <v>47</v>
      </c>
      <c r="D197" s="4">
        <f>VLOOKUP($A197,[1]彩含分析60315!$A:$M,10,0)</f>
        <v>45</v>
      </c>
      <c r="E197" s="4">
        <f>VLOOKUP($A197,[1]彩含分析60315!$A:$M,11,0)</f>
        <v>44</v>
      </c>
      <c r="F197" s="4">
        <f>VLOOKUP($A197,[1]彩含分析60315!$A:$M,12,0)</f>
        <v>42</v>
      </c>
      <c r="G197" s="4">
        <f>VLOOKUP($A197,[1]彩含分析60315!$A:$M,13,0)</f>
        <v>40</v>
      </c>
      <c r="H197" s="4" t="s">
        <v>10</v>
      </c>
      <c r="I197" s="3" t="s">
        <v>398</v>
      </c>
    </row>
    <row r="198" customHeight="1" spans="1:9">
      <c r="A198" s="4" t="s">
        <v>399</v>
      </c>
      <c r="B198" s="4">
        <f>VLOOKUP($A198,[1]彩含分析60315!$A:$M,8,0)</f>
        <v>47</v>
      </c>
      <c r="C198" s="4">
        <f>VLOOKUP($A198,[1]彩含分析60315!$A:$M,9,0)</f>
        <v>45</v>
      </c>
      <c r="D198" s="4">
        <f>VLOOKUP($A198,[1]彩含分析60315!$A:$M,10,0)</f>
        <v>43</v>
      </c>
      <c r="E198" s="4">
        <f>VLOOKUP($A198,[1]彩含分析60315!$A:$M,11,0)</f>
        <v>42</v>
      </c>
      <c r="F198" s="4">
        <f>VLOOKUP($A198,[1]彩含分析60315!$A:$M,12,0)</f>
        <v>40</v>
      </c>
      <c r="G198" s="4">
        <f>VLOOKUP($A198,[1]彩含分析60315!$A:$M,13,0)</f>
        <v>38</v>
      </c>
      <c r="H198" s="4" t="s">
        <v>10</v>
      </c>
      <c r="I198" s="3" t="s">
        <v>400</v>
      </c>
    </row>
    <row r="199" customHeight="1" spans="1:9">
      <c r="A199" s="4" t="s">
        <v>401</v>
      </c>
      <c r="B199" s="4">
        <f>VLOOKUP($A199,[1]彩含分析60315!$A:$M,8,0)</f>
        <v>154</v>
      </c>
      <c r="C199" s="4">
        <f>VLOOKUP($A199,[1]彩含分析60315!$A:$M,9,0)</f>
        <v>151</v>
      </c>
      <c r="D199" s="4">
        <f>VLOOKUP($A199,[1]彩含分析60315!$A:$M,10,0)</f>
        <v>149</v>
      </c>
      <c r="E199" s="4">
        <f>VLOOKUP($A199,[1]彩含分析60315!$A:$M,11,0)</f>
        <v>146</v>
      </c>
      <c r="F199" s="4">
        <f>VLOOKUP($A199,[1]彩含分析60315!$A:$M,12,0)</f>
        <v>145</v>
      </c>
      <c r="G199" s="4">
        <f>VLOOKUP($A199,[1]彩含分析60315!$A:$M,13,0)</f>
        <v>142</v>
      </c>
      <c r="H199" s="4" t="s">
        <v>39</v>
      </c>
      <c r="I199" s="3" t="s">
        <v>402</v>
      </c>
    </row>
    <row r="200" customHeight="1" spans="1:9">
      <c r="A200" s="4" t="s">
        <v>403</v>
      </c>
      <c r="B200" s="4">
        <f>VLOOKUP($A200,[1]彩含分析60315!$A:$M,8,0)</f>
        <v>38</v>
      </c>
      <c r="C200" s="4">
        <f>VLOOKUP($A200,[1]彩含分析60315!$A:$M,9,0)</f>
        <v>37</v>
      </c>
      <c r="D200" s="4">
        <f>VLOOKUP($A200,[1]彩含分析60315!$A:$M,10,0)</f>
        <v>35</v>
      </c>
      <c r="E200" s="4">
        <f>VLOOKUP($A200,[1]彩含分析60315!$A:$M,11,0)</f>
        <v>34</v>
      </c>
      <c r="F200" s="4">
        <f>VLOOKUP($A200,[1]彩含分析60315!$A:$M,12,0)</f>
        <v>32</v>
      </c>
      <c r="G200" s="4">
        <f>VLOOKUP($A200,[1]彩含分析60315!$A:$M,13,0)</f>
        <v>31</v>
      </c>
      <c r="H200" s="4" t="s">
        <v>10</v>
      </c>
      <c r="I200" s="3" t="s">
        <v>404</v>
      </c>
    </row>
    <row r="201" customHeight="1" spans="1:9">
      <c r="A201" s="4" t="s">
        <v>405</v>
      </c>
      <c r="B201" s="4">
        <f>VLOOKUP($A201,[1]彩含分析60315!$A:$M,8,0)</f>
        <v>43</v>
      </c>
      <c r="C201" s="4">
        <f>VLOOKUP($A201,[1]彩含分析60315!$A:$M,9,0)</f>
        <v>41</v>
      </c>
      <c r="D201" s="4">
        <f>VLOOKUP($A201,[1]彩含分析60315!$A:$M,10,0)</f>
        <v>40</v>
      </c>
      <c r="E201" s="4">
        <f>VLOOKUP($A201,[1]彩含分析60315!$A:$M,11,0)</f>
        <v>38</v>
      </c>
      <c r="F201" s="4">
        <f>VLOOKUP($A201,[1]彩含分析60315!$A:$M,12,0)</f>
        <v>37</v>
      </c>
      <c r="G201" s="4">
        <f>VLOOKUP($A201,[1]彩含分析60315!$A:$M,13,0)</f>
        <v>35</v>
      </c>
      <c r="H201" s="4" t="s">
        <v>10</v>
      </c>
      <c r="I201" s="3" t="s">
        <v>406</v>
      </c>
    </row>
    <row r="202" customHeight="1" spans="1:9">
      <c r="A202" s="4" t="s">
        <v>407</v>
      </c>
      <c r="B202" s="4">
        <f>VLOOKUP($A202,[1]彩含分析60315!$A:$M,8,0)</f>
        <v>47</v>
      </c>
      <c r="C202" s="4">
        <f>VLOOKUP($A202,[1]彩含分析60315!$A:$M,9,0)</f>
        <v>45</v>
      </c>
      <c r="D202" s="4">
        <f>VLOOKUP($A202,[1]彩含分析60315!$A:$M,10,0)</f>
        <v>43</v>
      </c>
      <c r="E202" s="4">
        <f>VLOOKUP($A202,[1]彩含分析60315!$A:$M,11,0)</f>
        <v>42</v>
      </c>
      <c r="F202" s="4">
        <f>VLOOKUP($A202,[1]彩含分析60315!$A:$M,12,0)</f>
        <v>40</v>
      </c>
      <c r="G202" s="4">
        <f>VLOOKUP($A202,[1]彩含分析60315!$A:$M,13,0)</f>
        <v>38</v>
      </c>
      <c r="H202" s="4" t="s">
        <v>10</v>
      </c>
      <c r="I202" s="3" t="s">
        <v>408</v>
      </c>
    </row>
    <row r="203" customHeight="1" spans="1:9">
      <c r="A203" s="4" t="s">
        <v>409</v>
      </c>
      <c r="B203" s="4">
        <f>VLOOKUP($A203,[1]彩含分析60315!$A:$M,8,0)</f>
        <v>47</v>
      </c>
      <c r="C203" s="4">
        <f>VLOOKUP($A203,[1]彩含分析60315!$A:$M,9,0)</f>
        <v>45</v>
      </c>
      <c r="D203" s="4">
        <f>VLOOKUP($A203,[1]彩含分析60315!$A:$M,10,0)</f>
        <v>43</v>
      </c>
      <c r="E203" s="4">
        <f>VLOOKUP($A203,[1]彩含分析60315!$A:$M,11,0)</f>
        <v>42</v>
      </c>
      <c r="F203" s="4">
        <f>VLOOKUP($A203,[1]彩含分析60315!$A:$M,12,0)</f>
        <v>40</v>
      </c>
      <c r="G203" s="4">
        <f>VLOOKUP($A203,[1]彩含分析60315!$A:$M,13,0)</f>
        <v>38</v>
      </c>
      <c r="H203" s="4" t="s">
        <v>10</v>
      </c>
      <c r="I203" s="3" t="s">
        <v>410</v>
      </c>
    </row>
    <row r="204" customHeight="1" spans="1:9">
      <c r="A204" s="4" t="s">
        <v>411</v>
      </c>
      <c r="B204" s="4">
        <f>VLOOKUP($A204,[1]彩含分析60315!$A:$M,8,0)</f>
        <v>45</v>
      </c>
      <c r="C204" s="4">
        <f>VLOOKUP($A204,[1]彩含分析60315!$A:$M,9,0)</f>
        <v>43</v>
      </c>
      <c r="D204" s="4">
        <f>VLOOKUP($A204,[1]彩含分析60315!$A:$M,10,0)</f>
        <v>42</v>
      </c>
      <c r="E204" s="4">
        <f>VLOOKUP($A204,[1]彩含分析60315!$A:$M,11,0)</f>
        <v>40</v>
      </c>
      <c r="F204" s="4">
        <f>VLOOKUP($A204,[1]彩含分析60315!$A:$M,12,0)</f>
        <v>38</v>
      </c>
      <c r="G204" s="4">
        <f>VLOOKUP($A204,[1]彩含分析60315!$A:$M,13,0)</f>
        <v>37</v>
      </c>
      <c r="H204" s="4" t="s">
        <v>10</v>
      </c>
      <c r="I204" s="3" t="s">
        <v>412</v>
      </c>
    </row>
    <row r="205" customHeight="1" spans="1:9">
      <c r="A205" s="4" t="s">
        <v>413</v>
      </c>
      <c r="B205" s="4">
        <f>VLOOKUP($A205,[1]彩含分析60315!$A:$M,8,0)</f>
        <v>27</v>
      </c>
      <c r="C205" s="4">
        <f>VLOOKUP($A205,[1]彩含分析60315!$A:$M,9,0)</f>
        <v>26</v>
      </c>
      <c r="D205" s="4">
        <f>VLOOKUP($A205,[1]彩含分析60315!$A:$M,10,0)</f>
        <v>25</v>
      </c>
      <c r="E205" s="4">
        <f>VLOOKUP($A205,[1]彩含分析60315!$A:$M,11,0)</f>
        <v>24</v>
      </c>
      <c r="F205" s="4">
        <f>VLOOKUP($A205,[1]彩含分析60315!$A:$M,12,0)</f>
        <v>23</v>
      </c>
      <c r="G205" s="4">
        <f>VLOOKUP($A205,[1]彩含分析60315!$A:$M,13,0)</f>
        <v>22</v>
      </c>
      <c r="H205" s="4" t="s">
        <v>10</v>
      </c>
      <c r="I205" s="3" t="s">
        <v>414</v>
      </c>
    </row>
    <row r="206" customHeight="1" spans="1:9">
      <c r="A206" s="4" t="s">
        <v>415</v>
      </c>
      <c r="B206" s="4">
        <f>VLOOKUP($A206,[1]彩含分析60315!$A:$M,8,0)</f>
        <v>32</v>
      </c>
      <c r="C206" s="4">
        <f>VLOOKUP($A206,[1]彩含分析60315!$A:$M,9,0)</f>
        <v>31</v>
      </c>
      <c r="D206" s="4">
        <f>VLOOKUP($A206,[1]彩含分析60315!$A:$M,10,0)</f>
        <v>30</v>
      </c>
      <c r="E206" s="4">
        <f>VLOOKUP($A206,[1]彩含分析60315!$A:$M,11,0)</f>
        <v>28</v>
      </c>
      <c r="F206" s="4">
        <f>VLOOKUP($A206,[1]彩含分析60315!$A:$M,12,0)</f>
        <v>27</v>
      </c>
      <c r="G206" s="4">
        <f>VLOOKUP($A206,[1]彩含分析60315!$A:$M,13,0)</f>
        <v>26</v>
      </c>
      <c r="H206" s="4" t="s">
        <v>10</v>
      </c>
      <c r="I206" s="3" t="s">
        <v>416</v>
      </c>
    </row>
    <row r="207" customHeight="1" spans="1:9">
      <c r="A207" s="4" t="s">
        <v>417</v>
      </c>
      <c r="B207" s="4">
        <f>VLOOKUP($A207,[1]彩含分析60315!$A:$M,8,0)</f>
        <v>73</v>
      </c>
      <c r="C207" s="4">
        <f>VLOOKUP($A207,[1]彩含分析60315!$A:$M,9,0)</f>
        <v>71</v>
      </c>
      <c r="D207" s="4">
        <f>VLOOKUP($A207,[1]彩含分析60315!$A:$M,10,0)</f>
        <v>70</v>
      </c>
      <c r="E207" s="4">
        <f>VLOOKUP($A207,[1]彩含分析60315!$A:$M,11,0)</f>
        <v>69</v>
      </c>
      <c r="F207" s="4">
        <f>VLOOKUP($A207,[1]彩含分析60315!$A:$M,12,0)</f>
        <v>68</v>
      </c>
      <c r="G207" s="4">
        <f>VLOOKUP($A207,[1]彩含分析60315!$A:$M,13,0)</f>
        <v>67</v>
      </c>
      <c r="H207" s="4" t="s">
        <v>39</v>
      </c>
      <c r="I207" s="3" t="s">
        <v>418</v>
      </c>
    </row>
    <row r="208" customHeight="1" spans="1:9">
      <c r="A208" s="4" t="s">
        <v>419</v>
      </c>
      <c r="B208" s="4">
        <f>VLOOKUP($A208,[1]彩含分析60315!$A:$M,8,0)</f>
        <v>43</v>
      </c>
      <c r="C208" s="4">
        <f>VLOOKUP($A208,[1]彩含分析60315!$A:$M,9,0)</f>
        <v>41</v>
      </c>
      <c r="D208" s="4">
        <f>VLOOKUP($A208,[1]彩含分析60315!$A:$M,10,0)</f>
        <v>40</v>
      </c>
      <c r="E208" s="4">
        <f>VLOOKUP($A208,[1]彩含分析60315!$A:$M,11,0)</f>
        <v>38</v>
      </c>
      <c r="F208" s="4">
        <f>VLOOKUP($A208,[1]彩含分析60315!$A:$M,12,0)</f>
        <v>37</v>
      </c>
      <c r="G208" s="4">
        <f>VLOOKUP($A208,[1]彩含分析60315!$A:$M,13,0)</f>
        <v>35</v>
      </c>
      <c r="H208" s="4" t="s">
        <v>10</v>
      </c>
      <c r="I208" s="3" t="s">
        <v>420</v>
      </c>
    </row>
    <row r="209" customHeight="1" spans="1:9">
      <c r="A209" s="4" t="s">
        <v>421</v>
      </c>
      <c r="B209" s="4">
        <f>VLOOKUP($A209,[1]彩含分析60315!$A:$M,8,0)</f>
        <v>39</v>
      </c>
      <c r="C209" s="4">
        <f>VLOOKUP($A209,[1]彩含分析60315!$A:$M,9,0)</f>
        <v>38</v>
      </c>
      <c r="D209" s="4">
        <f>VLOOKUP($A209,[1]彩含分析60315!$A:$M,10,0)</f>
        <v>37</v>
      </c>
      <c r="E209" s="4">
        <f>VLOOKUP($A209,[1]彩含分析60315!$A:$M,11,0)</f>
        <v>35</v>
      </c>
      <c r="F209" s="4">
        <f>VLOOKUP($A209,[1]彩含分析60315!$A:$M,12,0)</f>
        <v>34</v>
      </c>
      <c r="G209" s="4">
        <f>VLOOKUP($A209,[1]彩含分析60315!$A:$M,13,0)</f>
        <v>32</v>
      </c>
      <c r="H209" s="4" t="s">
        <v>10</v>
      </c>
      <c r="I209" s="3" t="s">
        <v>422</v>
      </c>
    </row>
    <row r="210" customHeight="1" spans="1:9">
      <c r="A210" s="4" t="s">
        <v>423</v>
      </c>
      <c r="B210" s="4">
        <f>VLOOKUP($A210,[1]彩含分析60315!$A:$M,8,0)</f>
        <v>39</v>
      </c>
      <c r="C210" s="4">
        <f>VLOOKUP($A210,[1]彩含分析60315!$A:$M,9,0)</f>
        <v>38</v>
      </c>
      <c r="D210" s="4">
        <f>VLOOKUP($A210,[1]彩含分析60315!$A:$M,10,0)</f>
        <v>36</v>
      </c>
      <c r="E210" s="4">
        <f>VLOOKUP($A210,[1]彩含分析60315!$A:$M,11,0)</f>
        <v>35</v>
      </c>
      <c r="F210" s="4">
        <f>VLOOKUP($A210,[1]彩含分析60315!$A:$M,12,0)</f>
        <v>33</v>
      </c>
      <c r="G210" s="4">
        <f>VLOOKUP($A210,[1]彩含分析60315!$A:$M,13,0)</f>
        <v>32</v>
      </c>
      <c r="H210" s="4" t="s">
        <v>10</v>
      </c>
      <c r="I210" s="3" t="s">
        <v>424</v>
      </c>
    </row>
    <row r="211" customHeight="1" spans="1:9">
      <c r="A211" s="4" t="s">
        <v>425</v>
      </c>
      <c r="B211" s="4">
        <f>VLOOKUP($A211,[1]彩含分析60315!$A:$M,8,0)</f>
        <v>46</v>
      </c>
      <c r="C211" s="4">
        <f>VLOOKUP($A211,[1]彩含分析60315!$A:$M,9,0)</f>
        <v>44</v>
      </c>
      <c r="D211" s="4">
        <f>VLOOKUP($A211,[1]彩含分析60315!$A:$M,10,0)</f>
        <v>42</v>
      </c>
      <c r="E211" s="4">
        <f>VLOOKUP($A211,[1]彩含分析60315!$A:$M,11,0)</f>
        <v>41</v>
      </c>
      <c r="F211" s="4">
        <f>VLOOKUP($A211,[1]彩含分析60315!$A:$M,12,0)</f>
        <v>39</v>
      </c>
      <c r="G211" s="4">
        <f>VLOOKUP($A211,[1]彩含分析60315!$A:$M,13,0)</f>
        <v>37</v>
      </c>
      <c r="H211" s="4" t="s">
        <v>10</v>
      </c>
      <c r="I211" s="3" t="s">
        <v>426</v>
      </c>
    </row>
    <row r="212" customHeight="1" spans="1:9">
      <c r="A212" s="4" t="s">
        <v>427</v>
      </c>
      <c r="B212" s="4">
        <f>VLOOKUP($A212,[1]彩含分析60315!$A:$M,8,0)</f>
        <v>45</v>
      </c>
      <c r="C212" s="4">
        <f>VLOOKUP($A212,[1]彩含分析60315!$A:$M,9,0)</f>
        <v>43</v>
      </c>
      <c r="D212" s="4">
        <f>VLOOKUP($A212,[1]彩含分析60315!$A:$M,10,0)</f>
        <v>42</v>
      </c>
      <c r="E212" s="4">
        <f>VLOOKUP($A212,[1]彩含分析60315!$A:$M,11,0)</f>
        <v>40</v>
      </c>
      <c r="F212" s="4">
        <f>VLOOKUP($A212,[1]彩含分析60315!$A:$M,12,0)</f>
        <v>38</v>
      </c>
      <c r="G212" s="4">
        <f>VLOOKUP($A212,[1]彩含分析60315!$A:$M,13,0)</f>
        <v>37</v>
      </c>
      <c r="H212" s="4" t="s">
        <v>10</v>
      </c>
      <c r="I212" s="3" t="s">
        <v>428</v>
      </c>
    </row>
    <row r="213" customHeight="1" spans="1:9">
      <c r="A213" s="4" t="s">
        <v>429</v>
      </c>
      <c r="B213" s="4">
        <f>VLOOKUP($A213,[1]彩含分析60315!$A:$M,8,0)</f>
        <v>45</v>
      </c>
      <c r="C213" s="4">
        <f>VLOOKUP($A213,[1]彩含分析60315!$A:$M,9,0)</f>
        <v>44</v>
      </c>
      <c r="D213" s="4">
        <f>VLOOKUP($A213,[1]彩含分析60315!$A:$M,10,0)</f>
        <v>42</v>
      </c>
      <c r="E213" s="4">
        <f>VLOOKUP($A213,[1]彩含分析60315!$A:$M,11,0)</f>
        <v>40</v>
      </c>
      <c r="F213" s="4">
        <f>VLOOKUP($A213,[1]彩含分析60315!$A:$M,12,0)</f>
        <v>39</v>
      </c>
      <c r="G213" s="4">
        <f>VLOOKUP($A213,[1]彩含分析60315!$A:$M,13,0)</f>
        <v>37</v>
      </c>
      <c r="H213" s="4" t="s">
        <v>10</v>
      </c>
      <c r="I213" s="3" t="s">
        <v>430</v>
      </c>
    </row>
    <row r="214" customHeight="1" spans="1:9">
      <c r="A214" s="4" t="s">
        <v>431</v>
      </c>
      <c r="B214" s="4">
        <f>VLOOKUP($A214,[1]彩含分析60315!$A:$M,8,0)</f>
        <v>34</v>
      </c>
      <c r="C214" s="4">
        <f>VLOOKUP($A214,[1]彩含分析60315!$A:$M,9,0)</f>
        <v>33</v>
      </c>
      <c r="D214" s="4">
        <f>VLOOKUP($A214,[1]彩含分析60315!$A:$M,10,0)</f>
        <v>31</v>
      </c>
      <c r="E214" s="4">
        <f>VLOOKUP($A214,[1]彩含分析60315!$A:$M,11,0)</f>
        <v>30</v>
      </c>
      <c r="F214" s="4">
        <f>VLOOKUP($A214,[1]彩含分析60315!$A:$M,12,0)</f>
        <v>29</v>
      </c>
      <c r="G214" s="4">
        <f>VLOOKUP($A214,[1]彩含分析60315!$A:$M,13,0)</f>
        <v>28</v>
      </c>
      <c r="H214" s="4" t="s">
        <v>10</v>
      </c>
      <c r="I214" s="3" t="s">
        <v>432</v>
      </c>
    </row>
    <row r="215" customHeight="1" spans="1:9">
      <c r="A215" s="4" t="s">
        <v>433</v>
      </c>
      <c r="B215" s="4">
        <f>VLOOKUP($A215,[1]彩含分析60315!$A:$M,8,0)</f>
        <v>38</v>
      </c>
      <c r="C215" s="4">
        <f>VLOOKUP($A215,[1]彩含分析60315!$A:$M,9,0)</f>
        <v>37</v>
      </c>
      <c r="D215" s="4">
        <f>VLOOKUP($A215,[1]彩含分析60315!$A:$M,10,0)</f>
        <v>36</v>
      </c>
      <c r="E215" s="4">
        <f>VLOOKUP($A215,[1]彩含分析60315!$A:$M,11,0)</f>
        <v>34</v>
      </c>
      <c r="F215" s="4">
        <f>VLOOKUP($A215,[1]彩含分析60315!$A:$M,12,0)</f>
        <v>33</v>
      </c>
      <c r="G215" s="4">
        <f>VLOOKUP($A215,[1]彩含分析60315!$A:$M,13,0)</f>
        <v>31</v>
      </c>
      <c r="H215" s="4" t="s">
        <v>10</v>
      </c>
      <c r="I215" s="3" t="s">
        <v>434</v>
      </c>
    </row>
    <row r="216" customHeight="1" spans="1:9">
      <c r="A216" s="4" t="s">
        <v>435</v>
      </c>
      <c r="B216" s="4">
        <f>VLOOKUP($A216,[1]彩含分析60315!$A:$M,8,0)</f>
        <v>24</v>
      </c>
      <c r="C216" s="4">
        <f>VLOOKUP($A216,[1]彩含分析60315!$A:$M,9,0)</f>
        <v>23</v>
      </c>
      <c r="D216" s="4">
        <f>VLOOKUP($A216,[1]彩含分析60315!$A:$M,10,0)</f>
        <v>22</v>
      </c>
      <c r="E216" s="4">
        <f>VLOOKUP($A216,[1]彩含分析60315!$A:$M,11,0)</f>
        <v>21</v>
      </c>
      <c r="F216" s="4">
        <f>VLOOKUP($A216,[1]彩含分析60315!$A:$M,12,0)</f>
        <v>20</v>
      </c>
      <c r="G216" s="4">
        <f>VLOOKUP($A216,[1]彩含分析60315!$A:$M,13,0)</f>
        <v>19</v>
      </c>
      <c r="H216" s="4" t="s">
        <v>10</v>
      </c>
      <c r="I216" s="3" t="s">
        <v>436</v>
      </c>
    </row>
    <row r="217" customHeight="1" spans="1:9">
      <c r="A217" s="4" t="s">
        <v>437</v>
      </c>
      <c r="B217" s="4">
        <f>VLOOKUP($A217,[1]彩含分析60315!$A:$M,8,0)</f>
        <v>40</v>
      </c>
      <c r="C217" s="4">
        <f>VLOOKUP($A217,[1]彩含分析60315!$A:$M,9,0)</f>
        <v>38</v>
      </c>
      <c r="D217" s="4">
        <f>VLOOKUP($A217,[1]彩含分析60315!$A:$M,10,0)</f>
        <v>37</v>
      </c>
      <c r="E217" s="4">
        <f>VLOOKUP($A217,[1]彩含分析60315!$A:$M,11,0)</f>
        <v>36</v>
      </c>
      <c r="F217" s="4">
        <f>VLOOKUP($A217,[1]彩含分析60315!$A:$M,12,0)</f>
        <v>34</v>
      </c>
      <c r="G217" s="4">
        <f>VLOOKUP($A217,[1]彩含分析60315!$A:$M,13,0)</f>
        <v>33</v>
      </c>
      <c r="H217" s="4" t="s">
        <v>10</v>
      </c>
      <c r="I217" s="3" t="s">
        <v>438</v>
      </c>
    </row>
    <row r="218" customHeight="1" spans="1:9">
      <c r="A218" s="4" t="s">
        <v>439</v>
      </c>
      <c r="B218" s="4">
        <f>VLOOKUP($A218,[1]彩含分析60315!$A:$M,8,0)</f>
        <v>45</v>
      </c>
      <c r="C218" s="4">
        <f>VLOOKUP($A218,[1]彩含分析60315!$A:$M,9,0)</f>
        <v>44</v>
      </c>
      <c r="D218" s="4">
        <f>VLOOKUP($A218,[1]彩含分析60315!$A:$M,10,0)</f>
        <v>42</v>
      </c>
      <c r="E218" s="4">
        <f>VLOOKUP($A218,[1]彩含分析60315!$A:$M,11,0)</f>
        <v>40</v>
      </c>
      <c r="F218" s="4">
        <f>VLOOKUP($A218,[1]彩含分析60315!$A:$M,12,0)</f>
        <v>39</v>
      </c>
      <c r="G218" s="4">
        <f>VLOOKUP($A218,[1]彩含分析60315!$A:$M,13,0)</f>
        <v>37</v>
      </c>
      <c r="H218" s="4" t="s">
        <v>10</v>
      </c>
      <c r="I218" s="3" t="s">
        <v>440</v>
      </c>
    </row>
    <row r="219" customHeight="1" spans="1:9">
      <c r="A219" s="4" t="s">
        <v>441</v>
      </c>
      <c r="B219" s="4">
        <f>VLOOKUP($A219,[1]彩含分析60315!$A:$M,8,0)</f>
        <v>106</v>
      </c>
      <c r="C219" s="4">
        <f>VLOOKUP($A219,[1]彩含分析60315!$A:$M,9,0)</f>
        <v>105</v>
      </c>
      <c r="D219" s="4">
        <f>VLOOKUP($A219,[1]彩含分析60315!$A:$M,10,0)</f>
        <v>103</v>
      </c>
      <c r="E219" s="4">
        <f>VLOOKUP($A219,[1]彩含分析60315!$A:$M,11,0)</f>
        <v>101</v>
      </c>
      <c r="F219" s="4">
        <f>VLOOKUP($A219,[1]彩含分析60315!$A:$M,12,0)</f>
        <v>100</v>
      </c>
      <c r="G219" s="4">
        <f>VLOOKUP($A219,[1]彩含分析60315!$A:$M,13,0)</f>
        <v>98</v>
      </c>
      <c r="H219" s="4" t="s">
        <v>39</v>
      </c>
      <c r="I219" s="3" t="s">
        <v>442</v>
      </c>
    </row>
    <row r="220" customHeight="1" spans="1:9">
      <c r="A220" s="4" t="s">
        <v>443</v>
      </c>
      <c r="B220" s="4">
        <f>VLOOKUP($A220,[1]彩含分析60315!$A:$M,8,0)</f>
        <v>37</v>
      </c>
      <c r="C220" s="4">
        <f>VLOOKUP($A220,[1]彩含分析60315!$A:$M,9,0)</f>
        <v>35</v>
      </c>
      <c r="D220" s="4">
        <f>VLOOKUP($A220,[1]彩含分析60315!$A:$M,10,0)</f>
        <v>34</v>
      </c>
      <c r="E220" s="4">
        <f>VLOOKUP($A220,[1]彩含分析60315!$A:$M,11,0)</f>
        <v>33</v>
      </c>
      <c r="F220" s="4">
        <f>VLOOKUP($A220,[1]彩含分析60315!$A:$M,12,0)</f>
        <v>31</v>
      </c>
      <c r="G220" s="4">
        <f>VLOOKUP($A220,[1]彩含分析60315!$A:$M,13,0)</f>
        <v>30</v>
      </c>
      <c r="H220" s="4" t="s">
        <v>10</v>
      </c>
      <c r="I220" s="3" t="s">
        <v>444</v>
      </c>
    </row>
    <row r="221" customHeight="1" spans="1:9">
      <c r="A221" s="4" t="s">
        <v>445</v>
      </c>
      <c r="B221" s="4">
        <f>VLOOKUP($A221,[1]彩含分析60315!$A:$M,8,0)</f>
        <v>44</v>
      </c>
      <c r="C221" s="4">
        <f>VLOOKUP($A221,[1]彩含分析60315!$A:$M,9,0)</f>
        <v>42</v>
      </c>
      <c r="D221" s="4">
        <f>VLOOKUP($A221,[1]彩含分析60315!$A:$M,10,0)</f>
        <v>40</v>
      </c>
      <c r="E221" s="4">
        <f>VLOOKUP($A221,[1]彩含分析60315!$A:$M,11,0)</f>
        <v>39</v>
      </c>
      <c r="F221" s="4">
        <f>VLOOKUP($A221,[1]彩含分析60315!$A:$M,12,0)</f>
        <v>37</v>
      </c>
      <c r="G221" s="4">
        <f>VLOOKUP($A221,[1]彩含分析60315!$A:$M,13,0)</f>
        <v>36</v>
      </c>
      <c r="H221" s="4" t="s">
        <v>10</v>
      </c>
      <c r="I221" s="3" t="s">
        <v>35</v>
      </c>
    </row>
    <row r="222" customHeight="1" spans="1:9">
      <c r="A222" s="4" t="s">
        <v>446</v>
      </c>
      <c r="B222" s="4">
        <f>VLOOKUP($A222,[1]彩含分析60315!$A:$M,8,0)</f>
        <v>39</v>
      </c>
      <c r="C222" s="4">
        <f>VLOOKUP($A222,[1]彩含分析60315!$A:$M,9,0)</f>
        <v>37</v>
      </c>
      <c r="D222" s="4">
        <f>VLOOKUP($A222,[1]彩含分析60315!$A:$M,10,0)</f>
        <v>36</v>
      </c>
      <c r="E222" s="4">
        <f>VLOOKUP($A222,[1]彩含分析60315!$A:$M,11,0)</f>
        <v>35</v>
      </c>
      <c r="F222" s="4">
        <f>VLOOKUP($A222,[1]彩含分析60315!$A:$M,12,0)</f>
        <v>33</v>
      </c>
      <c r="G222" s="4">
        <f>VLOOKUP($A222,[1]彩含分析60315!$A:$M,13,0)</f>
        <v>32</v>
      </c>
      <c r="H222" s="4" t="s">
        <v>10</v>
      </c>
      <c r="I222" s="3" t="s">
        <v>447</v>
      </c>
    </row>
    <row r="223" customHeight="1" spans="1:9">
      <c r="A223" s="4" t="s">
        <v>448</v>
      </c>
      <c r="B223" s="4">
        <f>VLOOKUP($A223,[1]彩含分析60315!$A:$M,8,0)</f>
        <v>39</v>
      </c>
      <c r="C223" s="4">
        <f>VLOOKUP($A223,[1]彩含分析60315!$A:$M,9,0)</f>
        <v>37</v>
      </c>
      <c r="D223" s="4">
        <f>VLOOKUP($A223,[1]彩含分析60315!$A:$M,10,0)</f>
        <v>36</v>
      </c>
      <c r="E223" s="4">
        <f>VLOOKUP($A223,[1]彩含分析60315!$A:$M,11,0)</f>
        <v>34</v>
      </c>
      <c r="F223" s="4">
        <f>VLOOKUP($A223,[1]彩含分析60315!$A:$M,12,0)</f>
        <v>33</v>
      </c>
      <c r="G223" s="4">
        <f>VLOOKUP($A223,[1]彩含分析60315!$A:$M,13,0)</f>
        <v>32</v>
      </c>
      <c r="H223" s="4" t="s">
        <v>10</v>
      </c>
      <c r="I223" s="3" t="s">
        <v>449</v>
      </c>
    </row>
    <row r="224" customHeight="1" spans="1:9">
      <c r="A224" s="4" t="s">
        <v>450</v>
      </c>
      <c r="B224" s="4">
        <f>VLOOKUP($A224,[1]彩含分析60315!$A:$M,8,0)</f>
        <v>44</v>
      </c>
      <c r="C224" s="4">
        <f>VLOOKUP($A224,[1]彩含分析60315!$A:$M,9,0)</f>
        <v>42</v>
      </c>
      <c r="D224" s="4">
        <f>VLOOKUP($A224,[1]彩含分析60315!$A:$M,10,0)</f>
        <v>40</v>
      </c>
      <c r="E224" s="4">
        <f>VLOOKUP($A224,[1]彩含分析60315!$A:$M,11,0)</f>
        <v>39</v>
      </c>
      <c r="F224" s="4">
        <f>VLOOKUP($A224,[1]彩含分析60315!$A:$M,12,0)</f>
        <v>37</v>
      </c>
      <c r="G224" s="4">
        <f>VLOOKUP($A224,[1]彩含分析60315!$A:$M,13,0)</f>
        <v>36</v>
      </c>
      <c r="H224" s="4" t="s">
        <v>10</v>
      </c>
      <c r="I224" s="3" t="s">
        <v>451</v>
      </c>
    </row>
    <row r="225" customHeight="1" spans="1:9">
      <c r="A225" s="4" t="s">
        <v>452</v>
      </c>
      <c r="B225" s="4">
        <f>VLOOKUP($A225,[1]彩含分析60315!$A:$M,8,0)</f>
        <v>32</v>
      </c>
      <c r="C225" s="4">
        <f>VLOOKUP($A225,[1]彩含分析60315!$A:$M,9,0)</f>
        <v>31</v>
      </c>
      <c r="D225" s="4">
        <f>VLOOKUP($A225,[1]彩含分析60315!$A:$M,10,0)</f>
        <v>30</v>
      </c>
      <c r="E225" s="4">
        <f>VLOOKUP($A225,[1]彩含分析60315!$A:$M,11,0)</f>
        <v>28</v>
      </c>
      <c r="F225" s="4">
        <f>VLOOKUP($A225,[1]彩含分析60315!$A:$M,12,0)</f>
        <v>27</v>
      </c>
      <c r="G225" s="4">
        <f>VLOOKUP($A225,[1]彩含分析60315!$A:$M,13,0)</f>
        <v>26</v>
      </c>
      <c r="H225" s="4" t="s">
        <v>10</v>
      </c>
      <c r="I225" s="3" t="s">
        <v>453</v>
      </c>
    </row>
    <row r="226" customHeight="1" spans="1:9">
      <c r="A226" s="4" t="s">
        <v>454</v>
      </c>
      <c r="B226" s="4">
        <f>VLOOKUP($A226,[1]彩含分析60315!$A:$M,8,0)</f>
        <v>35</v>
      </c>
      <c r="C226" s="4">
        <f>VLOOKUP($A226,[1]彩含分析60315!$A:$M,9,0)</f>
        <v>33</v>
      </c>
      <c r="D226" s="4">
        <f>VLOOKUP($A226,[1]彩含分析60315!$A:$M,10,0)</f>
        <v>32</v>
      </c>
      <c r="E226" s="4">
        <f>VLOOKUP($A226,[1]彩含分析60315!$A:$M,11,0)</f>
        <v>31</v>
      </c>
      <c r="F226" s="4">
        <f>VLOOKUP($A226,[1]彩含分析60315!$A:$M,12,0)</f>
        <v>30</v>
      </c>
      <c r="G226" s="4">
        <f>VLOOKUP($A226,[1]彩含分析60315!$A:$M,13,0)</f>
        <v>28</v>
      </c>
      <c r="H226" s="4" t="s">
        <v>10</v>
      </c>
      <c r="I226" s="3" t="s">
        <v>455</v>
      </c>
    </row>
    <row r="227" customHeight="1" spans="1:9">
      <c r="A227" s="4" t="s">
        <v>456</v>
      </c>
      <c r="B227" s="4">
        <f>VLOOKUP($A227,[1]彩含分析60315!$A:$M,8,0)</f>
        <v>57</v>
      </c>
      <c r="C227" s="4">
        <f>VLOOKUP($A227,[1]彩含分析60315!$A:$M,9,0)</f>
        <v>55</v>
      </c>
      <c r="D227" s="4">
        <f>VLOOKUP($A227,[1]彩含分析60315!$A:$M,10,0)</f>
        <v>53</v>
      </c>
      <c r="E227" s="4">
        <f>VLOOKUP($A227,[1]彩含分析60315!$A:$M,11,0)</f>
        <v>51</v>
      </c>
      <c r="F227" s="4">
        <f>VLOOKUP($A227,[1]彩含分析60315!$A:$M,12,0)</f>
        <v>49</v>
      </c>
      <c r="G227" s="4">
        <f>VLOOKUP($A227,[1]彩含分析60315!$A:$M,13,0)</f>
        <v>47</v>
      </c>
      <c r="H227" s="4" t="s">
        <v>10</v>
      </c>
      <c r="I227" s="3" t="s">
        <v>457</v>
      </c>
    </row>
    <row r="228" customHeight="1" spans="1:9">
      <c r="A228" s="4" t="s">
        <v>458</v>
      </c>
      <c r="B228" s="4">
        <f>VLOOKUP($A228,[1]彩含分析60315!$A:$M,8,0)</f>
        <v>64</v>
      </c>
      <c r="C228" s="4">
        <f>VLOOKUP($A228,[1]彩含分析60315!$A:$M,9,0)</f>
        <v>63</v>
      </c>
      <c r="D228" s="4">
        <f>VLOOKUP($A228,[1]彩含分析60315!$A:$M,10,0)</f>
        <v>62</v>
      </c>
      <c r="E228" s="4">
        <f>VLOOKUP($A228,[1]彩含分析60315!$A:$M,11,0)</f>
        <v>61</v>
      </c>
      <c r="F228" s="4">
        <f>VLOOKUP($A228,[1]彩含分析60315!$A:$M,12,0)</f>
        <v>60</v>
      </c>
      <c r="G228" s="4">
        <f>VLOOKUP($A228,[1]彩含分析60315!$A:$M,13,0)</f>
        <v>59</v>
      </c>
      <c r="H228" s="4" t="s">
        <v>39</v>
      </c>
      <c r="I228" s="3" t="s">
        <v>459</v>
      </c>
    </row>
    <row r="229" customHeight="1" spans="1:9">
      <c r="A229" s="4" t="s">
        <v>460</v>
      </c>
      <c r="B229" s="4">
        <f>VLOOKUP($A229,[1]彩含分析60315!$A:$M,8,0)</f>
        <v>68</v>
      </c>
      <c r="C229" s="4">
        <f>VLOOKUP($A229,[1]彩含分析60315!$A:$M,9,0)</f>
        <v>65</v>
      </c>
      <c r="D229" s="4">
        <f>VLOOKUP($A229,[1]彩含分析60315!$A:$M,10,0)</f>
        <v>63</v>
      </c>
      <c r="E229" s="4">
        <f>VLOOKUP($A229,[1]彩含分析60315!$A:$M,11,0)</f>
        <v>60</v>
      </c>
      <c r="F229" s="4">
        <f>VLOOKUP($A229,[1]彩含分析60315!$A:$M,12,0)</f>
        <v>58</v>
      </c>
      <c r="G229" s="4">
        <f>VLOOKUP($A229,[1]彩含分析60315!$A:$M,13,0)</f>
        <v>55</v>
      </c>
      <c r="H229" s="4" t="s">
        <v>10</v>
      </c>
      <c r="I229" s="3" t="s">
        <v>461</v>
      </c>
    </row>
    <row r="230" customHeight="1" spans="1:9">
      <c r="A230" s="4" t="s">
        <v>462</v>
      </c>
      <c r="B230" s="4">
        <f>VLOOKUP($A230,[1]彩含分析60315!$A:$M,8,0)</f>
        <v>46</v>
      </c>
      <c r="C230" s="4">
        <f>VLOOKUP($A230,[1]彩含分析60315!$A:$M,9,0)</f>
        <v>45</v>
      </c>
      <c r="D230" s="4">
        <f>VLOOKUP($A230,[1]彩含分析60315!$A:$M,10,0)</f>
        <v>43</v>
      </c>
      <c r="E230" s="4">
        <f>VLOOKUP($A230,[1]彩含分析60315!$A:$M,11,0)</f>
        <v>41</v>
      </c>
      <c r="F230" s="4">
        <f>VLOOKUP($A230,[1]彩含分析60315!$A:$M,12,0)</f>
        <v>40</v>
      </c>
      <c r="G230" s="4">
        <f>VLOOKUP($A230,[1]彩含分析60315!$A:$M,13,0)</f>
        <v>38</v>
      </c>
      <c r="H230" s="4" t="s">
        <v>10</v>
      </c>
      <c r="I230" s="3" t="s">
        <v>463</v>
      </c>
    </row>
    <row r="231" customHeight="1" spans="1:9">
      <c r="A231" s="4" t="s">
        <v>464</v>
      </c>
      <c r="B231" s="4">
        <f>VLOOKUP($A231,[1]彩含分析60315!$A:$M,8,0)</f>
        <v>23</v>
      </c>
      <c r="C231" s="4">
        <f>VLOOKUP($A231,[1]彩含分析60315!$A:$M,9,0)</f>
        <v>22</v>
      </c>
      <c r="D231" s="4">
        <f>VLOOKUP($A231,[1]彩含分析60315!$A:$M,10,0)</f>
        <v>21</v>
      </c>
      <c r="E231" s="4">
        <f>VLOOKUP($A231,[1]彩含分析60315!$A:$M,11,0)</f>
        <v>20</v>
      </c>
      <c r="F231" s="4">
        <f>VLOOKUP($A231,[1]彩含分析60315!$A:$M,12,0)</f>
        <v>20</v>
      </c>
      <c r="G231" s="4">
        <f>VLOOKUP($A231,[1]彩含分析60315!$A:$M,13,0)</f>
        <v>19</v>
      </c>
      <c r="H231" s="4" t="s">
        <v>10</v>
      </c>
      <c r="I231" s="3" t="s">
        <v>465</v>
      </c>
    </row>
    <row r="232" customHeight="1" spans="1:9">
      <c r="A232" s="4" t="s">
        <v>466</v>
      </c>
      <c r="B232" s="4">
        <f>VLOOKUP($A232,[1]彩含分析60315!$A:$M,8,0)</f>
        <v>54</v>
      </c>
      <c r="C232" s="4">
        <f>VLOOKUP($A232,[1]彩含分析60315!$A:$M,9,0)</f>
        <v>53</v>
      </c>
      <c r="D232" s="4">
        <f>VLOOKUP($A232,[1]彩含分析60315!$A:$M,10,0)</f>
        <v>52</v>
      </c>
      <c r="E232" s="4">
        <f>VLOOKUP($A232,[1]彩含分析60315!$A:$M,11,0)</f>
        <v>51</v>
      </c>
      <c r="F232" s="4">
        <f>VLOOKUP($A232,[1]彩含分析60315!$A:$M,12,0)</f>
        <v>51</v>
      </c>
      <c r="G232" s="4">
        <f>VLOOKUP($A232,[1]彩含分析60315!$A:$M,13,0)</f>
        <v>50</v>
      </c>
      <c r="H232" s="4" t="s">
        <v>39</v>
      </c>
      <c r="I232" s="3" t="s">
        <v>467</v>
      </c>
    </row>
    <row r="233" customHeight="1" spans="1:9">
      <c r="A233" s="4" t="s">
        <v>468</v>
      </c>
      <c r="B233" s="4">
        <f>VLOOKUP($A233,[1]彩含分析60315!$A:$M,8,0)</f>
        <v>29</v>
      </c>
      <c r="C233" s="4">
        <f>VLOOKUP($A233,[1]彩含分析60315!$A:$M,9,0)</f>
        <v>28</v>
      </c>
      <c r="D233" s="4">
        <f>VLOOKUP($A233,[1]彩含分析60315!$A:$M,10,0)</f>
        <v>27</v>
      </c>
      <c r="E233" s="4">
        <f>VLOOKUP($A233,[1]彩含分析60315!$A:$M,11,0)</f>
        <v>26</v>
      </c>
      <c r="F233" s="4">
        <f>VLOOKUP($A233,[1]彩含分析60315!$A:$M,12,0)</f>
        <v>25</v>
      </c>
      <c r="G233" s="4">
        <f>VLOOKUP($A233,[1]彩含分析60315!$A:$M,13,0)</f>
        <v>24</v>
      </c>
      <c r="H233" s="4" t="s">
        <v>10</v>
      </c>
      <c r="I233" s="3" t="s">
        <v>469</v>
      </c>
    </row>
    <row r="234" customHeight="1" spans="1:9">
      <c r="A234" s="4" t="s">
        <v>470</v>
      </c>
      <c r="B234" s="4">
        <f>VLOOKUP($A234,[1]彩含分析60315!$A:$M,8,0)</f>
        <v>60</v>
      </c>
      <c r="C234" s="4">
        <f>VLOOKUP($A234,[1]彩含分析60315!$A:$M,9,0)</f>
        <v>58</v>
      </c>
      <c r="D234" s="4">
        <f>VLOOKUP($A234,[1]彩含分析60315!$A:$M,10,0)</f>
        <v>55</v>
      </c>
      <c r="E234" s="4">
        <f>VLOOKUP($A234,[1]彩含分析60315!$A:$M,11,0)</f>
        <v>53</v>
      </c>
      <c r="F234" s="4">
        <f>VLOOKUP($A234,[1]彩含分析60315!$A:$M,12,0)</f>
        <v>51</v>
      </c>
      <c r="G234" s="4">
        <f>VLOOKUP($A234,[1]彩含分析60315!$A:$M,13,0)</f>
        <v>49</v>
      </c>
      <c r="H234" s="4" t="s">
        <v>10</v>
      </c>
      <c r="I234" s="3" t="s">
        <v>471</v>
      </c>
    </row>
    <row r="235" customHeight="1" spans="1:9">
      <c r="A235" s="4" t="s">
        <v>472</v>
      </c>
      <c r="B235" s="4">
        <f>VLOOKUP($A235,[1]彩含分析60315!$A:$M,8,0)</f>
        <v>45</v>
      </c>
      <c r="C235" s="4">
        <f>VLOOKUP($A235,[1]彩含分析60315!$A:$M,9,0)</f>
        <v>43</v>
      </c>
      <c r="D235" s="4">
        <f>VLOOKUP($A235,[1]彩含分析60315!$A:$M,10,0)</f>
        <v>41</v>
      </c>
      <c r="E235" s="4">
        <f>VLOOKUP($A235,[1]彩含分析60315!$A:$M,11,0)</f>
        <v>40</v>
      </c>
      <c r="F235" s="4">
        <f>VLOOKUP($A235,[1]彩含分析60315!$A:$M,12,0)</f>
        <v>38</v>
      </c>
      <c r="G235" s="4">
        <f>VLOOKUP($A235,[1]彩含分析60315!$A:$M,13,0)</f>
        <v>37</v>
      </c>
      <c r="H235" s="4" t="s">
        <v>10</v>
      </c>
      <c r="I235" s="3" t="s">
        <v>473</v>
      </c>
    </row>
    <row r="236" customHeight="1" spans="1:9">
      <c r="A236" s="4" t="s">
        <v>474</v>
      </c>
      <c r="B236" s="4">
        <f>VLOOKUP($A236,[1]彩含分析60315!$A:$M,8,0)</f>
        <v>32</v>
      </c>
      <c r="C236" s="4">
        <f>VLOOKUP($A236,[1]彩含分析60315!$A:$M,9,0)</f>
        <v>31</v>
      </c>
      <c r="D236" s="4">
        <f>VLOOKUP($A236,[1]彩含分析60315!$A:$M,10,0)</f>
        <v>29</v>
      </c>
      <c r="E236" s="4">
        <f>VLOOKUP($A236,[1]彩含分析60315!$A:$M,11,0)</f>
        <v>28</v>
      </c>
      <c r="F236" s="4">
        <f>VLOOKUP($A236,[1]彩含分析60315!$A:$M,12,0)</f>
        <v>27</v>
      </c>
      <c r="G236" s="4">
        <f>VLOOKUP($A236,[1]彩含分析60315!$A:$M,13,0)</f>
        <v>26</v>
      </c>
      <c r="H236" s="4" t="s">
        <v>10</v>
      </c>
      <c r="I236" s="3" t="s">
        <v>475</v>
      </c>
    </row>
    <row r="237" customHeight="1" spans="1:9">
      <c r="A237" s="4" t="s">
        <v>476</v>
      </c>
      <c r="B237" s="4">
        <f>VLOOKUP($A237,[1]彩含分析60315!$A:$M,8,0)</f>
        <v>32</v>
      </c>
      <c r="C237" s="4">
        <f>VLOOKUP($A237,[1]彩含分析60315!$A:$M,9,0)</f>
        <v>31</v>
      </c>
      <c r="D237" s="4">
        <f>VLOOKUP($A237,[1]彩含分析60315!$A:$M,10,0)</f>
        <v>31</v>
      </c>
      <c r="E237" s="4">
        <f>VLOOKUP($A237,[1]彩含分析60315!$A:$M,11,0)</f>
        <v>30</v>
      </c>
      <c r="F237" s="4">
        <f>VLOOKUP($A237,[1]彩含分析60315!$A:$M,12,0)</f>
        <v>30</v>
      </c>
      <c r="G237" s="4">
        <f>VLOOKUP($A237,[1]彩含分析60315!$A:$M,13,0)</f>
        <v>29</v>
      </c>
      <c r="H237" s="4" t="s">
        <v>39</v>
      </c>
      <c r="I237" s="3" t="s">
        <v>477</v>
      </c>
    </row>
    <row r="238" customHeight="1" spans="1:9">
      <c r="A238" s="4" t="s">
        <v>478</v>
      </c>
      <c r="B238" s="4">
        <f>VLOOKUP($A238,[1]彩含分析60315!$A:$M,8,0)</f>
        <v>46</v>
      </c>
      <c r="C238" s="4">
        <f>VLOOKUP($A238,[1]彩含分析60315!$A:$M,9,0)</f>
        <v>44</v>
      </c>
      <c r="D238" s="4">
        <f>VLOOKUP($A238,[1]彩含分析60315!$A:$M,10,0)</f>
        <v>42</v>
      </c>
      <c r="E238" s="4">
        <f>VLOOKUP($A238,[1]彩含分析60315!$A:$M,11,0)</f>
        <v>41</v>
      </c>
      <c r="F238" s="4">
        <f>VLOOKUP($A238,[1]彩含分析60315!$A:$M,12,0)</f>
        <v>39</v>
      </c>
      <c r="G238" s="4">
        <f>VLOOKUP($A238,[1]彩含分析60315!$A:$M,13,0)</f>
        <v>37</v>
      </c>
      <c r="H238" s="4" t="s">
        <v>10</v>
      </c>
      <c r="I238" s="3" t="s">
        <v>479</v>
      </c>
    </row>
    <row r="239" customHeight="1" spans="1:9">
      <c r="A239" s="4" t="s">
        <v>480</v>
      </c>
      <c r="B239" s="4">
        <f>VLOOKUP($A239,[1]彩含分析60315!$A:$M,8,0)</f>
        <v>39</v>
      </c>
      <c r="C239" s="4">
        <f>VLOOKUP($A239,[1]彩含分析60315!$A:$M,9,0)</f>
        <v>38</v>
      </c>
      <c r="D239" s="4">
        <f>VLOOKUP($A239,[1]彩含分析60315!$A:$M,10,0)</f>
        <v>36</v>
      </c>
      <c r="E239" s="4">
        <f>VLOOKUP($A239,[1]彩含分析60315!$A:$M,11,0)</f>
        <v>35</v>
      </c>
      <c r="F239" s="4">
        <f>VLOOKUP($A239,[1]彩含分析60315!$A:$M,12,0)</f>
        <v>33</v>
      </c>
      <c r="G239" s="4">
        <f>VLOOKUP($A239,[1]彩含分析60315!$A:$M,13,0)</f>
        <v>32</v>
      </c>
      <c r="H239" s="4" t="s">
        <v>10</v>
      </c>
      <c r="I239" s="3" t="s">
        <v>481</v>
      </c>
    </row>
    <row r="240" customHeight="1" spans="1:9">
      <c r="A240" s="4" t="s">
        <v>482</v>
      </c>
      <c r="B240" s="4">
        <f>VLOOKUP($A240,[1]彩含分析60315!$A:$M,8,0)</f>
        <v>182</v>
      </c>
      <c r="C240" s="4">
        <f>VLOOKUP($A240,[1]彩含分析60315!$A:$M,9,0)</f>
        <v>179</v>
      </c>
      <c r="D240" s="4">
        <f>VLOOKUP($A240,[1]彩含分析60315!$A:$M,10,0)</f>
        <v>176</v>
      </c>
      <c r="E240" s="4">
        <f>VLOOKUP($A240,[1]彩含分析60315!$A:$M,11,0)</f>
        <v>173</v>
      </c>
      <c r="F240" s="4">
        <f>VLOOKUP($A240,[1]彩含分析60315!$A:$M,12,0)</f>
        <v>171</v>
      </c>
      <c r="G240" s="4">
        <f>VLOOKUP($A240,[1]彩含分析60315!$A:$M,13,0)</f>
        <v>168</v>
      </c>
      <c r="H240" s="4" t="s">
        <v>39</v>
      </c>
      <c r="I240" s="3" t="s">
        <v>483</v>
      </c>
    </row>
    <row r="241" customHeight="1" spans="1:9">
      <c r="A241" s="4" t="s">
        <v>484</v>
      </c>
      <c r="B241" s="4">
        <f>VLOOKUP($A241,[1]彩含分析60315!$A:$M,8,0)</f>
        <v>34</v>
      </c>
      <c r="C241" s="4">
        <f>VLOOKUP($A241,[1]彩含分析60315!$A:$M,9,0)</f>
        <v>33</v>
      </c>
      <c r="D241" s="4">
        <f>VLOOKUP($A241,[1]彩含分析60315!$A:$M,10,0)</f>
        <v>31</v>
      </c>
      <c r="E241" s="4">
        <f>VLOOKUP($A241,[1]彩含分析60315!$A:$M,11,0)</f>
        <v>30</v>
      </c>
      <c r="F241" s="4">
        <f>VLOOKUP($A241,[1]彩含分析60315!$A:$M,12,0)</f>
        <v>29</v>
      </c>
      <c r="G241" s="4">
        <f>VLOOKUP($A241,[1]彩含分析60315!$A:$M,13,0)</f>
        <v>28</v>
      </c>
      <c r="H241" s="4" t="s">
        <v>10</v>
      </c>
      <c r="I241" s="3" t="s">
        <v>485</v>
      </c>
    </row>
    <row r="242" customHeight="1" spans="1:9">
      <c r="A242" s="4" t="s">
        <v>486</v>
      </c>
      <c r="B242" s="4">
        <f>VLOOKUP($A242,[1]彩含分析60315!$A:$M,8,0)</f>
        <v>46</v>
      </c>
      <c r="C242" s="4">
        <f>VLOOKUP($A242,[1]彩含分析60315!$A:$M,9,0)</f>
        <v>45</v>
      </c>
      <c r="D242" s="4">
        <f>VLOOKUP($A242,[1]彩含分析60315!$A:$M,10,0)</f>
        <v>45</v>
      </c>
      <c r="E242" s="4">
        <f>VLOOKUP($A242,[1]彩含分析60315!$A:$M,11,0)</f>
        <v>44</v>
      </c>
      <c r="F242" s="4">
        <f>VLOOKUP($A242,[1]彩含分析60315!$A:$M,12,0)</f>
        <v>44</v>
      </c>
      <c r="G242" s="4">
        <f>VLOOKUP($A242,[1]彩含分析60315!$A:$M,13,0)</f>
        <v>43</v>
      </c>
      <c r="H242" s="4" t="s">
        <v>39</v>
      </c>
      <c r="I242" s="3" t="s">
        <v>487</v>
      </c>
    </row>
    <row r="243" customHeight="1" spans="1:9">
      <c r="A243" s="4" t="s">
        <v>488</v>
      </c>
      <c r="B243" s="4">
        <f>VLOOKUP($A243,[1]彩含分析60315!$A:$M,8,0)</f>
        <v>50</v>
      </c>
      <c r="C243" s="4">
        <f>VLOOKUP($A243,[1]彩含分析60315!$A:$M,9,0)</f>
        <v>49</v>
      </c>
      <c r="D243" s="4">
        <f>VLOOKUP($A243,[1]彩含分析60315!$A:$M,10,0)</f>
        <v>47</v>
      </c>
      <c r="E243" s="4">
        <f>VLOOKUP($A243,[1]彩含分析60315!$A:$M,11,0)</f>
        <v>45</v>
      </c>
      <c r="F243" s="4">
        <f>VLOOKUP($A243,[1]彩含分析60315!$A:$M,12,0)</f>
        <v>43</v>
      </c>
      <c r="G243" s="4">
        <f>VLOOKUP($A243,[1]彩含分析60315!$A:$M,13,0)</f>
        <v>41</v>
      </c>
      <c r="H243" s="4" t="s">
        <v>10</v>
      </c>
      <c r="I243" s="3" t="s">
        <v>489</v>
      </c>
    </row>
    <row r="244" customHeight="1" spans="1:9">
      <c r="A244" s="4" t="s">
        <v>490</v>
      </c>
      <c r="B244" s="4">
        <f>VLOOKUP($A244,[1]彩含分析60315!$A:$M,8,0)</f>
        <v>35</v>
      </c>
      <c r="C244" s="4">
        <f>VLOOKUP($A244,[1]彩含分析60315!$A:$M,9,0)</f>
        <v>33</v>
      </c>
      <c r="D244" s="4">
        <f>VLOOKUP($A244,[1]彩含分析60315!$A:$M,10,0)</f>
        <v>32</v>
      </c>
      <c r="E244" s="4">
        <f>VLOOKUP($A244,[1]彩含分析60315!$A:$M,11,0)</f>
        <v>31</v>
      </c>
      <c r="F244" s="4">
        <f>VLOOKUP($A244,[1]彩含分析60315!$A:$M,12,0)</f>
        <v>30</v>
      </c>
      <c r="G244" s="4">
        <f>VLOOKUP($A244,[1]彩含分析60315!$A:$M,13,0)</f>
        <v>28</v>
      </c>
      <c r="H244" s="4" t="s">
        <v>10</v>
      </c>
      <c r="I244" s="3" t="s">
        <v>491</v>
      </c>
    </row>
    <row r="245" customHeight="1" spans="1:9">
      <c r="A245" s="4" t="s">
        <v>492</v>
      </c>
      <c r="B245" s="4">
        <f>VLOOKUP($A245,[1]彩含分析60315!$A:$M,8,0)</f>
        <v>30</v>
      </c>
      <c r="C245" s="4">
        <f>VLOOKUP($A245,[1]彩含分析60315!$A:$M,9,0)</f>
        <v>29</v>
      </c>
      <c r="D245" s="4">
        <f>VLOOKUP($A245,[1]彩含分析60315!$A:$M,10,0)</f>
        <v>28</v>
      </c>
      <c r="E245" s="4">
        <f>VLOOKUP($A245,[1]彩含分析60315!$A:$M,11,0)</f>
        <v>27</v>
      </c>
      <c r="F245" s="4">
        <f>VLOOKUP($A245,[1]彩含分析60315!$A:$M,12,0)</f>
        <v>26</v>
      </c>
      <c r="G245" s="4">
        <f>VLOOKUP($A245,[1]彩含分析60315!$A:$M,13,0)</f>
        <v>24</v>
      </c>
      <c r="H245" s="4" t="s">
        <v>10</v>
      </c>
      <c r="I245" s="3" t="s">
        <v>493</v>
      </c>
    </row>
    <row r="246" customHeight="1" spans="1:9">
      <c r="A246" s="4" t="s">
        <v>494</v>
      </c>
      <c r="B246" s="4">
        <f>VLOOKUP($A246,[1]彩含分析60315!$A:$M,8,0)</f>
        <v>119</v>
      </c>
      <c r="C246" s="4">
        <f>VLOOKUP($A246,[1]彩含分析60315!$A:$M,9,0)</f>
        <v>117</v>
      </c>
      <c r="D246" s="4">
        <f>VLOOKUP($A246,[1]彩含分析60315!$A:$M,10,0)</f>
        <v>115</v>
      </c>
      <c r="E246" s="4">
        <f>VLOOKUP($A246,[1]彩含分析60315!$A:$M,11,0)</f>
        <v>113</v>
      </c>
      <c r="F246" s="4">
        <f>VLOOKUP($A246,[1]彩含分析60315!$A:$M,12,0)</f>
        <v>112</v>
      </c>
      <c r="G246" s="4">
        <f>VLOOKUP($A246,[1]彩含分析60315!$A:$M,13,0)</f>
        <v>110</v>
      </c>
      <c r="H246" s="4" t="s">
        <v>39</v>
      </c>
      <c r="I246" s="3" t="s">
        <v>495</v>
      </c>
    </row>
    <row r="247" customHeight="1" spans="1:9">
      <c r="A247" s="4" t="s">
        <v>496</v>
      </c>
      <c r="B247" s="4">
        <f>VLOOKUP($A247,[1]彩含分析60315!$A:$M,8,0)</f>
        <v>63</v>
      </c>
      <c r="C247" s="4">
        <f>VLOOKUP($A247,[1]彩含分析60315!$A:$M,9,0)</f>
        <v>62</v>
      </c>
      <c r="D247" s="4">
        <f>VLOOKUP($A247,[1]彩含分析60315!$A:$M,10,0)</f>
        <v>61</v>
      </c>
      <c r="E247" s="4">
        <f>VLOOKUP($A247,[1]彩含分析60315!$A:$M,11,0)</f>
        <v>60</v>
      </c>
      <c r="F247" s="4">
        <f>VLOOKUP($A247,[1]彩含分析60315!$A:$M,12,0)</f>
        <v>59</v>
      </c>
      <c r="G247" s="4">
        <f>VLOOKUP($A247,[1]彩含分析60315!$A:$M,13,0)</f>
        <v>58</v>
      </c>
      <c r="H247" s="4" t="s">
        <v>39</v>
      </c>
      <c r="I247" s="3" t="s">
        <v>497</v>
      </c>
    </row>
    <row r="248" customHeight="1" spans="1:9">
      <c r="A248" s="4" t="s">
        <v>498</v>
      </c>
      <c r="B248" s="4">
        <f>VLOOKUP($A248,[1]彩含分析60315!$A:$M,8,0)</f>
        <v>37</v>
      </c>
      <c r="C248" s="4">
        <f>VLOOKUP($A248,[1]彩含分析60315!$A:$M,9,0)</f>
        <v>36</v>
      </c>
      <c r="D248" s="4">
        <f>VLOOKUP($A248,[1]彩含分析60315!$A:$M,10,0)</f>
        <v>35</v>
      </c>
      <c r="E248" s="4">
        <f>VLOOKUP($A248,[1]彩含分析60315!$A:$M,11,0)</f>
        <v>33</v>
      </c>
      <c r="F248" s="4">
        <f>VLOOKUP($A248,[1]彩含分析60315!$A:$M,12,0)</f>
        <v>32</v>
      </c>
      <c r="G248" s="4">
        <f>VLOOKUP($A248,[1]彩含分析60315!$A:$M,13,0)</f>
        <v>31</v>
      </c>
      <c r="H248" s="4" t="s">
        <v>10</v>
      </c>
      <c r="I248" s="3" t="s">
        <v>135</v>
      </c>
    </row>
    <row r="249" customHeight="1" spans="1:9">
      <c r="A249" s="4" t="s">
        <v>499</v>
      </c>
      <c r="B249" s="4">
        <f>VLOOKUP($A249,[1]彩含分析60315!$A:$M,8,0)</f>
        <v>40</v>
      </c>
      <c r="C249" s="4">
        <f>VLOOKUP($A249,[1]彩含分析60315!$A:$M,9,0)</f>
        <v>39</v>
      </c>
      <c r="D249" s="4">
        <f>VLOOKUP($A249,[1]彩含分析60315!$A:$M,10,0)</f>
        <v>37</v>
      </c>
      <c r="E249" s="4">
        <f>VLOOKUP($A249,[1]彩含分析60315!$A:$M,11,0)</f>
        <v>36</v>
      </c>
      <c r="F249" s="4">
        <f>VLOOKUP($A249,[1]彩含分析60315!$A:$M,12,0)</f>
        <v>34</v>
      </c>
      <c r="G249" s="4">
        <f>VLOOKUP($A249,[1]彩含分析60315!$A:$M,13,0)</f>
        <v>33</v>
      </c>
      <c r="H249" s="4" t="s">
        <v>10</v>
      </c>
      <c r="I249" s="3" t="s">
        <v>77</v>
      </c>
    </row>
    <row r="250" customHeight="1" spans="1:9">
      <c r="A250" s="4" t="s">
        <v>500</v>
      </c>
      <c r="B250" s="4">
        <f>VLOOKUP($A250,[1]彩含分析60315!$A:$M,8,0)</f>
        <v>34</v>
      </c>
      <c r="C250" s="4">
        <f>VLOOKUP($A250,[1]彩含分析60315!$A:$M,9,0)</f>
        <v>32</v>
      </c>
      <c r="D250" s="4">
        <f>VLOOKUP($A250,[1]彩含分析60315!$A:$M,10,0)</f>
        <v>31</v>
      </c>
      <c r="E250" s="4">
        <f>VLOOKUP($A250,[1]彩含分析60315!$A:$M,11,0)</f>
        <v>30</v>
      </c>
      <c r="F250" s="4">
        <f>VLOOKUP($A250,[1]彩含分析60315!$A:$M,12,0)</f>
        <v>29</v>
      </c>
      <c r="G250" s="4">
        <f>VLOOKUP($A250,[1]彩含分析60315!$A:$M,13,0)</f>
        <v>27</v>
      </c>
      <c r="H250" s="4" t="s">
        <v>10</v>
      </c>
      <c r="I250" s="3" t="s">
        <v>501</v>
      </c>
    </row>
    <row r="251" customHeight="1" spans="1:9">
      <c r="A251" s="4" t="s">
        <v>502</v>
      </c>
      <c r="B251" s="4">
        <f>VLOOKUP($A251,[1]彩含分析60315!$A:$M,8,0)</f>
        <v>33</v>
      </c>
      <c r="C251" s="4">
        <f>VLOOKUP($A251,[1]彩含分析60315!$A:$M,9,0)</f>
        <v>32</v>
      </c>
      <c r="D251" s="4">
        <f>VLOOKUP($A251,[1]彩含分析60315!$A:$M,10,0)</f>
        <v>30</v>
      </c>
      <c r="E251" s="4">
        <f>VLOOKUP($A251,[1]彩含分析60315!$A:$M,11,0)</f>
        <v>29</v>
      </c>
      <c r="F251" s="4">
        <f>VLOOKUP($A251,[1]彩含分析60315!$A:$M,12,0)</f>
        <v>28</v>
      </c>
      <c r="G251" s="4">
        <f>VLOOKUP($A251,[1]彩含分析60315!$A:$M,13,0)</f>
        <v>27</v>
      </c>
      <c r="H251" s="4" t="s">
        <v>10</v>
      </c>
      <c r="I251" s="3" t="s">
        <v>503</v>
      </c>
    </row>
    <row r="252" customHeight="1" spans="1:9">
      <c r="A252" s="4" t="s">
        <v>504</v>
      </c>
      <c r="B252" s="4">
        <f>VLOOKUP($A252,[1]彩含分析60315!$A:$M,8,0)</f>
        <v>30</v>
      </c>
      <c r="C252" s="4">
        <f>VLOOKUP($A252,[1]彩含分析60315!$A:$M,9,0)</f>
        <v>29</v>
      </c>
      <c r="D252" s="4">
        <f>VLOOKUP($A252,[1]彩含分析60315!$A:$M,10,0)</f>
        <v>28</v>
      </c>
      <c r="E252" s="4">
        <f>VLOOKUP($A252,[1]彩含分析60315!$A:$M,11,0)</f>
        <v>27</v>
      </c>
      <c r="F252" s="4">
        <f>VLOOKUP($A252,[1]彩含分析60315!$A:$M,12,0)</f>
        <v>26</v>
      </c>
      <c r="G252" s="4">
        <f>VLOOKUP($A252,[1]彩含分析60315!$A:$M,13,0)</f>
        <v>25</v>
      </c>
      <c r="H252" s="4" t="s">
        <v>10</v>
      </c>
      <c r="I252" s="3" t="s">
        <v>505</v>
      </c>
    </row>
    <row r="253" customHeight="1" spans="1:9">
      <c r="A253" s="4" t="s">
        <v>506</v>
      </c>
      <c r="B253" s="4">
        <f>VLOOKUP($A253,[1]彩含分析60315!$A:$M,8,0)</f>
        <v>39</v>
      </c>
      <c r="C253" s="4">
        <f>VLOOKUP($A253,[1]彩含分析60315!$A:$M,9,0)</f>
        <v>37</v>
      </c>
      <c r="D253" s="4">
        <f>VLOOKUP($A253,[1]彩含分析60315!$A:$M,10,0)</f>
        <v>36</v>
      </c>
      <c r="E253" s="4">
        <f>VLOOKUP($A253,[1]彩含分析60315!$A:$M,11,0)</f>
        <v>35</v>
      </c>
      <c r="F253" s="4">
        <f>VLOOKUP($A253,[1]彩含分析60315!$A:$M,12,0)</f>
        <v>33</v>
      </c>
      <c r="G253" s="4">
        <f>VLOOKUP($A253,[1]彩含分析60315!$A:$M,13,0)</f>
        <v>32</v>
      </c>
      <c r="H253" s="4" t="s">
        <v>10</v>
      </c>
      <c r="I253" s="3" t="s">
        <v>507</v>
      </c>
    </row>
    <row r="254" customHeight="1" spans="1:9">
      <c r="A254" s="4" t="s">
        <v>508</v>
      </c>
      <c r="B254" s="4">
        <f>VLOOKUP($A254,[1]彩含分析60315!$A:$M,8,0)</f>
        <v>34</v>
      </c>
      <c r="C254" s="4">
        <f>VLOOKUP($A254,[1]彩含分析60315!$A:$M,9,0)</f>
        <v>33</v>
      </c>
      <c r="D254" s="4">
        <f>VLOOKUP($A254,[1]彩含分析60315!$A:$M,10,0)</f>
        <v>31</v>
      </c>
      <c r="E254" s="4">
        <f>VLOOKUP($A254,[1]彩含分析60315!$A:$M,11,0)</f>
        <v>30</v>
      </c>
      <c r="F254" s="4">
        <f>VLOOKUP($A254,[1]彩含分析60315!$A:$M,12,0)</f>
        <v>29</v>
      </c>
      <c r="G254" s="4">
        <f>VLOOKUP($A254,[1]彩含分析60315!$A:$M,13,0)</f>
        <v>28</v>
      </c>
      <c r="H254" s="4" t="s">
        <v>10</v>
      </c>
      <c r="I254" s="3" t="s">
        <v>509</v>
      </c>
    </row>
    <row r="255" customHeight="1" spans="1:9">
      <c r="A255" s="4" t="s">
        <v>510</v>
      </c>
      <c r="B255" s="4">
        <f>VLOOKUP($A255,[1]彩含分析60315!$A:$M,8,0)</f>
        <v>33</v>
      </c>
      <c r="C255" s="4">
        <f>VLOOKUP($A255,[1]彩含分析60315!$A:$M,9,0)</f>
        <v>32</v>
      </c>
      <c r="D255" s="4">
        <f>VLOOKUP($A255,[1]彩含分析60315!$A:$M,10,0)</f>
        <v>30</v>
      </c>
      <c r="E255" s="4">
        <f>VLOOKUP($A255,[1]彩含分析60315!$A:$M,11,0)</f>
        <v>29</v>
      </c>
      <c r="F255" s="4">
        <f>VLOOKUP($A255,[1]彩含分析60315!$A:$M,12,0)</f>
        <v>28</v>
      </c>
      <c r="G255" s="4">
        <f>VLOOKUP($A255,[1]彩含分析60315!$A:$M,13,0)</f>
        <v>27</v>
      </c>
      <c r="H255" s="4" t="s">
        <v>10</v>
      </c>
      <c r="I255" s="3" t="s">
        <v>511</v>
      </c>
    </row>
    <row r="256" customHeight="1" spans="1:9">
      <c r="A256" s="4" t="s">
        <v>512</v>
      </c>
      <c r="B256" s="4">
        <f>VLOOKUP($A256,[1]彩含分析60315!$A:$M,8,0)</f>
        <v>44</v>
      </c>
      <c r="C256" s="4">
        <f>VLOOKUP($A256,[1]彩含分析60315!$A:$M,9,0)</f>
        <v>42</v>
      </c>
      <c r="D256" s="4">
        <f>VLOOKUP($A256,[1]彩含分析60315!$A:$M,10,0)</f>
        <v>40</v>
      </c>
      <c r="E256" s="4">
        <f>VLOOKUP($A256,[1]彩含分析60315!$A:$M,11,0)</f>
        <v>39</v>
      </c>
      <c r="F256" s="4">
        <f>VLOOKUP($A256,[1]彩含分析60315!$A:$M,12,0)</f>
        <v>37</v>
      </c>
      <c r="G256" s="4">
        <f>VLOOKUP($A256,[1]彩含分析60315!$A:$M,13,0)</f>
        <v>36</v>
      </c>
      <c r="H256" s="4" t="s">
        <v>10</v>
      </c>
      <c r="I256" s="3" t="s">
        <v>513</v>
      </c>
    </row>
    <row r="257" customHeight="1" spans="1:9">
      <c r="A257" s="4" t="s">
        <v>514</v>
      </c>
      <c r="B257" s="4">
        <f>VLOOKUP($A257,[1]彩含分析60315!$A:$M,8,0)</f>
        <v>131</v>
      </c>
      <c r="C257" s="4">
        <f>VLOOKUP($A257,[1]彩含分析60315!$A:$M,9,0)</f>
        <v>129</v>
      </c>
      <c r="D257" s="4">
        <f>VLOOKUP($A257,[1]彩含分析60315!$A:$M,10,0)</f>
        <v>127</v>
      </c>
      <c r="E257" s="4">
        <f>VLOOKUP($A257,[1]彩含分析60315!$A:$M,11,0)</f>
        <v>125</v>
      </c>
      <c r="F257" s="4">
        <f>VLOOKUP($A257,[1]彩含分析60315!$A:$M,12,0)</f>
        <v>124</v>
      </c>
      <c r="G257" s="4">
        <f>VLOOKUP($A257,[1]彩含分析60315!$A:$M,13,0)</f>
        <v>121</v>
      </c>
      <c r="H257" s="4" t="s">
        <v>39</v>
      </c>
      <c r="I257" s="3" t="s">
        <v>515</v>
      </c>
    </row>
    <row r="258" customHeight="1" spans="1:9">
      <c r="A258" s="4" t="s">
        <v>516</v>
      </c>
      <c r="B258" s="4">
        <f>VLOOKUP($A258,[1]彩含分析60315!$A:$M,8,0)</f>
        <v>34</v>
      </c>
      <c r="C258" s="4">
        <f>VLOOKUP($A258,[1]彩含分析60315!$A:$M,9,0)</f>
        <v>33</v>
      </c>
      <c r="D258" s="4">
        <f>VLOOKUP($A258,[1]彩含分析60315!$A:$M,10,0)</f>
        <v>31</v>
      </c>
      <c r="E258" s="4">
        <f>VLOOKUP($A258,[1]彩含分析60315!$A:$M,11,0)</f>
        <v>30</v>
      </c>
      <c r="F258" s="4">
        <f>VLOOKUP($A258,[1]彩含分析60315!$A:$M,12,0)</f>
        <v>29</v>
      </c>
      <c r="G258" s="4">
        <f>VLOOKUP($A258,[1]彩含分析60315!$A:$M,13,0)</f>
        <v>28</v>
      </c>
      <c r="H258" s="4" t="s">
        <v>10</v>
      </c>
      <c r="I258" s="3" t="s">
        <v>517</v>
      </c>
    </row>
    <row r="259" customHeight="1" spans="1:9">
      <c r="A259" s="4" t="s">
        <v>518</v>
      </c>
      <c r="B259" s="4">
        <f>VLOOKUP($A259,[1]彩含分析60315!$A:$M,8,0)</f>
        <v>34</v>
      </c>
      <c r="C259" s="4">
        <f>VLOOKUP($A259,[1]彩含分析60315!$A:$M,9,0)</f>
        <v>33</v>
      </c>
      <c r="D259" s="4">
        <f>VLOOKUP($A259,[1]彩含分析60315!$A:$M,10,0)</f>
        <v>32</v>
      </c>
      <c r="E259" s="4">
        <f>VLOOKUP($A259,[1]彩含分析60315!$A:$M,11,0)</f>
        <v>30</v>
      </c>
      <c r="F259" s="4">
        <f>VLOOKUP($A259,[1]彩含分析60315!$A:$M,12,0)</f>
        <v>29</v>
      </c>
      <c r="G259" s="4">
        <f>VLOOKUP($A259,[1]彩含分析60315!$A:$M,13,0)</f>
        <v>28</v>
      </c>
      <c r="H259" s="4" t="s">
        <v>10</v>
      </c>
      <c r="I259" s="3" t="s">
        <v>519</v>
      </c>
    </row>
    <row r="260" customHeight="1" spans="1:9">
      <c r="A260" s="4" t="s">
        <v>520</v>
      </c>
      <c r="B260" s="4">
        <f>VLOOKUP($A260,[1]彩含分析60315!$A:$M,8,0)</f>
        <v>45</v>
      </c>
      <c r="C260" s="4">
        <f>VLOOKUP($A260,[1]彩含分析60315!$A:$M,9,0)</f>
        <v>43</v>
      </c>
      <c r="D260" s="4">
        <f>VLOOKUP($A260,[1]彩含分析60315!$A:$M,10,0)</f>
        <v>41</v>
      </c>
      <c r="E260" s="4">
        <f>VLOOKUP($A260,[1]彩含分析60315!$A:$M,11,0)</f>
        <v>40</v>
      </c>
      <c r="F260" s="4">
        <f>VLOOKUP($A260,[1]彩含分析60315!$A:$M,12,0)</f>
        <v>38</v>
      </c>
      <c r="G260" s="4">
        <f>VLOOKUP($A260,[1]彩含分析60315!$A:$M,13,0)</f>
        <v>37</v>
      </c>
      <c r="H260" s="4" t="s">
        <v>10</v>
      </c>
      <c r="I260" s="3" t="s">
        <v>521</v>
      </c>
    </row>
    <row r="261" customHeight="1" spans="1:9">
      <c r="A261" s="4" t="s">
        <v>522</v>
      </c>
      <c r="B261" s="4">
        <f>VLOOKUP($A261,[1]彩含分析60315!$A:$M,8,0)</f>
        <v>44</v>
      </c>
      <c r="C261" s="4">
        <f>VLOOKUP($A261,[1]彩含分析60315!$A:$M,9,0)</f>
        <v>43</v>
      </c>
      <c r="D261" s="4">
        <f>VLOOKUP($A261,[1]彩含分析60315!$A:$M,10,0)</f>
        <v>41</v>
      </c>
      <c r="E261" s="4">
        <f>VLOOKUP($A261,[1]彩含分析60315!$A:$M,11,0)</f>
        <v>39</v>
      </c>
      <c r="F261" s="4">
        <f>VLOOKUP($A261,[1]彩含分析60315!$A:$M,12,0)</f>
        <v>38</v>
      </c>
      <c r="G261" s="4">
        <f>VLOOKUP($A261,[1]彩含分析60315!$A:$M,13,0)</f>
        <v>36</v>
      </c>
      <c r="H261" s="4" t="s">
        <v>10</v>
      </c>
      <c r="I261" s="3" t="s">
        <v>523</v>
      </c>
    </row>
    <row r="262" customHeight="1" spans="1:9">
      <c r="A262" s="4" t="s">
        <v>524</v>
      </c>
      <c r="B262" s="4">
        <f>VLOOKUP($A262,[1]彩含分析60315!$A:$M,8,0)</f>
        <v>93</v>
      </c>
      <c r="C262" s="4">
        <f>VLOOKUP($A262,[1]彩含分析60315!$A:$M,9,0)</f>
        <v>90</v>
      </c>
      <c r="D262" s="4">
        <f>VLOOKUP($A262,[1]彩含分析60315!$A:$M,10,0)</f>
        <v>86</v>
      </c>
      <c r="E262" s="4">
        <f>VLOOKUP($A262,[1]彩含分析60315!$A:$M,11,0)</f>
        <v>83</v>
      </c>
      <c r="F262" s="4">
        <f>VLOOKUP($A262,[1]彩含分析60315!$A:$M,12,0)</f>
        <v>79</v>
      </c>
      <c r="G262" s="4">
        <f>VLOOKUP($A262,[1]彩含分析60315!$A:$M,13,0)</f>
        <v>76</v>
      </c>
      <c r="H262" s="4" t="s">
        <v>10</v>
      </c>
      <c r="I262" s="3" t="s">
        <v>525</v>
      </c>
    </row>
    <row r="263" customHeight="1" spans="1:9">
      <c r="A263" s="4" t="s">
        <v>526</v>
      </c>
      <c r="B263" s="4">
        <f>VLOOKUP($A263,[1]彩含分析60315!$A:$M,8,0)</f>
        <v>56</v>
      </c>
      <c r="C263" s="4">
        <f>VLOOKUP($A263,[1]彩含分析60315!$A:$M,9,0)</f>
        <v>55</v>
      </c>
      <c r="D263" s="4">
        <f>VLOOKUP($A263,[1]彩含分析60315!$A:$M,10,0)</f>
        <v>54</v>
      </c>
      <c r="E263" s="4">
        <f>VLOOKUP($A263,[1]彩含分析60315!$A:$M,11,0)</f>
        <v>54</v>
      </c>
      <c r="F263" s="4">
        <f>VLOOKUP($A263,[1]彩含分析60315!$A:$M,12,0)</f>
        <v>53</v>
      </c>
      <c r="G263" s="4">
        <f>VLOOKUP($A263,[1]彩含分析60315!$A:$M,13,0)</f>
        <v>52</v>
      </c>
      <c r="H263" s="4" t="s">
        <v>39</v>
      </c>
      <c r="I263" s="3" t="s">
        <v>527</v>
      </c>
    </row>
    <row r="264" customHeight="1" spans="1:9">
      <c r="A264" s="4" t="s">
        <v>528</v>
      </c>
      <c r="B264" s="4">
        <f>VLOOKUP($A264,[1]彩含分析60315!$A:$M,8,0)</f>
        <v>41</v>
      </c>
      <c r="C264" s="4">
        <f>VLOOKUP($A264,[1]彩含分析60315!$A:$M,9,0)</f>
        <v>39</v>
      </c>
      <c r="D264" s="4">
        <f>VLOOKUP($A264,[1]彩含分析60315!$A:$M,10,0)</f>
        <v>38</v>
      </c>
      <c r="E264" s="4">
        <f>VLOOKUP($A264,[1]彩含分析60315!$A:$M,11,0)</f>
        <v>36</v>
      </c>
      <c r="F264" s="4">
        <f>VLOOKUP($A264,[1]彩含分析60315!$A:$M,12,0)</f>
        <v>35</v>
      </c>
      <c r="G264" s="4">
        <f>VLOOKUP($A264,[1]彩含分析60315!$A:$M,13,0)</f>
        <v>33</v>
      </c>
      <c r="H264" s="4" t="s">
        <v>10</v>
      </c>
      <c r="I264" s="3" t="s">
        <v>529</v>
      </c>
    </row>
    <row r="265" customHeight="1" spans="1:9">
      <c r="A265" s="4" t="s">
        <v>530</v>
      </c>
      <c r="B265" s="4">
        <f>VLOOKUP($A265,[1]彩含分析60315!$A:$M,8,0)</f>
        <v>119</v>
      </c>
      <c r="C265" s="4">
        <f>VLOOKUP($A265,[1]彩含分析60315!$A:$M,9,0)</f>
        <v>117</v>
      </c>
      <c r="D265" s="4">
        <f>VLOOKUP($A265,[1]彩含分析60315!$A:$M,10,0)</f>
        <v>115</v>
      </c>
      <c r="E265" s="4">
        <f>VLOOKUP($A265,[1]彩含分析60315!$A:$M,11,0)</f>
        <v>113</v>
      </c>
      <c r="F265" s="4">
        <f>VLOOKUP($A265,[1]彩含分析60315!$A:$M,12,0)</f>
        <v>112</v>
      </c>
      <c r="G265" s="4">
        <f>VLOOKUP($A265,[1]彩含分析60315!$A:$M,13,0)</f>
        <v>110</v>
      </c>
      <c r="H265" s="4" t="s">
        <v>39</v>
      </c>
      <c r="I265" s="3" t="s">
        <v>531</v>
      </c>
    </row>
    <row r="266" customHeight="1" spans="1:9">
      <c r="A266" s="4" t="s">
        <v>532</v>
      </c>
      <c r="B266" s="4">
        <f>VLOOKUP($A266,[1]彩含分析60315!$A:$M,8,0)</f>
        <v>47</v>
      </c>
      <c r="C266" s="4">
        <f>VLOOKUP($A266,[1]彩含分析60315!$A:$M,9,0)</f>
        <v>45</v>
      </c>
      <c r="D266" s="4">
        <f>VLOOKUP($A266,[1]彩含分析60315!$A:$M,10,0)</f>
        <v>44</v>
      </c>
      <c r="E266" s="4">
        <f>VLOOKUP($A266,[1]彩含分析60315!$A:$M,11,0)</f>
        <v>42</v>
      </c>
      <c r="F266" s="4">
        <f>VLOOKUP($A266,[1]彩含分析60315!$A:$M,12,0)</f>
        <v>40</v>
      </c>
      <c r="G266" s="4">
        <f>VLOOKUP($A266,[1]彩含分析60315!$A:$M,13,0)</f>
        <v>38</v>
      </c>
      <c r="H266" s="4" t="s">
        <v>10</v>
      </c>
      <c r="I266" s="3" t="s">
        <v>533</v>
      </c>
    </row>
    <row r="267" customHeight="1" spans="1:9">
      <c r="A267" s="4" t="s">
        <v>534</v>
      </c>
      <c r="B267" s="4">
        <f>VLOOKUP($A267,[1]彩含分析60315!$A:$M,8,0)</f>
        <v>68</v>
      </c>
      <c r="C267" s="4">
        <f>VLOOKUP($A267,[1]彩含分析60315!$A:$M,9,0)</f>
        <v>67</v>
      </c>
      <c r="D267" s="4">
        <f>VLOOKUP($A267,[1]彩含分析60315!$A:$M,10,0)</f>
        <v>66</v>
      </c>
      <c r="E267" s="4">
        <f>VLOOKUP($A267,[1]彩含分析60315!$A:$M,11,0)</f>
        <v>65</v>
      </c>
      <c r="F267" s="4">
        <f>VLOOKUP($A267,[1]彩含分析60315!$A:$M,12,0)</f>
        <v>64</v>
      </c>
      <c r="G267" s="4">
        <f>VLOOKUP($A267,[1]彩含分析60315!$A:$M,13,0)</f>
        <v>63</v>
      </c>
      <c r="H267" s="4" t="s">
        <v>39</v>
      </c>
      <c r="I267" s="3" t="s">
        <v>535</v>
      </c>
    </row>
    <row r="268" customHeight="1" spans="1:9">
      <c r="A268" s="4" t="s">
        <v>536</v>
      </c>
      <c r="B268" s="4">
        <f>VLOOKUP($A268,[1]彩含分析60315!$A:$M,8,0)</f>
        <v>57</v>
      </c>
      <c r="C268" s="4">
        <f>VLOOKUP($A268,[1]彩含分析60315!$A:$M,9,0)</f>
        <v>55</v>
      </c>
      <c r="D268" s="4">
        <f>VLOOKUP($A268,[1]彩含分析60315!$A:$M,10,0)</f>
        <v>53</v>
      </c>
      <c r="E268" s="4">
        <f>VLOOKUP($A268,[1]彩含分析60315!$A:$M,11,0)</f>
        <v>51</v>
      </c>
      <c r="F268" s="4">
        <f>VLOOKUP($A268,[1]彩含分析60315!$A:$M,12,0)</f>
        <v>49</v>
      </c>
      <c r="G268" s="4">
        <f>VLOOKUP($A268,[1]彩含分析60315!$A:$M,13,0)</f>
        <v>47</v>
      </c>
      <c r="H268" s="4" t="s">
        <v>10</v>
      </c>
      <c r="I268" s="3" t="s">
        <v>537</v>
      </c>
    </row>
    <row r="269" customHeight="1" spans="1:9">
      <c r="A269" s="4" t="s">
        <v>538</v>
      </c>
      <c r="B269" s="4">
        <f>VLOOKUP($A269,[1]彩含分析60315!$A:$M,8,0)</f>
        <v>44</v>
      </c>
      <c r="C269" s="4">
        <f>VLOOKUP($A269,[1]彩含分析60315!$A:$M,9,0)</f>
        <v>43</v>
      </c>
      <c r="D269" s="4">
        <f>VLOOKUP($A269,[1]彩含分析60315!$A:$M,10,0)</f>
        <v>41</v>
      </c>
      <c r="E269" s="4">
        <f>VLOOKUP($A269,[1]彩含分析60315!$A:$M,11,0)</f>
        <v>40</v>
      </c>
      <c r="F269" s="4">
        <f>VLOOKUP($A269,[1]彩含分析60315!$A:$M,12,0)</f>
        <v>38</v>
      </c>
      <c r="G269" s="4">
        <f>VLOOKUP($A269,[1]彩含分析60315!$A:$M,13,0)</f>
        <v>36</v>
      </c>
      <c r="H269" s="4" t="s">
        <v>10</v>
      </c>
      <c r="I269" s="3" t="s">
        <v>539</v>
      </c>
    </row>
    <row r="270" customHeight="1" spans="1:9">
      <c r="A270" s="4" t="s">
        <v>540</v>
      </c>
      <c r="B270" s="4">
        <f>VLOOKUP($A270,[1]彩含分析60315!$A:$M,8,0)</f>
        <v>117</v>
      </c>
      <c r="C270" s="4">
        <f>VLOOKUP($A270,[1]彩含分析60315!$A:$M,9,0)</f>
        <v>115</v>
      </c>
      <c r="D270" s="4">
        <f>VLOOKUP($A270,[1]彩含分析60315!$A:$M,10,0)</f>
        <v>113</v>
      </c>
      <c r="E270" s="4">
        <f>VLOOKUP($A270,[1]彩含分析60315!$A:$M,11,0)</f>
        <v>111</v>
      </c>
      <c r="F270" s="4">
        <f>VLOOKUP($A270,[1]彩含分析60315!$A:$M,12,0)</f>
        <v>110</v>
      </c>
      <c r="G270" s="4">
        <f>VLOOKUP($A270,[1]彩含分析60315!$A:$M,13,0)</f>
        <v>108</v>
      </c>
      <c r="H270" s="4" t="s">
        <v>39</v>
      </c>
      <c r="I270" s="3" t="s">
        <v>541</v>
      </c>
    </row>
    <row r="271" customHeight="1" spans="1:9">
      <c r="A271" s="4" t="s">
        <v>542</v>
      </c>
      <c r="B271" s="4">
        <f>VLOOKUP($A271,[1]彩含分析60315!$A:$M,8,0)</f>
        <v>34</v>
      </c>
      <c r="C271" s="4">
        <f>VLOOKUP($A271,[1]彩含分析60315!$A:$M,9,0)</f>
        <v>33</v>
      </c>
      <c r="D271" s="4">
        <f>VLOOKUP($A271,[1]彩含分析60315!$A:$M,10,0)</f>
        <v>32</v>
      </c>
      <c r="E271" s="4">
        <f>VLOOKUP($A271,[1]彩含分析60315!$A:$M,11,0)</f>
        <v>31</v>
      </c>
      <c r="F271" s="4">
        <f>VLOOKUP($A271,[1]彩含分析60315!$A:$M,12,0)</f>
        <v>29</v>
      </c>
      <c r="G271" s="4">
        <f>VLOOKUP($A271,[1]彩含分析60315!$A:$M,13,0)</f>
        <v>28</v>
      </c>
      <c r="H271" s="4" t="s">
        <v>10</v>
      </c>
      <c r="I271" s="3" t="s">
        <v>543</v>
      </c>
    </row>
    <row r="272" customHeight="1" spans="1:9">
      <c r="A272" s="4" t="s">
        <v>544</v>
      </c>
      <c r="B272" s="4">
        <f>VLOOKUP($A272,[1]彩含分析60315!$A:$M,8,0)</f>
        <v>49</v>
      </c>
      <c r="C272" s="4">
        <f>VLOOKUP($A272,[1]彩含分析60315!$A:$M,9,0)</f>
        <v>47</v>
      </c>
      <c r="D272" s="4">
        <f>VLOOKUP($A272,[1]彩含分析60315!$A:$M,10,0)</f>
        <v>45</v>
      </c>
      <c r="E272" s="4">
        <f>VLOOKUP($A272,[1]彩含分析60315!$A:$M,11,0)</f>
        <v>44</v>
      </c>
      <c r="F272" s="4">
        <f>VLOOKUP($A272,[1]彩含分析60315!$A:$M,12,0)</f>
        <v>42</v>
      </c>
      <c r="G272" s="4">
        <f>VLOOKUP($A272,[1]彩含分析60315!$A:$M,13,0)</f>
        <v>40</v>
      </c>
      <c r="H272" s="4" t="s">
        <v>10</v>
      </c>
      <c r="I272" s="3" t="s">
        <v>545</v>
      </c>
    </row>
    <row r="273" customHeight="1" spans="1:9">
      <c r="A273" s="4" t="s">
        <v>546</v>
      </c>
      <c r="B273" s="4">
        <f>VLOOKUP($A273,[1]彩含分析60315!$A:$M,8,0)</f>
        <v>37</v>
      </c>
      <c r="C273" s="4">
        <f>VLOOKUP($A273,[1]彩含分析60315!$A:$M,9,0)</f>
        <v>36</v>
      </c>
      <c r="D273" s="4">
        <f>VLOOKUP($A273,[1]彩含分析60315!$A:$M,10,0)</f>
        <v>34</v>
      </c>
      <c r="E273" s="4">
        <f>VLOOKUP($A273,[1]彩含分析60315!$A:$M,11,0)</f>
        <v>33</v>
      </c>
      <c r="F273" s="4">
        <f>VLOOKUP($A273,[1]彩含分析60315!$A:$M,12,0)</f>
        <v>32</v>
      </c>
      <c r="G273" s="4">
        <f>VLOOKUP($A273,[1]彩含分析60315!$A:$M,13,0)</f>
        <v>30</v>
      </c>
      <c r="H273" s="4" t="s">
        <v>10</v>
      </c>
      <c r="I273" s="3" t="s">
        <v>547</v>
      </c>
    </row>
    <row r="274" customHeight="1" spans="1:9">
      <c r="A274" s="4" t="s">
        <v>548</v>
      </c>
      <c r="B274" s="4">
        <f>VLOOKUP($A274,[1]彩含分析60315!$A:$M,8,0)</f>
        <v>40</v>
      </c>
      <c r="C274" s="4">
        <f>VLOOKUP($A274,[1]彩含分析60315!$A:$M,9,0)</f>
        <v>39</v>
      </c>
      <c r="D274" s="4">
        <f>VLOOKUP($A274,[1]彩含分析60315!$A:$M,10,0)</f>
        <v>37</v>
      </c>
      <c r="E274" s="4">
        <f>VLOOKUP($A274,[1]彩含分析60315!$A:$M,11,0)</f>
        <v>36</v>
      </c>
      <c r="F274" s="4">
        <f>VLOOKUP($A274,[1]彩含分析60315!$A:$M,12,0)</f>
        <v>34</v>
      </c>
      <c r="G274" s="4">
        <f>VLOOKUP($A274,[1]彩含分析60315!$A:$M,13,0)</f>
        <v>33</v>
      </c>
      <c r="H274" s="4" t="s">
        <v>10</v>
      </c>
      <c r="I274" s="3" t="s">
        <v>549</v>
      </c>
    </row>
    <row r="275" customHeight="1" spans="1:9">
      <c r="A275" s="4" t="s">
        <v>550</v>
      </c>
      <c r="B275" s="4">
        <f>VLOOKUP($A275,[1]彩含分析60315!$A:$M,8,0)</f>
        <v>203</v>
      </c>
      <c r="C275" s="4">
        <f>VLOOKUP($A275,[1]彩含分析60315!$A:$M,9,0)</f>
        <v>196</v>
      </c>
      <c r="D275" s="4">
        <f>VLOOKUP($A275,[1]彩含分析60315!$A:$M,10,0)</f>
        <v>188</v>
      </c>
      <c r="E275" s="4">
        <f>VLOOKUP($A275,[1]彩含分析60315!$A:$M,11,0)</f>
        <v>181</v>
      </c>
      <c r="F275" s="4">
        <f>VLOOKUP($A275,[1]彩含分析60315!$A:$M,12,0)</f>
        <v>173</v>
      </c>
      <c r="G275" s="4">
        <f>VLOOKUP($A275,[1]彩含分析60315!$A:$M,13,0)</f>
        <v>166</v>
      </c>
      <c r="H275" s="4" t="s">
        <v>10</v>
      </c>
      <c r="I275" s="3" t="s">
        <v>551</v>
      </c>
    </row>
    <row r="276" customHeight="1" spans="1:9">
      <c r="A276" s="4" t="s">
        <v>552</v>
      </c>
      <c r="B276" s="4">
        <f>VLOOKUP($A276,[1]彩含分析60315!$A:$M,8,0)</f>
        <v>39</v>
      </c>
      <c r="C276" s="4">
        <f>VLOOKUP($A276,[1]彩含分析60315!$A:$M,9,0)</f>
        <v>37</v>
      </c>
      <c r="D276" s="4">
        <f>VLOOKUP($A276,[1]彩含分析60315!$A:$M,10,0)</f>
        <v>36</v>
      </c>
      <c r="E276" s="4">
        <f>VLOOKUP($A276,[1]彩含分析60315!$A:$M,11,0)</f>
        <v>35</v>
      </c>
      <c r="F276" s="4">
        <f>VLOOKUP($A276,[1]彩含分析60315!$A:$M,12,0)</f>
        <v>33</v>
      </c>
      <c r="G276" s="4">
        <f>VLOOKUP($A276,[1]彩含分析60315!$A:$M,13,0)</f>
        <v>32</v>
      </c>
      <c r="H276" s="4" t="s">
        <v>10</v>
      </c>
      <c r="I276" s="3" t="s">
        <v>553</v>
      </c>
    </row>
    <row r="277" customHeight="1" spans="1:9">
      <c r="A277" s="4" t="s">
        <v>554</v>
      </c>
      <c r="B277" s="4">
        <f>VLOOKUP($A277,[1]彩含分析60315!$A:$M,8,0)</f>
        <v>45</v>
      </c>
      <c r="C277" s="4">
        <f>VLOOKUP($A277,[1]彩含分析60315!$A:$M,9,0)</f>
        <v>43</v>
      </c>
      <c r="D277" s="4">
        <f>VLOOKUP($A277,[1]彩含分析60315!$A:$M,10,0)</f>
        <v>41</v>
      </c>
      <c r="E277" s="4">
        <f>VLOOKUP($A277,[1]彩含分析60315!$A:$M,11,0)</f>
        <v>40</v>
      </c>
      <c r="F277" s="4">
        <f>VLOOKUP($A277,[1]彩含分析60315!$A:$M,12,0)</f>
        <v>38</v>
      </c>
      <c r="G277" s="4">
        <f>VLOOKUP($A277,[1]彩含分析60315!$A:$M,13,0)</f>
        <v>37</v>
      </c>
      <c r="H277" s="4" t="s">
        <v>10</v>
      </c>
      <c r="I277" s="3" t="s">
        <v>555</v>
      </c>
    </row>
    <row r="278" customHeight="1" spans="1:9">
      <c r="A278" s="4" t="s">
        <v>556</v>
      </c>
      <c r="B278" s="4">
        <f>VLOOKUP($A278,[1]彩含分析60315!$A:$M,8,0)</f>
        <v>32</v>
      </c>
      <c r="C278" s="4">
        <f>VLOOKUP($A278,[1]彩含分析60315!$A:$M,9,0)</f>
        <v>31</v>
      </c>
      <c r="D278" s="4">
        <f>VLOOKUP($A278,[1]彩含分析60315!$A:$M,10,0)</f>
        <v>31</v>
      </c>
      <c r="E278" s="4">
        <f>VLOOKUP($A278,[1]彩含分析60315!$A:$M,11,0)</f>
        <v>30</v>
      </c>
      <c r="F278" s="4">
        <f>VLOOKUP($A278,[1]彩含分析60315!$A:$M,12,0)</f>
        <v>30</v>
      </c>
      <c r="G278" s="4">
        <f>VLOOKUP($A278,[1]彩含分析60315!$A:$M,13,0)</f>
        <v>29</v>
      </c>
      <c r="H278" s="4" t="s">
        <v>39</v>
      </c>
      <c r="I278" s="3" t="s">
        <v>557</v>
      </c>
    </row>
    <row r="279" customHeight="1" spans="1:9">
      <c r="A279" s="4" t="s">
        <v>558</v>
      </c>
      <c r="B279" s="4">
        <f>VLOOKUP($A279,[1]彩含分析60315!$A:$M,8,0)</f>
        <v>50</v>
      </c>
      <c r="C279" s="4">
        <f>VLOOKUP($A279,[1]彩含分析60315!$A:$M,9,0)</f>
        <v>48</v>
      </c>
      <c r="D279" s="4">
        <f>VLOOKUP($A279,[1]彩含分析60315!$A:$M,10,0)</f>
        <v>47</v>
      </c>
      <c r="E279" s="4">
        <f>VLOOKUP($A279,[1]彩含分析60315!$A:$M,11,0)</f>
        <v>45</v>
      </c>
      <c r="F279" s="4">
        <f>VLOOKUP($A279,[1]彩含分析60315!$A:$M,12,0)</f>
        <v>43</v>
      </c>
      <c r="G279" s="4">
        <f>VLOOKUP($A279,[1]彩含分析60315!$A:$M,13,0)</f>
        <v>41</v>
      </c>
      <c r="H279" s="4" t="s">
        <v>10</v>
      </c>
      <c r="I279" s="3" t="s">
        <v>559</v>
      </c>
    </row>
    <row r="280" customHeight="1" spans="1:9">
      <c r="A280" s="4" t="s">
        <v>560</v>
      </c>
      <c r="B280" s="4">
        <f>VLOOKUP($A280,[1]彩含分析60315!$A:$M,8,0)</f>
        <v>52</v>
      </c>
      <c r="C280" s="4">
        <f>VLOOKUP($A280,[1]彩含分析60315!$A:$M,9,0)</f>
        <v>50</v>
      </c>
      <c r="D280" s="4">
        <f>VLOOKUP($A280,[1]彩含分析60315!$A:$M,10,0)</f>
        <v>48</v>
      </c>
      <c r="E280" s="4">
        <f>VLOOKUP($A280,[1]彩含分析60315!$A:$M,11,0)</f>
        <v>46</v>
      </c>
      <c r="F280" s="4">
        <f>VLOOKUP($A280,[1]彩含分析60315!$A:$M,12,0)</f>
        <v>44</v>
      </c>
      <c r="G280" s="4">
        <f>VLOOKUP($A280,[1]彩含分析60315!$A:$M,13,0)</f>
        <v>42</v>
      </c>
      <c r="H280" s="4" t="s">
        <v>10</v>
      </c>
      <c r="I280" s="3" t="s">
        <v>561</v>
      </c>
    </row>
    <row r="281" customHeight="1" spans="1:9">
      <c r="A281" s="4" t="s">
        <v>562</v>
      </c>
      <c r="B281" s="4">
        <f>VLOOKUP($A281,[1]彩含分析60315!$A:$M,8,0)</f>
        <v>38</v>
      </c>
      <c r="C281" s="4">
        <f>VLOOKUP($A281,[1]彩含分析60315!$A:$M,9,0)</f>
        <v>36</v>
      </c>
      <c r="D281" s="4">
        <f>VLOOKUP($A281,[1]彩含分析60315!$A:$M,10,0)</f>
        <v>35</v>
      </c>
      <c r="E281" s="4">
        <f>VLOOKUP($A281,[1]彩含分析60315!$A:$M,11,0)</f>
        <v>34</v>
      </c>
      <c r="F281" s="4">
        <f>VLOOKUP($A281,[1]彩含分析60315!$A:$M,12,0)</f>
        <v>32</v>
      </c>
      <c r="G281" s="4">
        <f>VLOOKUP($A281,[1]彩含分析60315!$A:$M,13,0)</f>
        <v>31</v>
      </c>
      <c r="H281" s="4" t="s">
        <v>10</v>
      </c>
      <c r="I281" s="3" t="s">
        <v>563</v>
      </c>
    </row>
    <row r="282" customHeight="1" spans="1:9">
      <c r="A282" s="4" t="s">
        <v>564</v>
      </c>
      <c r="B282" s="4">
        <f>VLOOKUP($A282,[1]彩含分析60315!$A:$M,8,0)</f>
        <v>34</v>
      </c>
      <c r="C282" s="4">
        <f>VLOOKUP($A282,[1]彩含分析60315!$A:$M,9,0)</f>
        <v>34</v>
      </c>
      <c r="D282" s="4">
        <f>VLOOKUP($A282,[1]彩含分析60315!$A:$M,10,0)</f>
        <v>33</v>
      </c>
      <c r="E282" s="4">
        <f>VLOOKUP($A282,[1]彩含分析60315!$A:$M,11,0)</f>
        <v>32</v>
      </c>
      <c r="F282" s="4">
        <f>VLOOKUP($A282,[1]彩含分析60315!$A:$M,12,0)</f>
        <v>32</v>
      </c>
      <c r="G282" s="4">
        <f>VLOOKUP($A282,[1]彩含分析60315!$A:$M,13,0)</f>
        <v>32</v>
      </c>
      <c r="H282" s="4" t="s">
        <v>39</v>
      </c>
      <c r="I282" s="3" t="s">
        <v>565</v>
      </c>
    </row>
    <row r="283" customHeight="1" spans="1:9">
      <c r="A283" s="4" t="s">
        <v>566</v>
      </c>
      <c r="B283" s="4">
        <f>VLOOKUP($A283,[1]彩含分析60315!$A:$M,8,0)</f>
        <v>35</v>
      </c>
      <c r="C283" s="4">
        <f>VLOOKUP($A283,[1]彩含分析60315!$A:$M,9,0)</f>
        <v>34</v>
      </c>
      <c r="D283" s="4">
        <f>VLOOKUP($A283,[1]彩含分析60315!$A:$M,10,0)</f>
        <v>33</v>
      </c>
      <c r="E283" s="4">
        <f>VLOOKUP($A283,[1]彩含分析60315!$A:$M,11,0)</f>
        <v>31</v>
      </c>
      <c r="F283" s="4">
        <f>VLOOKUP($A283,[1]彩含分析60315!$A:$M,12,0)</f>
        <v>30</v>
      </c>
      <c r="G283" s="4">
        <f>VLOOKUP($A283,[1]彩含分析60315!$A:$M,13,0)</f>
        <v>29</v>
      </c>
      <c r="H283" s="4" t="s">
        <v>10</v>
      </c>
      <c r="I283" s="3" t="s">
        <v>567</v>
      </c>
    </row>
    <row r="284" customHeight="1" spans="1:9">
      <c r="A284" s="4" t="s">
        <v>568</v>
      </c>
      <c r="B284" s="4">
        <f>VLOOKUP($A284,[1]彩含分析60315!$A:$M,8,0)</f>
        <v>32</v>
      </c>
      <c r="C284" s="4">
        <f>VLOOKUP($A284,[1]彩含分析60315!$A:$M,9,0)</f>
        <v>31</v>
      </c>
      <c r="D284" s="4">
        <f>VLOOKUP($A284,[1]彩含分析60315!$A:$M,10,0)</f>
        <v>31</v>
      </c>
      <c r="E284" s="4">
        <f>VLOOKUP($A284,[1]彩含分析60315!$A:$M,11,0)</f>
        <v>30</v>
      </c>
      <c r="F284" s="4">
        <f>VLOOKUP($A284,[1]彩含分析60315!$A:$M,12,0)</f>
        <v>30</v>
      </c>
      <c r="G284" s="4">
        <f>VLOOKUP($A284,[1]彩含分析60315!$A:$M,13,0)</f>
        <v>29</v>
      </c>
      <c r="H284" s="4" t="s">
        <v>39</v>
      </c>
      <c r="I284" s="3" t="s">
        <v>569</v>
      </c>
    </row>
    <row r="285" customHeight="1" spans="1:9">
      <c r="A285" s="4" t="s">
        <v>570</v>
      </c>
      <c r="B285" s="4">
        <f>VLOOKUP($A285,[1]彩含分析60315!$A:$M,8,0)</f>
        <v>44</v>
      </c>
      <c r="C285" s="4">
        <f>VLOOKUP($A285,[1]彩含分析60315!$A:$M,9,0)</f>
        <v>42</v>
      </c>
      <c r="D285" s="4">
        <f>VLOOKUP($A285,[1]彩含分析60315!$A:$M,10,0)</f>
        <v>41</v>
      </c>
      <c r="E285" s="4">
        <f>VLOOKUP($A285,[1]彩含分析60315!$A:$M,11,0)</f>
        <v>39</v>
      </c>
      <c r="F285" s="4">
        <f>VLOOKUP($A285,[1]彩含分析60315!$A:$M,12,0)</f>
        <v>37</v>
      </c>
      <c r="G285" s="4">
        <f>VLOOKUP($A285,[1]彩含分析60315!$A:$M,13,0)</f>
        <v>36</v>
      </c>
      <c r="H285" s="4" t="s">
        <v>10</v>
      </c>
      <c r="I285" s="3" t="s">
        <v>37</v>
      </c>
    </row>
    <row r="286" customHeight="1" spans="1:9">
      <c r="A286" s="4" t="s">
        <v>571</v>
      </c>
      <c r="B286" s="4">
        <f>VLOOKUP($A286,[1]彩含分析60315!$A:$M,8,0)</f>
        <v>43</v>
      </c>
      <c r="C286" s="4">
        <f>VLOOKUP($A286,[1]彩含分析60315!$A:$M,9,0)</f>
        <v>42</v>
      </c>
      <c r="D286" s="4">
        <f>VLOOKUP($A286,[1]彩含分析60315!$A:$M,10,0)</f>
        <v>40</v>
      </c>
      <c r="E286" s="4">
        <f>VLOOKUP($A286,[1]彩含分析60315!$A:$M,11,0)</f>
        <v>39</v>
      </c>
      <c r="F286" s="4">
        <f>VLOOKUP($A286,[1]彩含分析60315!$A:$M,12,0)</f>
        <v>37</v>
      </c>
      <c r="G286" s="4">
        <f>VLOOKUP($A286,[1]彩含分析60315!$A:$M,13,0)</f>
        <v>35</v>
      </c>
      <c r="H286" s="4" t="s">
        <v>10</v>
      </c>
      <c r="I286" s="3" t="s">
        <v>572</v>
      </c>
    </row>
    <row r="287" customHeight="1" spans="1:9">
      <c r="A287" s="4" t="s">
        <v>573</v>
      </c>
      <c r="B287" s="4">
        <f>VLOOKUP($A287,[1]彩含分析60315!$A:$M,8,0)</f>
        <v>74</v>
      </c>
      <c r="C287" s="4">
        <f>VLOOKUP($A287,[1]彩含分析60315!$A:$M,9,0)</f>
        <v>73</v>
      </c>
      <c r="D287" s="4">
        <f>VLOOKUP($A287,[1]彩含分析60315!$A:$M,10,0)</f>
        <v>71</v>
      </c>
      <c r="E287" s="4">
        <f>VLOOKUP($A287,[1]彩含分析60315!$A:$M,11,0)</f>
        <v>70</v>
      </c>
      <c r="F287" s="4">
        <f>VLOOKUP($A287,[1]彩含分析60315!$A:$M,12,0)</f>
        <v>70</v>
      </c>
      <c r="G287" s="4">
        <f>VLOOKUP($A287,[1]彩含分析60315!$A:$M,13,0)</f>
        <v>68</v>
      </c>
      <c r="H287" s="4" t="s">
        <v>39</v>
      </c>
      <c r="I287" s="3" t="s">
        <v>574</v>
      </c>
    </row>
    <row r="288" customHeight="1" spans="1:9">
      <c r="A288" s="4" t="s">
        <v>575</v>
      </c>
      <c r="B288" s="4">
        <f>VLOOKUP($A288,[1]彩含分析60315!$A:$M,8,0)</f>
        <v>45</v>
      </c>
      <c r="C288" s="4">
        <f>VLOOKUP($A288,[1]彩含分析60315!$A:$M,9,0)</f>
        <v>43</v>
      </c>
      <c r="D288" s="4">
        <f>VLOOKUP($A288,[1]彩含分析60315!$A:$M,10,0)</f>
        <v>42</v>
      </c>
      <c r="E288" s="4">
        <f>VLOOKUP($A288,[1]彩含分析60315!$A:$M,11,0)</f>
        <v>40</v>
      </c>
      <c r="F288" s="4">
        <f>VLOOKUP($A288,[1]彩含分析60315!$A:$M,12,0)</f>
        <v>38</v>
      </c>
      <c r="G288" s="4">
        <f>VLOOKUP($A288,[1]彩含分析60315!$A:$M,13,0)</f>
        <v>37</v>
      </c>
      <c r="H288" s="4" t="s">
        <v>10</v>
      </c>
      <c r="I288" s="3" t="s">
        <v>576</v>
      </c>
    </row>
    <row r="289" customHeight="1" spans="1:9">
      <c r="A289" s="4" t="s">
        <v>577</v>
      </c>
      <c r="B289" s="4">
        <f>VLOOKUP($A289,[1]彩含分析60315!$A:$M,8,0)</f>
        <v>39</v>
      </c>
      <c r="C289" s="4">
        <f>VLOOKUP($A289,[1]彩含分析60315!$A:$M,9,0)</f>
        <v>38</v>
      </c>
      <c r="D289" s="4">
        <f>VLOOKUP($A289,[1]彩含分析60315!$A:$M,10,0)</f>
        <v>36</v>
      </c>
      <c r="E289" s="4">
        <f>VLOOKUP($A289,[1]彩含分析60315!$A:$M,11,0)</f>
        <v>35</v>
      </c>
      <c r="F289" s="4">
        <f>VLOOKUP($A289,[1]彩含分析60315!$A:$M,12,0)</f>
        <v>33</v>
      </c>
      <c r="G289" s="4">
        <f>VLOOKUP($A289,[1]彩含分析60315!$A:$M,13,0)</f>
        <v>32</v>
      </c>
      <c r="H289" s="4" t="s">
        <v>10</v>
      </c>
      <c r="I289" s="3" t="s">
        <v>578</v>
      </c>
    </row>
    <row r="290" customHeight="1" spans="1:9">
      <c r="A290" s="4" t="s">
        <v>579</v>
      </c>
      <c r="B290" s="4">
        <f>VLOOKUP($A290,[1]彩含分析60315!$A:$M,8,0)</f>
        <v>144</v>
      </c>
      <c r="C290" s="4">
        <f>VLOOKUP($A290,[1]彩含分析60315!$A:$M,9,0)</f>
        <v>142</v>
      </c>
      <c r="D290" s="4">
        <f>VLOOKUP($A290,[1]彩含分析60315!$A:$M,10,0)</f>
        <v>139</v>
      </c>
      <c r="E290" s="4">
        <f>VLOOKUP($A290,[1]彩含分析60315!$A:$M,11,0)</f>
        <v>137</v>
      </c>
      <c r="F290" s="4">
        <f>VLOOKUP($A290,[1]彩含分析60315!$A:$M,12,0)</f>
        <v>136</v>
      </c>
      <c r="G290" s="4">
        <f>VLOOKUP($A290,[1]彩含分析60315!$A:$M,13,0)</f>
        <v>133</v>
      </c>
      <c r="H290" s="4" t="s">
        <v>39</v>
      </c>
      <c r="I290" s="3" t="s">
        <v>580</v>
      </c>
    </row>
    <row r="291" customHeight="1" spans="1:9">
      <c r="A291" s="4" t="s">
        <v>581</v>
      </c>
      <c r="B291" s="4">
        <f>VLOOKUP($A291,[1]彩含分析60315!$A:$M,8,0)</f>
        <v>59</v>
      </c>
      <c r="C291" s="4">
        <f>VLOOKUP($A291,[1]彩含分析60315!$A:$M,9,0)</f>
        <v>58</v>
      </c>
      <c r="D291" s="4">
        <f>VLOOKUP($A291,[1]彩含分析60315!$A:$M,10,0)</f>
        <v>57</v>
      </c>
      <c r="E291" s="4">
        <f>VLOOKUP($A291,[1]彩含分析60315!$A:$M,11,0)</f>
        <v>56</v>
      </c>
      <c r="F291" s="4">
        <f>VLOOKUP($A291,[1]彩含分析60315!$A:$M,12,0)</f>
        <v>56</v>
      </c>
      <c r="G291" s="4">
        <f>VLOOKUP($A291,[1]彩含分析60315!$A:$M,13,0)</f>
        <v>55</v>
      </c>
      <c r="H291" s="4" t="s">
        <v>39</v>
      </c>
      <c r="I291" s="3" t="s">
        <v>582</v>
      </c>
    </row>
    <row r="292" customHeight="1" spans="1:9">
      <c r="A292" s="4" t="s">
        <v>583</v>
      </c>
      <c r="B292" s="4">
        <f>VLOOKUP($A292,[1]彩含分析60315!$A:$M,8,0)</f>
        <v>50</v>
      </c>
      <c r="C292" s="4">
        <f>VLOOKUP($A292,[1]彩含分析60315!$A:$M,9,0)</f>
        <v>50</v>
      </c>
      <c r="D292" s="4">
        <f>VLOOKUP($A292,[1]彩含分析60315!$A:$M,10,0)</f>
        <v>49</v>
      </c>
      <c r="E292" s="4">
        <f>VLOOKUP($A292,[1]彩含分析60315!$A:$M,11,0)</f>
        <v>48</v>
      </c>
      <c r="F292" s="4">
        <f>VLOOKUP($A292,[1]彩含分析60315!$A:$M,12,0)</f>
        <v>48</v>
      </c>
      <c r="G292" s="4">
        <f>VLOOKUP($A292,[1]彩含分析60315!$A:$M,13,0)</f>
        <v>47</v>
      </c>
      <c r="H292" s="4" t="s">
        <v>39</v>
      </c>
      <c r="I292" s="3" t="s">
        <v>584</v>
      </c>
    </row>
    <row r="293" customHeight="1" spans="1:9">
      <c r="A293" s="4" t="s">
        <v>585</v>
      </c>
      <c r="B293" s="4">
        <f>VLOOKUP($A293,[1]彩含分析60315!$A:$M,8,0)</f>
        <v>50</v>
      </c>
      <c r="C293" s="4">
        <f>VLOOKUP($A293,[1]彩含分析60315!$A:$M,9,0)</f>
        <v>49</v>
      </c>
      <c r="D293" s="4">
        <f>VLOOKUP($A293,[1]彩含分析60315!$A:$M,10,0)</f>
        <v>49</v>
      </c>
      <c r="E293" s="4">
        <f>VLOOKUP($A293,[1]彩含分析60315!$A:$M,11,0)</f>
        <v>48</v>
      </c>
      <c r="F293" s="4">
        <f>VLOOKUP($A293,[1]彩含分析60315!$A:$M,12,0)</f>
        <v>47</v>
      </c>
      <c r="G293" s="4">
        <f>VLOOKUP($A293,[1]彩含分析60315!$A:$M,13,0)</f>
        <v>46</v>
      </c>
      <c r="H293" s="4" t="s">
        <v>39</v>
      </c>
      <c r="I293" s="3" t="s">
        <v>586</v>
      </c>
    </row>
    <row r="294" customHeight="1" spans="1:9">
      <c r="A294" s="4" t="s">
        <v>587</v>
      </c>
      <c r="B294" s="4">
        <f>VLOOKUP($A294,[1]彩含分析60315!$A:$M,8,0)</f>
        <v>46</v>
      </c>
      <c r="C294" s="4">
        <f>VLOOKUP($A294,[1]彩含分析60315!$A:$M,9,0)</f>
        <v>45</v>
      </c>
      <c r="D294" s="4">
        <f>VLOOKUP($A294,[1]彩含分析60315!$A:$M,10,0)</f>
        <v>44</v>
      </c>
      <c r="E294" s="4">
        <f>VLOOKUP($A294,[1]彩含分析60315!$A:$M,11,0)</f>
        <v>44</v>
      </c>
      <c r="F294" s="4">
        <f>VLOOKUP($A294,[1]彩含分析60315!$A:$M,12,0)</f>
        <v>43</v>
      </c>
      <c r="G294" s="4">
        <f>VLOOKUP($A294,[1]彩含分析60315!$A:$M,13,0)</f>
        <v>43</v>
      </c>
      <c r="H294" s="4" t="s">
        <v>39</v>
      </c>
      <c r="I294" s="3" t="s">
        <v>588</v>
      </c>
    </row>
    <row r="295" customHeight="1" spans="1:9">
      <c r="A295" s="4" t="s">
        <v>589</v>
      </c>
      <c r="B295" s="4">
        <f>VLOOKUP($A295,[1]彩含分析60315!$A:$M,8,0)</f>
        <v>49</v>
      </c>
      <c r="C295" s="4">
        <f>VLOOKUP($A295,[1]彩含分析60315!$A:$M,9,0)</f>
        <v>47</v>
      </c>
      <c r="D295" s="4">
        <f>VLOOKUP($A295,[1]彩含分析60315!$A:$M,10,0)</f>
        <v>45</v>
      </c>
      <c r="E295" s="4">
        <f>VLOOKUP($A295,[1]彩含分析60315!$A:$M,11,0)</f>
        <v>43</v>
      </c>
      <c r="F295" s="4">
        <f>VLOOKUP($A295,[1]彩含分析60315!$A:$M,12,0)</f>
        <v>41</v>
      </c>
      <c r="G295" s="4">
        <f>VLOOKUP($A295,[1]彩含分析60315!$A:$M,13,0)</f>
        <v>40</v>
      </c>
      <c r="H295" s="4" t="s">
        <v>10</v>
      </c>
      <c r="I295" s="3" t="s">
        <v>590</v>
      </c>
    </row>
    <row r="296" customHeight="1" spans="1:9">
      <c r="A296" s="4" t="s">
        <v>591</v>
      </c>
      <c r="B296" s="4">
        <f>VLOOKUP($A296,[1]彩含分析60315!$A:$M,8,0)</f>
        <v>48</v>
      </c>
      <c r="C296" s="4">
        <f>VLOOKUP($A296,[1]彩含分析60315!$A:$M,9,0)</f>
        <v>46</v>
      </c>
      <c r="D296" s="4">
        <f>VLOOKUP($A296,[1]彩含分析60315!$A:$M,10,0)</f>
        <v>44</v>
      </c>
      <c r="E296" s="4">
        <f>VLOOKUP($A296,[1]彩含分析60315!$A:$M,11,0)</f>
        <v>42</v>
      </c>
      <c r="F296" s="4">
        <f>VLOOKUP($A296,[1]彩含分析60315!$A:$M,12,0)</f>
        <v>41</v>
      </c>
      <c r="G296" s="4">
        <f>VLOOKUP($A296,[1]彩含分析60315!$A:$M,13,0)</f>
        <v>39</v>
      </c>
      <c r="H296" s="4" t="s">
        <v>10</v>
      </c>
      <c r="I296" s="3" t="s">
        <v>592</v>
      </c>
    </row>
    <row r="297" customHeight="1" spans="1:9">
      <c r="A297" s="4" t="s">
        <v>593</v>
      </c>
      <c r="B297" s="4">
        <f>VLOOKUP($A297,[1]彩含分析60315!$A:$M,8,0)</f>
        <v>32</v>
      </c>
      <c r="C297" s="4">
        <f>VLOOKUP($A297,[1]彩含分析60315!$A:$M,9,0)</f>
        <v>31</v>
      </c>
      <c r="D297" s="4">
        <f>VLOOKUP($A297,[1]彩含分析60315!$A:$M,10,0)</f>
        <v>30</v>
      </c>
      <c r="E297" s="4">
        <f>VLOOKUP($A297,[1]彩含分析60315!$A:$M,11,0)</f>
        <v>29</v>
      </c>
      <c r="F297" s="4">
        <f>VLOOKUP($A297,[1]彩含分析60315!$A:$M,12,0)</f>
        <v>28</v>
      </c>
      <c r="G297" s="4">
        <f>VLOOKUP($A297,[1]彩含分析60315!$A:$M,13,0)</f>
        <v>26</v>
      </c>
      <c r="H297" s="4" t="s">
        <v>10</v>
      </c>
      <c r="I297" s="3" t="s">
        <v>594</v>
      </c>
    </row>
    <row r="298" customHeight="1" spans="1:9">
      <c r="A298" s="4" t="s">
        <v>595</v>
      </c>
      <c r="B298" s="4">
        <f>VLOOKUP($A298,[1]彩含分析60315!$A:$M,8,0)</f>
        <v>52</v>
      </c>
      <c r="C298" s="4">
        <f>VLOOKUP($A298,[1]彩含分析60315!$A:$M,9,0)</f>
        <v>52</v>
      </c>
      <c r="D298" s="4">
        <f>VLOOKUP($A298,[1]彩含分析60315!$A:$M,10,0)</f>
        <v>51</v>
      </c>
      <c r="E298" s="4">
        <f>VLOOKUP($A298,[1]彩含分析60315!$A:$M,11,0)</f>
        <v>50</v>
      </c>
      <c r="F298" s="4">
        <f>VLOOKUP($A298,[1]彩含分析60315!$A:$M,12,0)</f>
        <v>49</v>
      </c>
      <c r="G298" s="4">
        <f>VLOOKUP($A298,[1]彩含分析60315!$A:$M,13,0)</f>
        <v>49</v>
      </c>
      <c r="H298" s="4" t="s">
        <v>39</v>
      </c>
      <c r="I298" s="3" t="s">
        <v>596</v>
      </c>
    </row>
    <row r="299" customHeight="1" spans="1:9">
      <c r="A299" s="4" t="s">
        <v>597</v>
      </c>
      <c r="B299" s="4">
        <f>VLOOKUP($A299,[1]彩含分析60315!$A:$M,8,0)</f>
        <v>45</v>
      </c>
      <c r="C299" s="4">
        <f>VLOOKUP($A299,[1]彩含分析60315!$A:$M,9,0)</f>
        <v>43</v>
      </c>
      <c r="D299" s="4">
        <f>VLOOKUP($A299,[1]彩含分析60315!$A:$M,10,0)</f>
        <v>42</v>
      </c>
      <c r="E299" s="4">
        <f>VLOOKUP($A299,[1]彩含分析60315!$A:$M,11,0)</f>
        <v>40</v>
      </c>
      <c r="F299" s="4">
        <f>VLOOKUP($A299,[1]彩含分析60315!$A:$M,12,0)</f>
        <v>38</v>
      </c>
      <c r="G299" s="4">
        <f>VLOOKUP($A299,[1]彩含分析60315!$A:$M,13,0)</f>
        <v>37</v>
      </c>
      <c r="H299" s="4" t="s">
        <v>10</v>
      </c>
      <c r="I299" s="3" t="s">
        <v>598</v>
      </c>
    </row>
    <row r="300" customHeight="1" spans="1:9">
      <c r="A300" s="4" t="s">
        <v>599</v>
      </c>
      <c r="B300" s="4">
        <f>VLOOKUP($A300,[1]彩含分析60315!$A:$M,8,0)</f>
        <v>37</v>
      </c>
      <c r="C300" s="4">
        <f>VLOOKUP($A300,[1]彩含分析60315!$A:$M,9,0)</f>
        <v>35</v>
      </c>
      <c r="D300" s="4">
        <f>VLOOKUP($A300,[1]彩含分析60315!$A:$M,10,0)</f>
        <v>34</v>
      </c>
      <c r="E300" s="4">
        <f>VLOOKUP($A300,[1]彩含分析60315!$A:$M,11,0)</f>
        <v>33</v>
      </c>
      <c r="F300" s="4">
        <f>VLOOKUP($A300,[1]彩含分析60315!$A:$M,12,0)</f>
        <v>31</v>
      </c>
      <c r="G300" s="4">
        <f>VLOOKUP($A300,[1]彩含分析60315!$A:$M,13,0)</f>
        <v>30</v>
      </c>
      <c r="H300" s="4" t="s">
        <v>10</v>
      </c>
      <c r="I300" s="3" t="s">
        <v>600</v>
      </c>
    </row>
    <row r="301" customHeight="1" spans="1:9">
      <c r="A301" s="4" t="s">
        <v>601</v>
      </c>
      <c r="B301" s="4">
        <f>VLOOKUP($A301,[1]彩含分析60315!$A:$M,8,0)</f>
        <v>42</v>
      </c>
      <c r="C301" s="4">
        <f>VLOOKUP($A301,[1]彩含分析60315!$A:$M,9,0)</f>
        <v>41</v>
      </c>
      <c r="D301" s="4">
        <f>VLOOKUP($A301,[1]彩含分析60315!$A:$M,10,0)</f>
        <v>39</v>
      </c>
      <c r="E301" s="4">
        <f>VLOOKUP($A301,[1]彩含分析60315!$A:$M,11,0)</f>
        <v>38</v>
      </c>
      <c r="F301" s="4">
        <f>VLOOKUP($A301,[1]彩含分析60315!$A:$M,12,0)</f>
        <v>36</v>
      </c>
      <c r="G301" s="4">
        <f>VLOOKUP($A301,[1]彩含分析60315!$A:$M,13,0)</f>
        <v>35</v>
      </c>
      <c r="H301" s="4" t="s">
        <v>10</v>
      </c>
      <c r="I301" s="3" t="s">
        <v>602</v>
      </c>
    </row>
    <row r="302" customHeight="1" spans="1:9">
      <c r="A302" s="4" t="s">
        <v>603</v>
      </c>
      <c r="B302" s="4">
        <f>VLOOKUP($A302,[1]彩含分析60315!$A:$M,8,0)</f>
        <v>35</v>
      </c>
      <c r="C302" s="4">
        <f>VLOOKUP($A302,[1]彩含分析60315!$A:$M,9,0)</f>
        <v>34</v>
      </c>
      <c r="D302" s="4">
        <f>VLOOKUP($A302,[1]彩含分析60315!$A:$M,10,0)</f>
        <v>32</v>
      </c>
      <c r="E302" s="4">
        <f>VLOOKUP($A302,[1]彩含分析60315!$A:$M,11,0)</f>
        <v>31</v>
      </c>
      <c r="F302" s="4">
        <f>VLOOKUP($A302,[1]彩含分析60315!$A:$M,12,0)</f>
        <v>30</v>
      </c>
      <c r="G302" s="4">
        <f>VLOOKUP($A302,[1]彩含分析60315!$A:$M,13,0)</f>
        <v>28</v>
      </c>
      <c r="H302" s="4" t="s">
        <v>10</v>
      </c>
      <c r="I302" s="3" t="s">
        <v>604</v>
      </c>
    </row>
    <row r="303" customHeight="1" spans="1:9">
      <c r="A303" s="4" t="s">
        <v>605</v>
      </c>
      <c r="B303" s="4">
        <f>VLOOKUP($A303,[1]彩含分析60315!$A:$M,8,0)</f>
        <v>55</v>
      </c>
      <c r="C303" s="4">
        <f>VLOOKUP($A303,[1]彩含分析60315!$A:$M,9,0)</f>
        <v>54</v>
      </c>
      <c r="D303" s="4">
        <f>VLOOKUP($A303,[1]彩含分析60315!$A:$M,10,0)</f>
        <v>53</v>
      </c>
      <c r="E303" s="4">
        <f>VLOOKUP($A303,[1]彩含分析60315!$A:$M,11,0)</f>
        <v>52</v>
      </c>
      <c r="F303" s="4">
        <f>VLOOKUP($A303,[1]彩含分析60315!$A:$M,12,0)</f>
        <v>52</v>
      </c>
      <c r="G303" s="4">
        <f>VLOOKUP($A303,[1]彩含分析60315!$A:$M,13,0)</f>
        <v>51</v>
      </c>
      <c r="H303" s="4" t="s">
        <v>39</v>
      </c>
      <c r="I303" s="3" t="s">
        <v>606</v>
      </c>
    </row>
    <row r="304" customHeight="1" spans="1:9">
      <c r="A304" s="4" t="s">
        <v>607</v>
      </c>
      <c r="B304" s="4">
        <f>VLOOKUP($A304,[1]彩含分析60315!$A:$M,8,0)</f>
        <v>40</v>
      </c>
      <c r="C304" s="4">
        <f>VLOOKUP($A304,[1]彩含分析60315!$A:$M,9,0)</f>
        <v>39</v>
      </c>
      <c r="D304" s="4">
        <f>VLOOKUP($A304,[1]彩含分析60315!$A:$M,10,0)</f>
        <v>37</v>
      </c>
      <c r="E304" s="4">
        <f>VLOOKUP($A304,[1]彩含分析60315!$A:$M,11,0)</f>
        <v>36</v>
      </c>
      <c r="F304" s="4">
        <f>VLOOKUP($A304,[1]彩含分析60315!$A:$M,12,0)</f>
        <v>34</v>
      </c>
      <c r="G304" s="4">
        <f>VLOOKUP($A304,[1]彩含分析60315!$A:$M,13,0)</f>
        <v>33</v>
      </c>
      <c r="H304" s="4" t="s">
        <v>10</v>
      </c>
      <c r="I304" s="3" t="s">
        <v>608</v>
      </c>
    </row>
    <row r="305" customHeight="1" spans="1:9">
      <c r="A305" s="4" t="s">
        <v>609</v>
      </c>
      <c r="B305" s="4">
        <f>VLOOKUP($A305,[1]彩含分析60315!$A:$M,8,0)</f>
        <v>73</v>
      </c>
      <c r="C305" s="4">
        <f>VLOOKUP($A305,[1]彩含分析60315!$A:$M,9,0)</f>
        <v>72</v>
      </c>
      <c r="D305" s="4">
        <f>VLOOKUP($A305,[1]彩含分析60315!$A:$M,10,0)</f>
        <v>70</v>
      </c>
      <c r="E305" s="4">
        <f>VLOOKUP($A305,[1]彩含分析60315!$A:$M,11,0)</f>
        <v>69</v>
      </c>
      <c r="F305" s="4">
        <f>VLOOKUP($A305,[1]彩含分析60315!$A:$M,12,0)</f>
        <v>68</v>
      </c>
      <c r="G305" s="4">
        <f>VLOOKUP($A305,[1]彩含分析60315!$A:$M,13,0)</f>
        <v>67</v>
      </c>
      <c r="H305" s="4" t="s">
        <v>39</v>
      </c>
      <c r="I305" s="3" t="s">
        <v>610</v>
      </c>
    </row>
    <row r="306" customHeight="1" spans="1:9">
      <c r="A306" s="4" t="s">
        <v>611</v>
      </c>
      <c r="B306" s="4">
        <f>VLOOKUP($A306,[1]彩含分析60315!$A:$M,8,0)</f>
        <v>45</v>
      </c>
      <c r="C306" s="4">
        <f>VLOOKUP($A306,[1]彩含分析60315!$A:$M,9,0)</f>
        <v>43</v>
      </c>
      <c r="D306" s="4">
        <f>VLOOKUP($A306,[1]彩含分析60315!$A:$M,10,0)</f>
        <v>42</v>
      </c>
      <c r="E306" s="4">
        <f>VLOOKUP($A306,[1]彩含分析60315!$A:$M,11,0)</f>
        <v>40</v>
      </c>
      <c r="F306" s="4">
        <f>VLOOKUP($A306,[1]彩含分析60315!$A:$M,12,0)</f>
        <v>38</v>
      </c>
      <c r="G306" s="4">
        <f>VLOOKUP($A306,[1]彩含分析60315!$A:$M,13,0)</f>
        <v>37</v>
      </c>
      <c r="H306" s="4" t="s">
        <v>10</v>
      </c>
      <c r="I306" s="3" t="s">
        <v>612</v>
      </c>
    </row>
    <row r="307" customHeight="1" spans="1:9">
      <c r="A307" s="4" t="s">
        <v>613</v>
      </c>
      <c r="B307" s="4">
        <f>VLOOKUP($A307,[1]彩含分析60315!$A:$M,8,0)</f>
        <v>25</v>
      </c>
      <c r="C307" s="4">
        <f>VLOOKUP($A307,[1]彩含分析60315!$A:$M,9,0)</f>
        <v>24</v>
      </c>
      <c r="D307" s="4">
        <f>VLOOKUP($A307,[1]彩含分析60315!$A:$M,10,0)</f>
        <v>23</v>
      </c>
      <c r="E307" s="4">
        <f>VLOOKUP($A307,[1]彩含分析60315!$A:$M,11,0)</f>
        <v>22</v>
      </c>
      <c r="F307" s="4">
        <f>VLOOKUP($A307,[1]彩含分析60315!$A:$M,12,0)</f>
        <v>21</v>
      </c>
      <c r="G307" s="4">
        <f>VLOOKUP($A307,[1]彩含分析60315!$A:$M,13,0)</f>
        <v>20</v>
      </c>
      <c r="H307" s="4" t="s">
        <v>10</v>
      </c>
      <c r="I307" s="3" t="s">
        <v>614</v>
      </c>
    </row>
    <row r="308" customHeight="1" spans="1:9">
      <c r="A308" s="4" t="s">
        <v>615</v>
      </c>
      <c r="B308" s="4">
        <f>VLOOKUP($A308,[1]彩含分析60315!$A:$M,8,0)</f>
        <v>89</v>
      </c>
      <c r="C308" s="4">
        <f>VLOOKUP($A308,[1]彩含分析60315!$A:$M,9,0)</f>
        <v>86</v>
      </c>
      <c r="D308" s="4">
        <f>VLOOKUP($A308,[1]彩含分析60315!$A:$M,10,0)</f>
        <v>83</v>
      </c>
      <c r="E308" s="4">
        <f>VLOOKUP($A308,[1]彩含分析60315!$A:$M,11,0)</f>
        <v>80</v>
      </c>
      <c r="F308" s="4">
        <f>VLOOKUP($A308,[1]彩含分析60315!$A:$M,12,0)</f>
        <v>76</v>
      </c>
      <c r="G308" s="4">
        <f>VLOOKUP($A308,[1]彩含分析60315!$A:$M,13,0)</f>
        <v>73</v>
      </c>
      <c r="H308" s="4" t="s">
        <v>10</v>
      </c>
      <c r="I308" s="3" t="s">
        <v>616</v>
      </c>
    </row>
    <row r="309" customHeight="1" spans="1:9">
      <c r="A309" s="4" t="s">
        <v>617</v>
      </c>
      <c r="B309" s="4">
        <f>VLOOKUP($A309,[1]彩含分析60315!$A:$M,8,0)</f>
        <v>48</v>
      </c>
      <c r="C309" s="4">
        <f>VLOOKUP($A309,[1]彩含分析60315!$A:$M,9,0)</f>
        <v>46</v>
      </c>
      <c r="D309" s="4">
        <f>VLOOKUP($A309,[1]彩含分析60315!$A:$M,10,0)</f>
        <v>44</v>
      </c>
      <c r="E309" s="4">
        <f>VLOOKUP($A309,[1]彩含分析60315!$A:$M,11,0)</f>
        <v>42</v>
      </c>
      <c r="F309" s="4">
        <f>VLOOKUP($A309,[1]彩含分析60315!$A:$M,12,0)</f>
        <v>41</v>
      </c>
      <c r="G309" s="4">
        <f>VLOOKUP($A309,[1]彩含分析60315!$A:$M,13,0)</f>
        <v>39</v>
      </c>
      <c r="H309" s="4" t="s">
        <v>10</v>
      </c>
      <c r="I309" s="3" t="s">
        <v>618</v>
      </c>
    </row>
    <row r="310" customHeight="1" spans="1:9">
      <c r="A310" s="4" t="s">
        <v>619</v>
      </c>
      <c r="B310" s="4">
        <f>VLOOKUP($A310,[1]彩含分析60315!$A:$M,8,0)</f>
        <v>44</v>
      </c>
      <c r="C310" s="4">
        <f>VLOOKUP($A310,[1]彩含分析60315!$A:$M,9,0)</f>
        <v>42</v>
      </c>
      <c r="D310" s="4">
        <f>VLOOKUP($A310,[1]彩含分析60315!$A:$M,10,0)</f>
        <v>40</v>
      </c>
      <c r="E310" s="4">
        <f>VLOOKUP($A310,[1]彩含分析60315!$A:$M,11,0)</f>
        <v>39</v>
      </c>
      <c r="F310" s="4">
        <f>VLOOKUP($A310,[1]彩含分析60315!$A:$M,12,0)</f>
        <v>37</v>
      </c>
      <c r="G310" s="4">
        <f>VLOOKUP($A310,[1]彩含分析60315!$A:$M,13,0)</f>
        <v>36</v>
      </c>
      <c r="H310" s="4" t="s">
        <v>10</v>
      </c>
      <c r="I310" s="3" t="s">
        <v>179</v>
      </c>
    </row>
    <row r="311" customHeight="1" spans="1:9">
      <c r="A311" s="4" t="s">
        <v>620</v>
      </c>
      <c r="B311" s="4">
        <f>VLOOKUP($A311,[1]彩含分析60315!$A:$M,8,0)</f>
        <v>37</v>
      </c>
      <c r="C311" s="4">
        <f>VLOOKUP($A311,[1]彩含分析60315!$A:$M,9,0)</f>
        <v>35</v>
      </c>
      <c r="D311" s="4">
        <f>VLOOKUP($A311,[1]彩含分析60315!$A:$M,10,0)</f>
        <v>34</v>
      </c>
      <c r="E311" s="4">
        <f>VLOOKUP($A311,[1]彩含分析60315!$A:$M,11,0)</f>
        <v>33</v>
      </c>
      <c r="F311" s="4">
        <f>VLOOKUP($A311,[1]彩含分析60315!$A:$M,12,0)</f>
        <v>31</v>
      </c>
      <c r="G311" s="4">
        <f>VLOOKUP($A311,[1]彩含分析60315!$A:$M,13,0)</f>
        <v>30</v>
      </c>
      <c r="H311" s="4" t="s">
        <v>10</v>
      </c>
      <c r="I311" s="3" t="s">
        <v>31</v>
      </c>
    </row>
    <row r="312" customHeight="1" spans="1:9">
      <c r="A312" s="4" t="s">
        <v>621</v>
      </c>
      <c r="B312" s="4">
        <f>VLOOKUP($A312,[1]彩含分析60315!$A:$M,8,0)</f>
        <v>40</v>
      </c>
      <c r="C312" s="4">
        <f>VLOOKUP($A312,[1]彩含分析60315!$A:$M,9,0)</f>
        <v>38</v>
      </c>
      <c r="D312" s="4">
        <f>VLOOKUP($A312,[1]彩含分析60315!$A:$M,10,0)</f>
        <v>37</v>
      </c>
      <c r="E312" s="4">
        <f>VLOOKUP($A312,[1]彩含分析60315!$A:$M,11,0)</f>
        <v>35</v>
      </c>
      <c r="F312" s="4">
        <f>VLOOKUP($A312,[1]彩含分析60315!$A:$M,12,0)</f>
        <v>34</v>
      </c>
      <c r="G312" s="4">
        <f>VLOOKUP($A312,[1]彩含分析60315!$A:$M,13,0)</f>
        <v>32</v>
      </c>
      <c r="H312" s="4" t="s">
        <v>10</v>
      </c>
      <c r="I312" s="3" t="s">
        <v>622</v>
      </c>
    </row>
    <row r="313" customHeight="1" spans="1:9">
      <c r="A313" s="4" t="s">
        <v>623</v>
      </c>
      <c r="B313" s="4">
        <f>VLOOKUP($A313,[1]彩含分析60315!$A:$M,8,0)</f>
        <v>40</v>
      </c>
      <c r="C313" s="4">
        <f>VLOOKUP($A313,[1]彩含分析60315!$A:$M,9,0)</f>
        <v>38</v>
      </c>
      <c r="D313" s="4">
        <f>VLOOKUP($A313,[1]彩含分析60315!$A:$M,10,0)</f>
        <v>37</v>
      </c>
      <c r="E313" s="4">
        <f>VLOOKUP($A313,[1]彩含分析60315!$A:$M,11,0)</f>
        <v>35</v>
      </c>
      <c r="F313" s="4">
        <f>VLOOKUP($A313,[1]彩含分析60315!$A:$M,12,0)</f>
        <v>34</v>
      </c>
      <c r="G313" s="4">
        <f>VLOOKUP($A313,[1]彩含分析60315!$A:$M,13,0)</f>
        <v>32</v>
      </c>
      <c r="H313" s="4" t="s">
        <v>10</v>
      </c>
      <c r="I313" s="3" t="s">
        <v>624</v>
      </c>
    </row>
    <row r="314" customHeight="1" spans="1:9">
      <c r="A314" s="4" t="s">
        <v>625</v>
      </c>
      <c r="B314" s="4">
        <f>VLOOKUP($A314,[1]彩含分析60315!$A:$M,8,0)</f>
        <v>49</v>
      </c>
      <c r="C314" s="4">
        <f>VLOOKUP($A314,[1]彩含分析60315!$A:$M,9,0)</f>
        <v>48</v>
      </c>
      <c r="D314" s="4">
        <f>VLOOKUP($A314,[1]彩含分析60315!$A:$M,10,0)</f>
        <v>47</v>
      </c>
      <c r="E314" s="4">
        <f>VLOOKUP($A314,[1]彩含分析60315!$A:$M,11,0)</f>
        <v>46</v>
      </c>
      <c r="F314" s="4">
        <f>VLOOKUP($A314,[1]彩含分析60315!$A:$M,12,0)</f>
        <v>46</v>
      </c>
      <c r="G314" s="4">
        <f>VLOOKUP($A314,[1]彩含分析60315!$A:$M,13,0)</f>
        <v>45</v>
      </c>
      <c r="H314" s="4" t="s">
        <v>39</v>
      </c>
      <c r="I314" s="3" t="s">
        <v>626</v>
      </c>
    </row>
    <row r="315" customHeight="1" spans="1:9">
      <c r="A315" s="4" t="s">
        <v>627</v>
      </c>
      <c r="B315" s="4">
        <f>VLOOKUP($A315,[1]彩含分析60315!$A:$M,8,0)</f>
        <v>46</v>
      </c>
      <c r="C315" s="4">
        <f>VLOOKUP($A315,[1]彩含分析60315!$A:$M,9,0)</f>
        <v>44</v>
      </c>
      <c r="D315" s="4">
        <f>VLOOKUP($A315,[1]彩含分析60315!$A:$M,10,0)</f>
        <v>42</v>
      </c>
      <c r="E315" s="4">
        <f>VLOOKUP($A315,[1]彩含分析60315!$A:$M,11,0)</f>
        <v>41</v>
      </c>
      <c r="F315" s="4">
        <f>VLOOKUP($A315,[1]彩含分析60315!$A:$M,12,0)</f>
        <v>39</v>
      </c>
      <c r="G315" s="4">
        <f>VLOOKUP($A315,[1]彩含分析60315!$A:$M,13,0)</f>
        <v>37</v>
      </c>
      <c r="H315" s="4" t="s">
        <v>10</v>
      </c>
      <c r="I315" s="3" t="s">
        <v>628</v>
      </c>
    </row>
    <row r="316" customHeight="1" spans="1:9">
      <c r="A316" s="4" t="s">
        <v>629</v>
      </c>
      <c r="B316" s="4">
        <f>VLOOKUP($A316,[1]彩含分析60315!$A:$M,8,0)</f>
        <v>56</v>
      </c>
      <c r="C316" s="4">
        <f>VLOOKUP($A316,[1]彩含分析60315!$A:$M,9,0)</f>
        <v>55</v>
      </c>
      <c r="D316" s="4">
        <f>VLOOKUP($A316,[1]彩含分析60315!$A:$M,10,0)</f>
        <v>54</v>
      </c>
      <c r="E316" s="4">
        <f>VLOOKUP($A316,[1]彩含分析60315!$A:$M,11,0)</f>
        <v>53</v>
      </c>
      <c r="F316" s="4">
        <f>VLOOKUP($A316,[1]彩含分析60315!$A:$M,12,0)</f>
        <v>52</v>
      </c>
      <c r="G316" s="4">
        <f>VLOOKUP($A316,[1]彩含分析60315!$A:$M,13,0)</f>
        <v>51</v>
      </c>
      <c r="H316" s="4" t="s">
        <v>39</v>
      </c>
      <c r="I316" s="3" t="s">
        <v>630</v>
      </c>
    </row>
    <row r="317" customHeight="1" spans="1:9">
      <c r="A317" s="4" t="s">
        <v>631</v>
      </c>
      <c r="B317" s="4">
        <f>VLOOKUP($A317,[1]彩含分析60315!$A:$M,8,0)</f>
        <v>44</v>
      </c>
      <c r="C317" s="4">
        <f>VLOOKUP($A317,[1]彩含分析60315!$A:$M,9,0)</f>
        <v>43</v>
      </c>
      <c r="D317" s="4">
        <f>VLOOKUP($A317,[1]彩含分析60315!$A:$M,10,0)</f>
        <v>41</v>
      </c>
      <c r="E317" s="4">
        <f>VLOOKUP($A317,[1]彩含分析60315!$A:$M,11,0)</f>
        <v>39</v>
      </c>
      <c r="F317" s="4">
        <f>VLOOKUP($A317,[1]彩含分析60315!$A:$M,12,0)</f>
        <v>38</v>
      </c>
      <c r="G317" s="4">
        <f>VLOOKUP($A317,[1]彩含分析60315!$A:$M,13,0)</f>
        <v>36</v>
      </c>
      <c r="H317" s="4" t="s">
        <v>10</v>
      </c>
      <c r="I317" s="3" t="s">
        <v>632</v>
      </c>
    </row>
    <row r="318" customHeight="1" spans="1:9">
      <c r="A318" s="4" t="s">
        <v>633</v>
      </c>
      <c r="B318" s="4">
        <f>VLOOKUP($A318,[1]彩含分析60315!$A:$M,8,0)</f>
        <v>24</v>
      </c>
      <c r="C318" s="4">
        <f>VLOOKUP($A318,[1]彩含分析60315!$A:$M,9,0)</f>
        <v>23</v>
      </c>
      <c r="D318" s="4">
        <f>VLOOKUP($A318,[1]彩含分析60315!$A:$M,10,0)</f>
        <v>22</v>
      </c>
      <c r="E318" s="4">
        <f>VLOOKUP($A318,[1]彩含分析60315!$A:$M,11,0)</f>
        <v>21</v>
      </c>
      <c r="F318" s="4">
        <f>VLOOKUP($A318,[1]彩含分析60315!$A:$M,12,0)</f>
        <v>20</v>
      </c>
      <c r="G318" s="4">
        <f>VLOOKUP($A318,[1]彩含分析60315!$A:$M,13,0)</f>
        <v>19</v>
      </c>
      <c r="H318" s="4" t="s">
        <v>10</v>
      </c>
      <c r="I318" s="3" t="s">
        <v>634</v>
      </c>
    </row>
    <row r="319" customHeight="1" spans="1:9">
      <c r="A319" s="4" t="s">
        <v>635</v>
      </c>
      <c r="B319" s="4">
        <f>VLOOKUP($A319,[1]彩含分析60315!$A:$M,8,0)</f>
        <v>43</v>
      </c>
      <c r="C319" s="4">
        <f>VLOOKUP($A319,[1]彩含分析60315!$A:$M,9,0)</f>
        <v>41</v>
      </c>
      <c r="D319" s="4">
        <f>VLOOKUP($A319,[1]彩含分析60315!$A:$M,10,0)</f>
        <v>40</v>
      </c>
      <c r="E319" s="4">
        <f>VLOOKUP($A319,[1]彩含分析60315!$A:$M,11,0)</f>
        <v>38</v>
      </c>
      <c r="F319" s="4">
        <f>VLOOKUP($A319,[1]彩含分析60315!$A:$M,12,0)</f>
        <v>37</v>
      </c>
      <c r="G319" s="4">
        <f>VLOOKUP($A319,[1]彩含分析60315!$A:$M,13,0)</f>
        <v>35</v>
      </c>
      <c r="H319" s="4" t="s">
        <v>10</v>
      </c>
      <c r="I319" s="3" t="s">
        <v>636</v>
      </c>
    </row>
    <row r="320" customHeight="1" spans="1:9">
      <c r="A320" s="4" t="s">
        <v>637</v>
      </c>
      <c r="B320" s="4">
        <f>VLOOKUP($A320,[1]彩含分析60315!$A:$M,8,0)</f>
        <v>40</v>
      </c>
      <c r="C320" s="4">
        <f>VLOOKUP($A320,[1]彩含分析60315!$A:$M,9,0)</f>
        <v>39</v>
      </c>
      <c r="D320" s="4">
        <f>VLOOKUP($A320,[1]彩含分析60315!$A:$M,10,0)</f>
        <v>37</v>
      </c>
      <c r="E320" s="4">
        <f>VLOOKUP($A320,[1]彩含分析60315!$A:$M,11,0)</f>
        <v>36</v>
      </c>
      <c r="F320" s="4">
        <f>VLOOKUP($A320,[1]彩含分析60315!$A:$M,12,0)</f>
        <v>34</v>
      </c>
      <c r="G320" s="4">
        <f>VLOOKUP($A320,[1]彩含分析60315!$A:$M,13,0)</f>
        <v>33</v>
      </c>
      <c r="H320" s="4" t="s">
        <v>10</v>
      </c>
      <c r="I320" s="3" t="s">
        <v>638</v>
      </c>
    </row>
    <row r="321" customHeight="1" spans="1:9">
      <c r="A321" s="4" t="s">
        <v>639</v>
      </c>
      <c r="B321" s="4">
        <f>VLOOKUP($A321,[1]彩含分析60315!$A:$M,8,0)</f>
        <v>40</v>
      </c>
      <c r="C321" s="4">
        <f>VLOOKUP($A321,[1]彩含分析60315!$A:$M,9,0)</f>
        <v>38</v>
      </c>
      <c r="D321" s="4">
        <f>VLOOKUP($A321,[1]彩含分析60315!$A:$M,10,0)</f>
        <v>37</v>
      </c>
      <c r="E321" s="4">
        <f>VLOOKUP($A321,[1]彩含分析60315!$A:$M,11,0)</f>
        <v>35</v>
      </c>
      <c r="F321" s="4">
        <f>VLOOKUP($A321,[1]彩含分析60315!$A:$M,12,0)</f>
        <v>34</v>
      </c>
      <c r="G321" s="4">
        <f>VLOOKUP($A321,[1]彩含分析60315!$A:$M,13,0)</f>
        <v>32</v>
      </c>
      <c r="H321" s="4" t="s">
        <v>10</v>
      </c>
      <c r="I321" s="3" t="s">
        <v>640</v>
      </c>
    </row>
    <row r="322" customHeight="1" spans="1:9">
      <c r="A322" s="4" t="s">
        <v>641</v>
      </c>
      <c r="B322" s="4">
        <f>VLOOKUP($A322,[1]彩含分析60315!$A:$M,8,0)</f>
        <v>31</v>
      </c>
      <c r="C322" s="4">
        <f>VLOOKUP($A322,[1]彩含分析60315!$A:$M,9,0)</f>
        <v>30</v>
      </c>
      <c r="D322" s="4">
        <f>VLOOKUP($A322,[1]彩含分析60315!$A:$M,10,0)</f>
        <v>29</v>
      </c>
      <c r="E322" s="4">
        <f>VLOOKUP($A322,[1]彩含分析60315!$A:$M,11,0)</f>
        <v>28</v>
      </c>
      <c r="F322" s="4">
        <f>VLOOKUP($A322,[1]彩含分析60315!$A:$M,12,0)</f>
        <v>27</v>
      </c>
      <c r="G322" s="4">
        <f>VLOOKUP($A322,[1]彩含分析60315!$A:$M,13,0)</f>
        <v>25</v>
      </c>
      <c r="H322" s="4" t="s">
        <v>10</v>
      </c>
      <c r="I322" s="3" t="s">
        <v>642</v>
      </c>
    </row>
    <row r="323" customHeight="1" spans="1:9">
      <c r="A323" s="4" t="s">
        <v>643</v>
      </c>
      <c r="B323" s="4">
        <f>VLOOKUP($A323,[1]彩含分析60315!$A:$M,8,0)</f>
        <v>44</v>
      </c>
      <c r="C323" s="4">
        <f>VLOOKUP($A323,[1]彩含分析60315!$A:$M,9,0)</f>
        <v>42</v>
      </c>
      <c r="D323" s="4">
        <f>VLOOKUP($A323,[1]彩含分析60315!$A:$M,10,0)</f>
        <v>40</v>
      </c>
      <c r="E323" s="4">
        <f>VLOOKUP($A323,[1]彩含分析60315!$A:$M,11,0)</f>
        <v>39</v>
      </c>
      <c r="F323" s="4">
        <f>VLOOKUP($A323,[1]彩含分析60315!$A:$M,12,0)</f>
        <v>37</v>
      </c>
      <c r="G323" s="4">
        <f>VLOOKUP($A323,[1]彩含分析60315!$A:$M,13,0)</f>
        <v>36</v>
      </c>
      <c r="H323" s="4" t="s">
        <v>10</v>
      </c>
      <c r="I323" s="3" t="s">
        <v>644</v>
      </c>
    </row>
    <row r="324" customHeight="1" spans="1:9">
      <c r="A324" s="4" t="s">
        <v>645</v>
      </c>
      <c r="B324" s="4">
        <f>VLOOKUP($A324,[1]彩含分析60315!$A:$M,8,0)</f>
        <v>44</v>
      </c>
      <c r="C324" s="4">
        <f>VLOOKUP($A324,[1]彩含分析60315!$A:$M,9,0)</f>
        <v>43</v>
      </c>
      <c r="D324" s="4">
        <f>VLOOKUP($A324,[1]彩含分析60315!$A:$M,10,0)</f>
        <v>41</v>
      </c>
      <c r="E324" s="4">
        <f>VLOOKUP($A324,[1]彩含分析60315!$A:$M,11,0)</f>
        <v>39</v>
      </c>
      <c r="F324" s="4">
        <f>VLOOKUP($A324,[1]彩含分析60315!$A:$M,12,0)</f>
        <v>38</v>
      </c>
      <c r="G324" s="4">
        <f>VLOOKUP($A324,[1]彩含分析60315!$A:$M,13,0)</f>
        <v>36</v>
      </c>
      <c r="H324" s="4" t="s">
        <v>10</v>
      </c>
      <c r="I324" s="3" t="s">
        <v>646</v>
      </c>
    </row>
    <row r="325" customHeight="1" spans="1:9">
      <c r="A325" s="4" t="s">
        <v>647</v>
      </c>
      <c r="B325" s="4">
        <f>VLOOKUP($A325,[1]彩含分析60315!$A:$M,8,0)</f>
        <v>52</v>
      </c>
      <c r="C325" s="4">
        <f>VLOOKUP($A325,[1]彩含分析60315!$A:$M,9,0)</f>
        <v>52</v>
      </c>
      <c r="D325" s="4">
        <f>VLOOKUP($A325,[1]彩含分析60315!$A:$M,10,0)</f>
        <v>51</v>
      </c>
      <c r="E325" s="4">
        <f>VLOOKUP($A325,[1]彩含分析60315!$A:$M,11,0)</f>
        <v>50</v>
      </c>
      <c r="F325" s="4">
        <f>VLOOKUP($A325,[1]彩含分析60315!$A:$M,12,0)</f>
        <v>49</v>
      </c>
      <c r="G325" s="4">
        <f>VLOOKUP($A325,[1]彩含分析60315!$A:$M,13,0)</f>
        <v>49</v>
      </c>
      <c r="H325" s="4" t="s">
        <v>39</v>
      </c>
      <c r="I325" s="3" t="s">
        <v>310</v>
      </c>
    </row>
    <row r="326" customHeight="1" spans="1:9">
      <c r="A326" s="4" t="s">
        <v>648</v>
      </c>
      <c r="B326" s="4">
        <f>VLOOKUP($A326,[1]彩含分析60315!$A:$M,8,0)</f>
        <v>36</v>
      </c>
      <c r="C326" s="4">
        <f>VLOOKUP($A326,[1]彩含分析60315!$A:$M,9,0)</f>
        <v>35</v>
      </c>
      <c r="D326" s="4">
        <f>VLOOKUP($A326,[1]彩含分析60315!$A:$M,10,0)</f>
        <v>34</v>
      </c>
      <c r="E326" s="4">
        <f>VLOOKUP($A326,[1]彩含分析60315!$A:$M,11,0)</f>
        <v>32</v>
      </c>
      <c r="F326" s="4">
        <f>VLOOKUP($A326,[1]彩含分析60315!$A:$M,12,0)</f>
        <v>31</v>
      </c>
      <c r="G326" s="4">
        <f>VLOOKUP($A326,[1]彩含分析60315!$A:$M,13,0)</f>
        <v>30</v>
      </c>
      <c r="H326" s="4" t="s">
        <v>10</v>
      </c>
      <c r="I326" s="3" t="s">
        <v>649</v>
      </c>
    </row>
    <row r="327" customHeight="1" spans="1:9">
      <c r="A327" s="4" t="s">
        <v>650</v>
      </c>
      <c r="B327" s="4">
        <f>VLOOKUP($A327,[1]彩含分析60315!$A:$M,8,0)</f>
        <v>47</v>
      </c>
      <c r="C327" s="4">
        <f>VLOOKUP($A327,[1]彩含分析60315!$A:$M,9,0)</f>
        <v>45</v>
      </c>
      <c r="D327" s="4">
        <f>VLOOKUP($A327,[1]彩含分析60315!$A:$M,10,0)</f>
        <v>43</v>
      </c>
      <c r="E327" s="4">
        <f>VLOOKUP($A327,[1]彩含分析60315!$A:$M,11,0)</f>
        <v>41</v>
      </c>
      <c r="F327" s="4">
        <f>VLOOKUP($A327,[1]彩含分析60315!$A:$M,12,0)</f>
        <v>40</v>
      </c>
      <c r="G327" s="4">
        <f>VLOOKUP($A327,[1]彩含分析60315!$A:$M,13,0)</f>
        <v>38</v>
      </c>
      <c r="H327" s="4" t="s">
        <v>10</v>
      </c>
      <c r="I327" s="3" t="s">
        <v>651</v>
      </c>
    </row>
    <row r="328" customHeight="1" spans="1:9">
      <c r="A328" s="4" t="s">
        <v>652</v>
      </c>
      <c r="B328" s="4">
        <f>VLOOKUP($A328,[1]彩含分析60315!$A:$M,8,0)</f>
        <v>59</v>
      </c>
      <c r="C328" s="4">
        <f>VLOOKUP($A328,[1]彩含分析60315!$A:$M,9,0)</f>
        <v>58</v>
      </c>
      <c r="D328" s="4">
        <f>VLOOKUP($A328,[1]彩含分析60315!$A:$M,10,0)</f>
        <v>57</v>
      </c>
      <c r="E328" s="4">
        <f>VLOOKUP($A328,[1]彩含分析60315!$A:$M,11,0)</f>
        <v>56</v>
      </c>
      <c r="F328" s="4">
        <f>VLOOKUP($A328,[1]彩含分析60315!$A:$M,12,0)</f>
        <v>55</v>
      </c>
      <c r="G328" s="4">
        <f>VLOOKUP($A328,[1]彩含分析60315!$A:$M,13,0)</f>
        <v>55</v>
      </c>
      <c r="H328" s="4" t="s">
        <v>39</v>
      </c>
      <c r="I328" s="3" t="s">
        <v>653</v>
      </c>
    </row>
    <row r="329" customHeight="1" spans="1:9">
      <c r="A329" s="4" t="s">
        <v>654</v>
      </c>
      <c r="B329" s="4">
        <f>VLOOKUP($A329,[1]彩含分析60315!$A:$M,8,0)</f>
        <v>59</v>
      </c>
      <c r="C329" s="4">
        <f>VLOOKUP($A329,[1]彩含分析60315!$A:$M,9,0)</f>
        <v>58</v>
      </c>
      <c r="D329" s="4">
        <f>VLOOKUP($A329,[1]彩含分析60315!$A:$M,10,0)</f>
        <v>58</v>
      </c>
      <c r="E329" s="4">
        <f>VLOOKUP($A329,[1]彩含分析60315!$A:$M,11,0)</f>
        <v>57</v>
      </c>
      <c r="F329" s="4">
        <f>VLOOKUP($A329,[1]彩含分析60315!$A:$M,12,0)</f>
        <v>56</v>
      </c>
      <c r="G329" s="4">
        <f>VLOOKUP($A329,[1]彩含分析60315!$A:$M,13,0)</f>
        <v>55</v>
      </c>
      <c r="H329" s="4" t="s">
        <v>39</v>
      </c>
      <c r="I329" s="3" t="s">
        <v>655</v>
      </c>
    </row>
    <row r="330" customHeight="1" spans="1:9">
      <c r="A330" s="4" t="s">
        <v>656</v>
      </c>
      <c r="B330" s="4">
        <f>VLOOKUP($A330,[1]彩含分析60315!$A:$M,8,0)</f>
        <v>32</v>
      </c>
      <c r="C330" s="4">
        <f>VLOOKUP($A330,[1]彩含分析60315!$A:$M,9,0)</f>
        <v>31</v>
      </c>
      <c r="D330" s="4">
        <f>VLOOKUP($A330,[1]彩含分析60315!$A:$M,10,0)</f>
        <v>30</v>
      </c>
      <c r="E330" s="4">
        <f>VLOOKUP($A330,[1]彩含分析60315!$A:$M,11,0)</f>
        <v>29</v>
      </c>
      <c r="F330" s="4">
        <f>VLOOKUP($A330,[1]彩含分析60315!$A:$M,12,0)</f>
        <v>28</v>
      </c>
      <c r="G330" s="4">
        <f>VLOOKUP($A330,[1]彩含分析60315!$A:$M,13,0)</f>
        <v>27</v>
      </c>
      <c r="H330" s="4" t="s">
        <v>10</v>
      </c>
      <c r="I330" s="3" t="s">
        <v>657</v>
      </c>
    </row>
    <row r="331" customHeight="1" spans="1:9">
      <c r="A331" s="4" t="s">
        <v>658</v>
      </c>
      <c r="B331" s="4">
        <f>VLOOKUP($A331,[1]彩含分析60315!$A:$M,8,0)</f>
        <v>50</v>
      </c>
      <c r="C331" s="4">
        <f>VLOOKUP($A331,[1]彩含分析60315!$A:$M,9,0)</f>
        <v>49</v>
      </c>
      <c r="D331" s="4">
        <f>VLOOKUP($A331,[1]彩含分析60315!$A:$M,10,0)</f>
        <v>48</v>
      </c>
      <c r="E331" s="4">
        <f>VLOOKUP($A331,[1]彩含分析60315!$A:$M,11,0)</f>
        <v>47</v>
      </c>
      <c r="F331" s="4">
        <f>VLOOKUP($A331,[1]彩含分析60315!$A:$M,12,0)</f>
        <v>47</v>
      </c>
      <c r="G331" s="4">
        <f>VLOOKUP($A331,[1]彩含分析60315!$A:$M,13,0)</f>
        <v>46</v>
      </c>
      <c r="H331" s="4" t="s">
        <v>39</v>
      </c>
      <c r="I331" s="3" t="s">
        <v>310</v>
      </c>
    </row>
    <row r="332" customHeight="1" spans="1:9">
      <c r="A332" s="4" t="s">
        <v>659</v>
      </c>
      <c r="B332" s="4">
        <f>VLOOKUP($A332,[1]彩含分析60315!$A:$M,8,0)</f>
        <v>41</v>
      </c>
      <c r="C332" s="4">
        <f>VLOOKUP($A332,[1]彩含分析60315!$A:$M,9,0)</f>
        <v>40</v>
      </c>
      <c r="D332" s="4">
        <f>VLOOKUP($A332,[1]彩含分析60315!$A:$M,10,0)</f>
        <v>38</v>
      </c>
      <c r="E332" s="4">
        <f>VLOOKUP($A332,[1]彩含分析60315!$A:$M,11,0)</f>
        <v>37</v>
      </c>
      <c r="F332" s="4">
        <f>VLOOKUP($A332,[1]彩含分析60315!$A:$M,12,0)</f>
        <v>35</v>
      </c>
      <c r="G332" s="4">
        <f>VLOOKUP($A332,[1]彩含分析60315!$A:$M,13,0)</f>
        <v>34</v>
      </c>
      <c r="H332" s="4" t="s">
        <v>10</v>
      </c>
      <c r="I332" s="3" t="s">
        <v>660</v>
      </c>
    </row>
    <row r="333" customHeight="1" spans="1:9">
      <c r="A333" s="4" t="s">
        <v>661</v>
      </c>
      <c r="B333" s="4">
        <f>VLOOKUP($A333,[1]彩含分析60315!$A:$M,8,0)</f>
        <v>47</v>
      </c>
      <c r="C333" s="4">
        <f>VLOOKUP($A333,[1]彩含分析60315!$A:$M,9,0)</f>
        <v>45</v>
      </c>
      <c r="D333" s="4">
        <f>VLOOKUP($A333,[1]彩含分析60315!$A:$M,10,0)</f>
        <v>44</v>
      </c>
      <c r="E333" s="4">
        <f>VLOOKUP($A333,[1]彩含分析60315!$A:$M,11,0)</f>
        <v>42</v>
      </c>
      <c r="F333" s="4">
        <f>VLOOKUP($A333,[1]彩含分析60315!$A:$M,12,0)</f>
        <v>40</v>
      </c>
      <c r="G333" s="4">
        <f>VLOOKUP($A333,[1]彩含分析60315!$A:$M,13,0)</f>
        <v>39</v>
      </c>
      <c r="H333" s="4" t="s">
        <v>10</v>
      </c>
      <c r="I333" s="3" t="s">
        <v>662</v>
      </c>
    </row>
    <row r="334" customHeight="1" spans="1:9">
      <c r="A334" s="4" t="s">
        <v>663</v>
      </c>
      <c r="B334" s="4">
        <f>VLOOKUP($A334,[1]彩含分析60315!$A:$M,8,0)</f>
        <v>41</v>
      </c>
      <c r="C334" s="4">
        <f>VLOOKUP($A334,[1]彩含分析60315!$A:$M,9,0)</f>
        <v>40</v>
      </c>
      <c r="D334" s="4">
        <f>VLOOKUP($A334,[1]彩含分析60315!$A:$M,10,0)</f>
        <v>38</v>
      </c>
      <c r="E334" s="4">
        <f>VLOOKUP($A334,[1]彩含分析60315!$A:$M,11,0)</f>
        <v>37</v>
      </c>
      <c r="F334" s="4">
        <f>VLOOKUP($A334,[1]彩含分析60315!$A:$M,12,0)</f>
        <v>35</v>
      </c>
      <c r="G334" s="4">
        <f>VLOOKUP($A334,[1]彩含分析60315!$A:$M,13,0)</f>
        <v>34</v>
      </c>
      <c r="H334" s="4" t="s">
        <v>10</v>
      </c>
      <c r="I334" s="3" t="s">
        <v>664</v>
      </c>
    </row>
    <row r="335" customHeight="1" spans="1:9">
      <c r="A335" s="4" t="s">
        <v>665</v>
      </c>
      <c r="B335" s="4">
        <f>VLOOKUP($A335,[1]彩含分析60315!$A:$M,8,0)</f>
        <v>96</v>
      </c>
      <c r="C335" s="4">
        <f>VLOOKUP($A335,[1]彩含分析60315!$A:$M,9,0)</f>
        <v>93</v>
      </c>
      <c r="D335" s="4">
        <f>VLOOKUP($A335,[1]彩含分析60315!$A:$M,10,0)</f>
        <v>89</v>
      </c>
      <c r="E335" s="4">
        <f>VLOOKUP($A335,[1]彩含分析60315!$A:$M,11,0)</f>
        <v>86</v>
      </c>
      <c r="F335" s="4">
        <f>VLOOKUP($A335,[1]彩含分析60315!$A:$M,12,0)</f>
        <v>82</v>
      </c>
      <c r="G335" s="4">
        <f>VLOOKUP($A335,[1]彩含分析60315!$A:$M,13,0)</f>
        <v>79</v>
      </c>
      <c r="H335" s="4" t="s">
        <v>10</v>
      </c>
      <c r="I335" s="3" t="s">
        <v>666</v>
      </c>
    </row>
    <row r="336" customHeight="1" spans="1:9">
      <c r="A336" s="4" t="s">
        <v>667</v>
      </c>
      <c r="B336" s="4">
        <f>VLOOKUP($A336,[1]彩含分析60315!$A:$M,8,0)</f>
        <v>50</v>
      </c>
      <c r="C336" s="4">
        <f>VLOOKUP($A336,[1]彩含分析60315!$A:$M,9,0)</f>
        <v>49</v>
      </c>
      <c r="D336" s="4">
        <f>VLOOKUP($A336,[1]彩含分析60315!$A:$M,10,0)</f>
        <v>48</v>
      </c>
      <c r="E336" s="4">
        <f>VLOOKUP($A336,[1]彩含分析60315!$A:$M,11,0)</f>
        <v>48</v>
      </c>
      <c r="F336" s="4">
        <f>VLOOKUP($A336,[1]彩含分析60315!$A:$M,12,0)</f>
        <v>47</v>
      </c>
      <c r="G336" s="4">
        <f>VLOOKUP($A336,[1]彩含分析60315!$A:$M,13,0)</f>
        <v>46</v>
      </c>
      <c r="H336" s="4" t="s">
        <v>39</v>
      </c>
      <c r="I336" s="3" t="s">
        <v>668</v>
      </c>
    </row>
    <row r="337" customHeight="1" spans="1:9">
      <c r="A337" s="4" t="s">
        <v>669</v>
      </c>
      <c r="B337" s="4">
        <f>VLOOKUP($A337,[1]彩含分析60315!$A:$M,8,0)</f>
        <v>24</v>
      </c>
      <c r="C337" s="4">
        <f>VLOOKUP($A337,[1]彩含分析60315!$A:$M,9,0)</f>
        <v>23</v>
      </c>
      <c r="D337" s="4">
        <f>VLOOKUP($A337,[1]彩含分析60315!$A:$M,10,0)</f>
        <v>22</v>
      </c>
      <c r="E337" s="4">
        <f>VLOOKUP($A337,[1]彩含分析60315!$A:$M,11,0)</f>
        <v>21</v>
      </c>
      <c r="F337" s="4">
        <f>VLOOKUP($A337,[1]彩含分析60315!$A:$M,12,0)</f>
        <v>20</v>
      </c>
      <c r="G337" s="4">
        <f>VLOOKUP($A337,[1]彩含分析60315!$A:$M,13,0)</f>
        <v>19</v>
      </c>
      <c r="H337" s="4" t="s">
        <v>10</v>
      </c>
      <c r="I337" s="3" t="s">
        <v>670</v>
      </c>
    </row>
    <row r="338" customHeight="1" spans="1:9">
      <c r="A338" s="4" t="s">
        <v>671</v>
      </c>
      <c r="B338" s="4">
        <f>VLOOKUP($A338,[1]彩含分析60315!$A:$M,8,0)</f>
        <v>58</v>
      </c>
      <c r="C338" s="4">
        <f>VLOOKUP($A338,[1]彩含分析60315!$A:$M,9,0)</f>
        <v>57</v>
      </c>
      <c r="D338" s="4">
        <f>VLOOKUP($A338,[1]彩含分析60315!$A:$M,10,0)</f>
        <v>56</v>
      </c>
      <c r="E338" s="4">
        <f>VLOOKUP($A338,[1]彩含分析60315!$A:$M,11,0)</f>
        <v>55</v>
      </c>
      <c r="F338" s="4">
        <f>VLOOKUP($A338,[1]彩含分析60315!$A:$M,12,0)</f>
        <v>54</v>
      </c>
      <c r="G338" s="4">
        <f>VLOOKUP($A338,[1]彩含分析60315!$A:$M,13,0)</f>
        <v>53</v>
      </c>
      <c r="H338" s="4" t="s">
        <v>39</v>
      </c>
      <c r="I338" s="3" t="s">
        <v>672</v>
      </c>
    </row>
    <row r="339" customHeight="1" spans="1:9">
      <c r="A339" s="4" t="s">
        <v>673</v>
      </c>
      <c r="B339" s="4">
        <f>VLOOKUP($A339,[1]彩含分析60315!$A:$M,8,0)</f>
        <v>40</v>
      </c>
      <c r="C339" s="4">
        <f>VLOOKUP($A339,[1]彩含分析60315!$A:$M,9,0)</f>
        <v>39</v>
      </c>
      <c r="D339" s="4">
        <f>VLOOKUP($A339,[1]彩含分析60315!$A:$M,10,0)</f>
        <v>37</v>
      </c>
      <c r="E339" s="4">
        <f>VLOOKUP($A339,[1]彩含分析60315!$A:$M,11,0)</f>
        <v>36</v>
      </c>
      <c r="F339" s="4">
        <f>VLOOKUP($A339,[1]彩含分析60315!$A:$M,12,0)</f>
        <v>34</v>
      </c>
      <c r="G339" s="4">
        <f>VLOOKUP($A339,[1]彩含分析60315!$A:$M,13,0)</f>
        <v>33</v>
      </c>
      <c r="H339" s="4" t="s">
        <v>10</v>
      </c>
      <c r="I339" s="3" t="s">
        <v>674</v>
      </c>
    </row>
    <row r="340" customHeight="1" spans="1:9">
      <c r="A340" s="4" t="s">
        <v>675</v>
      </c>
      <c r="B340" s="4">
        <f>VLOOKUP($A340,[1]彩含分析60315!$A:$M,8,0)</f>
        <v>28</v>
      </c>
      <c r="C340" s="4">
        <f>VLOOKUP($A340,[1]彩含分析60315!$A:$M,9,0)</f>
        <v>27</v>
      </c>
      <c r="D340" s="4">
        <f>VLOOKUP($A340,[1]彩含分析60315!$A:$M,10,0)</f>
        <v>26</v>
      </c>
      <c r="E340" s="4">
        <f>VLOOKUP($A340,[1]彩含分析60315!$A:$M,11,0)</f>
        <v>25</v>
      </c>
      <c r="F340" s="4">
        <f>VLOOKUP($A340,[1]彩含分析60315!$A:$M,12,0)</f>
        <v>24</v>
      </c>
      <c r="G340" s="4">
        <f>VLOOKUP($A340,[1]彩含分析60315!$A:$M,13,0)</f>
        <v>23</v>
      </c>
      <c r="H340" s="4" t="s">
        <v>10</v>
      </c>
      <c r="I340" s="3" t="s">
        <v>676</v>
      </c>
    </row>
    <row r="341" customHeight="1" spans="1:9">
      <c r="A341" s="4" t="s">
        <v>677</v>
      </c>
      <c r="B341" s="4">
        <f>VLOOKUP($A341,[1]彩含分析60315!$A:$M,8,0)</f>
        <v>39</v>
      </c>
      <c r="C341" s="4">
        <f>VLOOKUP($A341,[1]彩含分析60315!$A:$M,9,0)</f>
        <v>38</v>
      </c>
      <c r="D341" s="4">
        <f>VLOOKUP($A341,[1]彩含分析60315!$A:$M,10,0)</f>
        <v>36</v>
      </c>
      <c r="E341" s="4">
        <f>VLOOKUP($A341,[1]彩含分析60315!$A:$M,11,0)</f>
        <v>35</v>
      </c>
      <c r="F341" s="4">
        <f>VLOOKUP($A341,[1]彩含分析60315!$A:$M,12,0)</f>
        <v>33</v>
      </c>
      <c r="G341" s="4">
        <f>VLOOKUP($A341,[1]彩含分析60315!$A:$M,13,0)</f>
        <v>32</v>
      </c>
      <c r="H341" s="4" t="s">
        <v>10</v>
      </c>
      <c r="I341" s="3" t="s">
        <v>678</v>
      </c>
    </row>
    <row r="342" customHeight="1" spans="1:9">
      <c r="A342" s="4" t="s">
        <v>679</v>
      </c>
      <c r="B342" s="4">
        <f>VLOOKUP($A342,[1]彩含分析60315!$A:$M,8,0)</f>
        <v>37</v>
      </c>
      <c r="C342" s="4">
        <f>VLOOKUP($A342,[1]彩含分析60315!$A:$M,9,0)</f>
        <v>36</v>
      </c>
      <c r="D342" s="4">
        <f>VLOOKUP($A342,[1]彩含分析60315!$A:$M,10,0)</f>
        <v>35</v>
      </c>
      <c r="E342" s="4">
        <f>VLOOKUP($A342,[1]彩含分析60315!$A:$M,11,0)</f>
        <v>33</v>
      </c>
      <c r="F342" s="4">
        <f>VLOOKUP($A342,[1]彩含分析60315!$A:$M,12,0)</f>
        <v>32</v>
      </c>
      <c r="G342" s="4">
        <f>VLOOKUP($A342,[1]彩含分析60315!$A:$M,13,0)</f>
        <v>31</v>
      </c>
      <c r="H342" s="4" t="s">
        <v>10</v>
      </c>
      <c r="I342" s="3" t="s">
        <v>680</v>
      </c>
    </row>
    <row r="343" customHeight="1" spans="1:9">
      <c r="A343" s="4" t="s">
        <v>681</v>
      </c>
      <c r="B343" s="4">
        <f>VLOOKUP($A343,[1]彩含分析60315!$A:$M,8,0)</f>
        <v>26</v>
      </c>
      <c r="C343" s="4">
        <f>VLOOKUP($A343,[1]彩含分析60315!$A:$M,9,0)</f>
        <v>25</v>
      </c>
      <c r="D343" s="4">
        <f>VLOOKUP($A343,[1]彩含分析60315!$A:$M,10,0)</f>
        <v>24</v>
      </c>
      <c r="E343" s="4">
        <f>VLOOKUP($A343,[1]彩含分析60315!$A:$M,11,0)</f>
        <v>23</v>
      </c>
      <c r="F343" s="4">
        <f>VLOOKUP($A343,[1]彩含分析60315!$A:$M,12,0)</f>
        <v>22</v>
      </c>
      <c r="G343" s="4">
        <f>VLOOKUP($A343,[1]彩含分析60315!$A:$M,13,0)</f>
        <v>21</v>
      </c>
      <c r="H343" s="4" t="s">
        <v>10</v>
      </c>
      <c r="I343" s="3" t="s">
        <v>682</v>
      </c>
    </row>
    <row r="344" customHeight="1" spans="1:9">
      <c r="A344" s="4" t="s">
        <v>683</v>
      </c>
      <c r="B344" s="4">
        <f>VLOOKUP($A344,[1]彩含分析60315!$A:$M,8,0)</f>
        <v>55</v>
      </c>
      <c r="C344" s="4">
        <f>VLOOKUP($A344,[1]彩含分析60315!$A:$M,9,0)</f>
        <v>54</v>
      </c>
      <c r="D344" s="4">
        <f>VLOOKUP($A344,[1]彩含分析60315!$A:$M,10,0)</f>
        <v>53</v>
      </c>
      <c r="E344" s="4">
        <f>VLOOKUP($A344,[1]彩含分析60315!$A:$M,11,0)</f>
        <v>52</v>
      </c>
      <c r="F344" s="4">
        <f>VLOOKUP($A344,[1]彩含分析60315!$A:$M,12,0)</f>
        <v>52</v>
      </c>
      <c r="G344" s="4">
        <f>VLOOKUP($A344,[1]彩含分析60315!$A:$M,13,0)</f>
        <v>51</v>
      </c>
      <c r="H344" s="4" t="s">
        <v>39</v>
      </c>
      <c r="I344" s="3" t="s">
        <v>684</v>
      </c>
    </row>
    <row r="345" customHeight="1" spans="1:9">
      <c r="A345" s="4" t="s">
        <v>685</v>
      </c>
      <c r="B345" s="4">
        <f>VLOOKUP($A345,[1]彩含分析60315!$A:$M,8,0)</f>
        <v>40</v>
      </c>
      <c r="C345" s="4">
        <f>VLOOKUP($A345,[1]彩含分析60315!$A:$M,9,0)</f>
        <v>38</v>
      </c>
      <c r="D345" s="4">
        <f>VLOOKUP($A345,[1]彩含分析60315!$A:$M,10,0)</f>
        <v>37</v>
      </c>
      <c r="E345" s="4">
        <f>VLOOKUP($A345,[1]彩含分析60315!$A:$M,11,0)</f>
        <v>35</v>
      </c>
      <c r="F345" s="4">
        <f>VLOOKUP($A345,[1]彩含分析60315!$A:$M,12,0)</f>
        <v>34</v>
      </c>
      <c r="G345" s="4">
        <f>VLOOKUP($A345,[1]彩含分析60315!$A:$M,13,0)</f>
        <v>32</v>
      </c>
      <c r="H345" s="4" t="s">
        <v>10</v>
      </c>
      <c r="I345" s="3" t="s">
        <v>686</v>
      </c>
    </row>
    <row r="346" customHeight="1" spans="1:9">
      <c r="A346" s="4" t="s">
        <v>687</v>
      </c>
      <c r="B346" s="4">
        <f>VLOOKUP($A346,[1]彩含分析60315!$A:$M,8,0)</f>
        <v>36</v>
      </c>
      <c r="C346" s="4">
        <f>VLOOKUP($A346,[1]彩含分析60315!$A:$M,9,0)</f>
        <v>34</v>
      </c>
      <c r="D346" s="4">
        <f>VLOOKUP($A346,[1]彩含分析60315!$A:$M,10,0)</f>
        <v>33</v>
      </c>
      <c r="E346" s="4">
        <f>VLOOKUP($A346,[1]彩含分析60315!$A:$M,11,0)</f>
        <v>32</v>
      </c>
      <c r="F346" s="4">
        <f>VLOOKUP($A346,[1]彩含分析60315!$A:$M,12,0)</f>
        <v>30</v>
      </c>
      <c r="G346" s="4">
        <f>VLOOKUP($A346,[1]彩含分析60315!$A:$M,13,0)</f>
        <v>29</v>
      </c>
      <c r="H346" s="4" t="s">
        <v>10</v>
      </c>
      <c r="I346" s="3" t="s">
        <v>688</v>
      </c>
    </row>
    <row r="347" customHeight="1" spans="1:9">
      <c r="A347" s="4" t="s">
        <v>689</v>
      </c>
      <c r="B347" s="4">
        <f>VLOOKUP($A347,[1]彩含分析60315!$A:$M,8,0)</f>
        <v>25</v>
      </c>
      <c r="C347" s="4">
        <f>VLOOKUP($A347,[1]彩含分析60315!$A:$M,9,0)</f>
        <v>24</v>
      </c>
      <c r="D347" s="4">
        <f>VLOOKUP($A347,[1]彩含分析60315!$A:$M,10,0)</f>
        <v>23</v>
      </c>
      <c r="E347" s="4">
        <f>VLOOKUP($A347,[1]彩含分析60315!$A:$M,11,0)</f>
        <v>22</v>
      </c>
      <c r="F347" s="4">
        <f>VLOOKUP($A347,[1]彩含分析60315!$A:$M,12,0)</f>
        <v>21</v>
      </c>
      <c r="G347" s="4">
        <f>VLOOKUP($A347,[1]彩含分析60315!$A:$M,13,0)</f>
        <v>20</v>
      </c>
      <c r="H347" s="4" t="s">
        <v>10</v>
      </c>
      <c r="I347" s="3" t="s">
        <v>690</v>
      </c>
    </row>
    <row r="348" customHeight="1" spans="1:9">
      <c r="A348" s="4" t="s">
        <v>691</v>
      </c>
      <c r="B348" s="4">
        <f>VLOOKUP($A348,[1]彩含分析60315!$A:$M,8,0)</f>
        <v>28</v>
      </c>
      <c r="C348" s="4">
        <f>VLOOKUP($A348,[1]彩含分析60315!$A:$M,9,0)</f>
        <v>27</v>
      </c>
      <c r="D348" s="4">
        <f>VLOOKUP($A348,[1]彩含分析60315!$A:$M,10,0)</f>
        <v>26</v>
      </c>
      <c r="E348" s="4">
        <f>VLOOKUP($A348,[1]彩含分析60315!$A:$M,11,0)</f>
        <v>25</v>
      </c>
      <c r="F348" s="4">
        <f>VLOOKUP($A348,[1]彩含分析60315!$A:$M,12,0)</f>
        <v>24</v>
      </c>
      <c r="G348" s="4">
        <f>VLOOKUP($A348,[1]彩含分析60315!$A:$M,13,0)</f>
        <v>23</v>
      </c>
      <c r="H348" s="4" t="s">
        <v>10</v>
      </c>
      <c r="I348" s="3" t="s">
        <v>692</v>
      </c>
    </row>
    <row r="349" customHeight="1" spans="1:9">
      <c r="A349" s="4" t="s">
        <v>693</v>
      </c>
      <c r="B349" s="4">
        <f>VLOOKUP($A349,[1]彩含分析60315!$A:$M,8,0)</f>
        <v>35</v>
      </c>
      <c r="C349" s="4">
        <f>VLOOKUP($A349,[1]彩含分析60315!$A:$M,9,0)</f>
        <v>34</v>
      </c>
      <c r="D349" s="4">
        <f>VLOOKUP($A349,[1]彩含分析60315!$A:$M,10,0)</f>
        <v>32</v>
      </c>
      <c r="E349" s="4">
        <f>VLOOKUP($A349,[1]彩含分析60315!$A:$M,11,0)</f>
        <v>31</v>
      </c>
      <c r="F349" s="4">
        <f>VLOOKUP($A349,[1]彩含分析60315!$A:$M,12,0)</f>
        <v>30</v>
      </c>
      <c r="G349" s="4">
        <f>VLOOKUP($A349,[1]彩含分析60315!$A:$M,13,0)</f>
        <v>28</v>
      </c>
      <c r="H349" s="4" t="s">
        <v>10</v>
      </c>
      <c r="I349" s="3" t="s">
        <v>694</v>
      </c>
    </row>
    <row r="350" customHeight="1" spans="1:9">
      <c r="A350" s="4" t="s">
        <v>695</v>
      </c>
      <c r="B350" s="4">
        <f>VLOOKUP($A350,[1]彩含分析60315!$A:$M,8,0)</f>
        <v>22</v>
      </c>
      <c r="C350" s="4">
        <f>VLOOKUP($A350,[1]彩含分析60315!$A:$M,9,0)</f>
        <v>21</v>
      </c>
      <c r="D350" s="4">
        <f>VLOOKUP($A350,[1]彩含分析60315!$A:$M,10,0)</f>
        <v>21</v>
      </c>
      <c r="E350" s="4">
        <f>VLOOKUP($A350,[1]彩含分析60315!$A:$M,11,0)</f>
        <v>20</v>
      </c>
      <c r="F350" s="4">
        <f>VLOOKUP($A350,[1]彩含分析60315!$A:$M,12,0)</f>
        <v>19</v>
      </c>
      <c r="G350" s="4">
        <f>VLOOKUP($A350,[1]彩含分析60315!$A:$M,13,0)</f>
        <v>18</v>
      </c>
      <c r="H350" s="4" t="s">
        <v>10</v>
      </c>
      <c r="I350" s="3" t="s">
        <v>497</v>
      </c>
    </row>
    <row r="351" customHeight="1" spans="1:9">
      <c r="A351" s="4" t="s">
        <v>696</v>
      </c>
      <c r="B351" s="4">
        <f>VLOOKUP($A351,[1]彩含分析60315!$A:$M,8,0)</f>
        <v>26</v>
      </c>
      <c r="C351" s="4">
        <f>VLOOKUP($A351,[1]彩含分析60315!$A:$M,9,0)</f>
        <v>25</v>
      </c>
      <c r="D351" s="4">
        <f>VLOOKUP($A351,[1]彩含分析60315!$A:$M,10,0)</f>
        <v>24</v>
      </c>
      <c r="E351" s="4">
        <f>VLOOKUP($A351,[1]彩含分析60315!$A:$M,11,0)</f>
        <v>23</v>
      </c>
      <c r="F351" s="4">
        <f>VLOOKUP($A351,[1]彩含分析60315!$A:$M,12,0)</f>
        <v>22</v>
      </c>
      <c r="G351" s="4">
        <f>VLOOKUP($A351,[1]彩含分析60315!$A:$M,13,0)</f>
        <v>22</v>
      </c>
      <c r="H351" s="4" t="s">
        <v>10</v>
      </c>
      <c r="I351" s="3" t="s">
        <v>697</v>
      </c>
    </row>
    <row r="352" customHeight="1" spans="1:9">
      <c r="A352" s="4" t="s">
        <v>698</v>
      </c>
      <c r="B352" s="4">
        <f>VLOOKUP($A352,[1]彩含分析60315!$A:$M,8,0)</f>
        <v>38</v>
      </c>
      <c r="C352" s="4">
        <f>VLOOKUP($A352,[1]彩含分析60315!$A:$M,9,0)</f>
        <v>36</v>
      </c>
      <c r="D352" s="4">
        <f>VLOOKUP($A352,[1]彩含分析60315!$A:$M,10,0)</f>
        <v>35</v>
      </c>
      <c r="E352" s="4">
        <f>VLOOKUP($A352,[1]彩含分析60315!$A:$M,11,0)</f>
        <v>34</v>
      </c>
      <c r="F352" s="4">
        <f>VLOOKUP($A352,[1]彩含分析60315!$A:$M,12,0)</f>
        <v>32</v>
      </c>
      <c r="G352" s="4">
        <f>VLOOKUP($A352,[1]彩含分析60315!$A:$M,13,0)</f>
        <v>31</v>
      </c>
      <c r="H352" s="4" t="s">
        <v>10</v>
      </c>
      <c r="I352" s="3" t="s">
        <v>699</v>
      </c>
    </row>
    <row r="353" customHeight="1" spans="1:9">
      <c r="A353" s="4" t="s">
        <v>700</v>
      </c>
      <c r="B353" s="4">
        <f>VLOOKUP($A353,[1]彩含分析60315!$A:$M,8,0)</f>
        <v>45</v>
      </c>
      <c r="C353" s="4">
        <f>VLOOKUP($A353,[1]彩含分析60315!$A:$M,9,0)</f>
        <v>44</v>
      </c>
      <c r="D353" s="4">
        <f>VLOOKUP($A353,[1]彩含分析60315!$A:$M,10,0)</f>
        <v>42</v>
      </c>
      <c r="E353" s="4">
        <f>VLOOKUP($A353,[1]彩含分析60315!$A:$M,11,0)</f>
        <v>40</v>
      </c>
      <c r="F353" s="4">
        <f>VLOOKUP($A353,[1]彩含分析60315!$A:$M,12,0)</f>
        <v>39</v>
      </c>
      <c r="G353" s="4">
        <f>VLOOKUP($A353,[1]彩含分析60315!$A:$M,13,0)</f>
        <v>37</v>
      </c>
      <c r="H353" s="4" t="s">
        <v>10</v>
      </c>
      <c r="I353" s="3" t="s">
        <v>701</v>
      </c>
    </row>
    <row r="354" customHeight="1" spans="1:9">
      <c r="A354" s="4" t="s">
        <v>702</v>
      </c>
      <c r="B354" s="4">
        <f>VLOOKUP($A354,[1]彩含分析60315!$A:$M,8,0)</f>
        <v>41</v>
      </c>
      <c r="C354" s="4">
        <f>VLOOKUP($A354,[1]彩含分析60315!$A:$M,9,0)</f>
        <v>40</v>
      </c>
      <c r="D354" s="4">
        <f>VLOOKUP($A354,[1]彩含分析60315!$A:$M,10,0)</f>
        <v>38</v>
      </c>
      <c r="E354" s="4">
        <f>VLOOKUP($A354,[1]彩含分析60315!$A:$M,11,0)</f>
        <v>37</v>
      </c>
      <c r="F354" s="4">
        <f>VLOOKUP($A354,[1]彩含分析60315!$A:$M,12,0)</f>
        <v>35</v>
      </c>
      <c r="G354" s="4">
        <f>VLOOKUP($A354,[1]彩含分析60315!$A:$M,13,0)</f>
        <v>34</v>
      </c>
      <c r="H354" s="4" t="s">
        <v>10</v>
      </c>
      <c r="I354" s="3" t="s">
        <v>703</v>
      </c>
    </row>
    <row r="355" customHeight="1" spans="1:9">
      <c r="A355" s="4" t="s">
        <v>704</v>
      </c>
      <c r="B355" s="4">
        <f>VLOOKUP($A355,[1]彩含分析60315!$A:$M,8,0)</f>
        <v>32</v>
      </c>
      <c r="C355" s="4">
        <f>VLOOKUP($A355,[1]彩含分析60315!$A:$M,9,0)</f>
        <v>31</v>
      </c>
      <c r="D355" s="4">
        <f>VLOOKUP($A355,[1]彩含分析60315!$A:$M,10,0)</f>
        <v>30</v>
      </c>
      <c r="E355" s="4">
        <f>VLOOKUP($A355,[1]彩含分析60315!$A:$M,11,0)</f>
        <v>29</v>
      </c>
      <c r="F355" s="4">
        <f>VLOOKUP($A355,[1]彩含分析60315!$A:$M,12,0)</f>
        <v>28</v>
      </c>
      <c r="G355" s="4">
        <f>VLOOKUP($A355,[1]彩含分析60315!$A:$M,13,0)</f>
        <v>26</v>
      </c>
      <c r="H355" s="4" t="s">
        <v>10</v>
      </c>
      <c r="I355" s="3" t="s">
        <v>705</v>
      </c>
    </row>
    <row r="356" customHeight="1" spans="1:9">
      <c r="A356" s="4" t="s">
        <v>706</v>
      </c>
      <c r="B356" s="4">
        <f>VLOOKUP($A356,[1]彩含分析60315!$A:$M,8,0)</f>
        <v>90</v>
      </c>
      <c r="C356" s="4">
        <f>VLOOKUP($A356,[1]彩含分析60315!$A:$M,9,0)</f>
        <v>86</v>
      </c>
      <c r="D356" s="4">
        <f>VLOOKUP($A356,[1]彩含分析60315!$A:$M,10,0)</f>
        <v>83</v>
      </c>
      <c r="E356" s="4">
        <f>VLOOKUP($A356,[1]彩含分析60315!$A:$M,11,0)</f>
        <v>80</v>
      </c>
      <c r="F356" s="4">
        <f>VLOOKUP($A356,[1]彩含分析60315!$A:$M,12,0)</f>
        <v>76</v>
      </c>
      <c r="G356" s="4">
        <f>VLOOKUP($A356,[1]彩含分析60315!$A:$M,13,0)</f>
        <v>73</v>
      </c>
      <c r="H356" s="4" t="s">
        <v>10</v>
      </c>
      <c r="I356" s="3" t="s">
        <v>616</v>
      </c>
    </row>
    <row r="357" customHeight="1" spans="1:9">
      <c r="A357" s="4" t="s">
        <v>707</v>
      </c>
      <c r="B357" s="4">
        <f>VLOOKUP($A357,[1]彩含分析60315!$A:$M,8,0)</f>
        <v>63</v>
      </c>
      <c r="C357" s="4">
        <f>VLOOKUP($A357,[1]彩含分析60315!$A:$M,9,0)</f>
        <v>62</v>
      </c>
      <c r="D357" s="4">
        <f>VLOOKUP($A357,[1]彩含分析60315!$A:$M,10,0)</f>
        <v>61</v>
      </c>
      <c r="E357" s="4">
        <f>VLOOKUP($A357,[1]彩含分析60315!$A:$M,11,0)</f>
        <v>60</v>
      </c>
      <c r="F357" s="4">
        <f>VLOOKUP($A357,[1]彩含分析60315!$A:$M,12,0)</f>
        <v>60</v>
      </c>
      <c r="G357" s="4">
        <f>VLOOKUP($A357,[1]彩含分析60315!$A:$M,13,0)</f>
        <v>59</v>
      </c>
      <c r="H357" s="4" t="s">
        <v>39</v>
      </c>
      <c r="I357" s="3" t="s">
        <v>708</v>
      </c>
    </row>
    <row r="358" customHeight="1" spans="1:9">
      <c r="A358" s="4" t="s">
        <v>709</v>
      </c>
      <c r="B358" s="4">
        <f>VLOOKUP($A358,[1]彩含分析60315!$A:$M,8,0)</f>
        <v>50</v>
      </c>
      <c r="C358" s="4">
        <f>VLOOKUP($A358,[1]彩含分析60315!$A:$M,9,0)</f>
        <v>49</v>
      </c>
      <c r="D358" s="4">
        <f>VLOOKUP($A358,[1]彩含分析60315!$A:$M,10,0)</f>
        <v>48</v>
      </c>
      <c r="E358" s="4">
        <f>VLOOKUP($A358,[1]彩含分析60315!$A:$M,11,0)</f>
        <v>47</v>
      </c>
      <c r="F358" s="4">
        <f>VLOOKUP($A358,[1]彩含分析60315!$A:$M,12,0)</f>
        <v>47</v>
      </c>
      <c r="G358" s="4">
        <f>VLOOKUP($A358,[1]彩含分析60315!$A:$M,13,0)</f>
        <v>46</v>
      </c>
      <c r="H358" s="4" t="s">
        <v>39</v>
      </c>
      <c r="I358" s="3" t="s">
        <v>710</v>
      </c>
    </row>
    <row r="359" customHeight="1" spans="1:9">
      <c r="A359" s="4" t="s">
        <v>711</v>
      </c>
      <c r="B359" s="4">
        <f>VLOOKUP($A359,[1]彩含分析60315!$A:$M,8,0)</f>
        <v>204</v>
      </c>
      <c r="C359" s="4">
        <f>VLOOKUP($A359,[1]彩含分析60315!$A:$M,9,0)</f>
        <v>197</v>
      </c>
      <c r="D359" s="4">
        <f>VLOOKUP($A359,[1]彩含分析60315!$A:$M,10,0)</f>
        <v>189</v>
      </c>
      <c r="E359" s="4">
        <f>VLOOKUP($A359,[1]彩含分析60315!$A:$M,11,0)</f>
        <v>182</v>
      </c>
      <c r="F359" s="4">
        <f>VLOOKUP($A359,[1]彩含分析60315!$A:$M,12,0)</f>
        <v>174</v>
      </c>
      <c r="G359" s="4">
        <f>VLOOKUP($A359,[1]彩含分析60315!$A:$M,13,0)</f>
        <v>167</v>
      </c>
      <c r="H359" s="4" t="s">
        <v>10</v>
      </c>
      <c r="I359" s="3" t="s">
        <v>712</v>
      </c>
    </row>
    <row r="360" customHeight="1" spans="1:9">
      <c r="A360" s="4" t="s">
        <v>713</v>
      </c>
      <c r="B360" s="4">
        <f>VLOOKUP($A360,[1]彩含分析60315!$A:$M,8,0)</f>
        <v>31</v>
      </c>
      <c r="C360" s="4">
        <f>VLOOKUP($A360,[1]彩含分析60315!$A:$M,9,0)</f>
        <v>30</v>
      </c>
      <c r="D360" s="4">
        <f>VLOOKUP($A360,[1]彩含分析60315!$A:$M,10,0)</f>
        <v>29</v>
      </c>
      <c r="E360" s="4">
        <f>VLOOKUP($A360,[1]彩含分析60315!$A:$M,11,0)</f>
        <v>28</v>
      </c>
      <c r="F360" s="4">
        <f>VLOOKUP($A360,[1]彩含分析60315!$A:$M,12,0)</f>
        <v>26</v>
      </c>
      <c r="G360" s="4">
        <f>VLOOKUP($A360,[1]彩含分析60315!$A:$M,13,0)</f>
        <v>25</v>
      </c>
      <c r="H360" s="4" t="s">
        <v>10</v>
      </c>
      <c r="I360" s="3" t="s">
        <v>714</v>
      </c>
    </row>
    <row r="361" customHeight="1" spans="1:9">
      <c r="A361" s="4" t="s">
        <v>715</v>
      </c>
      <c r="B361" s="4">
        <f>VLOOKUP($A361,[1]彩含分析60315!$A:$M,8,0)</f>
        <v>179</v>
      </c>
      <c r="C361" s="4">
        <f>VLOOKUP($A361,[1]彩含分析60315!$A:$M,9,0)</f>
        <v>176</v>
      </c>
      <c r="D361" s="4">
        <f>VLOOKUP($A361,[1]彩含分析60315!$A:$M,10,0)</f>
        <v>173</v>
      </c>
      <c r="E361" s="4">
        <f>VLOOKUP($A361,[1]彩含分析60315!$A:$M,11,0)</f>
        <v>170</v>
      </c>
      <c r="F361" s="4">
        <f>VLOOKUP($A361,[1]彩含分析60315!$A:$M,12,0)</f>
        <v>169</v>
      </c>
      <c r="G361" s="4">
        <f>VLOOKUP($A361,[1]彩含分析60315!$A:$M,13,0)</f>
        <v>166</v>
      </c>
      <c r="H361" s="4" t="s">
        <v>39</v>
      </c>
      <c r="I361" s="3" t="s">
        <v>716</v>
      </c>
    </row>
    <row r="362" customHeight="1" spans="1:9">
      <c r="A362" s="4" t="s">
        <v>717</v>
      </c>
      <c r="B362" s="4">
        <f>VLOOKUP($A362,[1]彩含分析60315!$A:$M,8,0)</f>
        <v>40</v>
      </c>
      <c r="C362" s="4">
        <f>VLOOKUP($A362,[1]彩含分析60315!$A:$M,9,0)</f>
        <v>39</v>
      </c>
      <c r="D362" s="4">
        <f>VLOOKUP($A362,[1]彩含分析60315!$A:$M,10,0)</f>
        <v>37</v>
      </c>
      <c r="E362" s="4">
        <f>VLOOKUP($A362,[1]彩含分析60315!$A:$M,11,0)</f>
        <v>36</v>
      </c>
      <c r="F362" s="4">
        <f>VLOOKUP($A362,[1]彩含分析60315!$A:$M,12,0)</f>
        <v>34</v>
      </c>
      <c r="G362" s="4">
        <f>VLOOKUP($A362,[1]彩含分析60315!$A:$M,13,0)</f>
        <v>33</v>
      </c>
      <c r="H362" s="4" t="s">
        <v>10</v>
      </c>
      <c r="I362" s="3" t="s">
        <v>718</v>
      </c>
    </row>
    <row r="363" customHeight="1" spans="1:9">
      <c r="A363" s="4" t="s">
        <v>719</v>
      </c>
      <c r="B363" s="4">
        <f>VLOOKUP($A363,[1]彩含分析60315!$A:$M,8,0)</f>
        <v>46</v>
      </c>
      <c r="C363" s="4">
        <f>VLOOKUP($A363,[1]彩含分析60315!$A:$M,9,0)</f>
        <v>44</v>
      </c>
      <c r="D363" s="4">
        <f>VLOOKUP($A363,[1]彩含分析60315!$A:$M,10,0)</f>
        <v>43</v>
      </c>
      <c r="E363" s="4">
        <f>VLOOKUP($A363,[1]彩含分析60315!$A:$M,11,0)</f>
        <v>41</v>
      </c>
      <c r="F363" s="4">
        <f>VLOOKUP($A363,[1]彩含分析60315!$A:$M,12,0)</f>
        <v>39</v>
      </c>
      <c r="G363" s="4">
        <f>VLOOKUP($A363,[1]彩含分析60315!$A:$M,13,0)</f>
        <v>38</v>
      </c>
      <c r="H363" s="4" t="s">
        <v>10</v>
      </c>
      <c r="I363" s="3" t="s">
        <v>720</v>
      </c>
    </row>
    <row r="364" customHeight="1" spans="1:9">
      <c r="A364" s="4" t="s">
        <v>721</v>
      </c>
      <c r="B364" s="4">
        <f>VLOOKUP($A364,[1]彩含分析60315!$A:$M,8,0)</f>
        <v>38</v>
      </c>
      <c r="C364" s="4">
        <f>VLOOKUP($A364,[1]彩含分析60315!$A:$M,9,0)</f>
        <v>36</v>
      </c>
      <c r="D364" s="4">
        <f>VLOOKUP($A364,[1]彩含分析60315!$A:$M,10,0)</f>
        <v>35</v>
      </c>
      <c r="E364" s="4">
        <f>VLOOKUP($A364,[1]彩含分析60315!$A:$M,11,0)</f>
        <v>34</v>
      </c>
      <c r="F364" s="4">
        <f>VLOOKUP($A364,[1]彩含分析60315!$A:$M,12,0)</f>
        <v>32</v>
      </c>
      <c r="G364" s="4">
        <f>VLOOKUP($A364,[1]彩含分析60315!$A:$M,13,0)</f>
        <v>31</v>
      </c>
      <c r="H364" s="4" t="s">
        <v>10</v>
      </c>
      <c r="I364" s="3" t="s">
        <v>722</v>
      </c>
    </row>
    <row r="365" customHeight="1" spans="1:9">
      <c r="A365" s="4" t="s">
        <v>723</v>
      </c>
      <c r="B365" s="4">
        <f>VLOOKUP($A365,[1]彩含分析60315!$A:$M,8,0)</f>
        <v>59</v>
      </c>
      <c r="C365" s="4">
        <f>VLOOKUP($A365,[1]彩含分析60315!$A:$M,9,0)</f>
        <v>58</v>
      </c>
      <c r="D365" s="4">
        <f>VLOOKUP($A365,[1]彩含分析60315!$A:$M,10,0)</f>
        <v>57</v>
      </c>
      <c r="E365" s="4">
        <f>VLOOKUP($A365,[1]彩含分析60315!$A:$M,11,0)</f>
        <v>56</v>
      </c>
      <c r="F365" s="4">
        <f>VLOOKUP($A365,[1]彩含分析60315!$A:$M,12,0)</f>
        <v>55</v>
      </c>
      <c r="G365" s="4">
        <f>VLOOKUP($A365,[1]彩含分析60315!$A:$M,13,0)</f>
        <v>54</v>
      </c>
      <c r="H365" s="4" t="s">
        <v>39</v>
      </c>
      <c r="I365" s="3" t="s">
        <v>724</v>
      </c>
    </row>
    <row r="366" customHeight="1" spans="1:9">
      <c r="A366" s="4" t="s">
        <v>725</v>
      </c>
      <c r="B366" s="4">
        <f>VLOOKUP($A366,[1]彩含分析60315!$A:$M,8,0)</f>
        <v>56</v>
      </c>
      <c r="C366" s="4">
        <f>VLOOKUP($A366,[1]彩含分析60315!$A:$M,9,0)</f>
        <v>54</v>
      </c>
      <c r="D366" s="4">
        <f>VLOOKUP($A366,[1]彩含分析60315!$A:$M,10,0)</f>
        <v>52</v>
      </c>
      <c r="E366" s="4">
        <f>VLOOKUP($A366,[1]彩含分析60315!$A:$M,11,0)</f>
        <v>50</v>
      </c>
      <c r="F366" s="4">
        <f>VLOOKUP($A366,[1]彩含分析60315!$A:$M,12,0)</f>
        <v>48</v>
      </c>
      <c r="G366" s="4">
        <f>VLOOKUP($A366,[1]彩含分析60315!$A:$M,13,0)</f>
        <v>46</v>
      </c>
      <c r="H366" s="4" t="s">
        <v>10</v>
      </c>
      <c r="I366" s="3" t="s">
        <v>726</v>
      </c>
    </row>
    <row r="367" customHeight="1" spans="1:9">
      <c r="A367" s="4" t="s">
        <v>727</v>
      </c>
      <c r="B367" s="4">
        <f>VLOOKUP($A367,[1]彩含分析60315!$A:$M,8,0)</f>
        <v>122</v>
      </c>
      <c r="C367" s="4">
        <f>VLOOKUP($A367,[1]彩含分析60315!$A:$M,9,0)</f>
        <v>120</v>
      </c>
      <c r="D367" s="4">
        <f>VLOOKUP($A367,[1]彩含分析60315!$A:$M,10,0)</f>
        <v>118</v>
      </c>
      <c r="E367" s="4">
        <f>VLOOKUP($A367,[1]彩含分析60315!$A:$M,11,0)</f>
        <v>116</v>
      </c>
      <c r="F367" s="4">
        <f>VLOOKUP($A367,[1]彩含分析60315!$A:$M,12,0)</f>
        <v>115</v>
      </c>
      <c r="G367" s="4">
        <f>VLOOKUP($A367,[1]彩含分析60315!$A:$M,13,0)</f>
        <v>113</v>
      </c>
      <c r="H367" s="4" t="s">
        <v>39</v>
      </c>
      <c r="I367" s="3" t="s">
        <v>728</v>
      </c>
    </row>
    <row r="368" customHeight="1" spans="1:9">
      <c r="A368" s="4" t="s">
        <v>729</v>
      </c>
      <c r="B368" s="4">
        <f>VLOOKUP($A368,[1]彩含分析60315!$A:$M,8,0)</f>
        <v>33</v>
      </c>
      <c r="C368" s="4">
        <f>VLOOKUP($A368,[1]彩含分析60315!$A:$M,9,0)</f>
        <v>32</v>
      </c>
      <c r="D368" s="4">
        <f>VLOOKUP($A368,[1]彩含分析60315!$A:$M,10,0)</f>
        <v>31</v>
      </c>
      <c r="E368" s="4">
        <f>VLOOKUP($A368,[1]彩含分析60315!$A:$M,11,0)</f>
        <v>30</v>
      </c>
      <c r="F368" s="4">
        <f>VLOOKUP($A368,[1]彩含分析60315!$A:$M,12,0)</f>
        <v>28</v>
      </c>
      <c r="G368" s="4">
        <f>VLOOKUP($A368,[1]彩含分析60315!$A:$M,13,0)</f>
        <v>27</v>
      </c>
      <c r="H368" s="4" t="s">
        <v>10</v>
      </c>
      <c r="I368" s="3" t="s">
        <v>730</v>
      </c>
    </row>
    <row r="369" customHeight="1" spans="1:9">
      <c r="A369" s="4" t="s">
        <v>731</v>
      </c>
      <c r="B369" s="4">
        <f>VLOOKUP($A369,[1]彩含分析60315!$A:$M,8,0)</f>
        <v>27</v>
      </c>
      <c r="C369" s="4">
        <f>VLOOKUP($A369,[1]彩含分析60315!$A:$M,9,0)</f>
        <v>26</v>
      </c>
      <c r="D369" s="4">
        <f>VLOOKUP($A369,[1]彩含分析60315!$A:$M,10,0)</f>
        <v>25</v>
      </c>
      <c r="E369" s="4">
        <f>VLOOKUP($A369,[1]彩含分析60315!$A:$M,11,0)</f>
        <v>24</v>
      </c>
      <c r="F369" s="4">
        <f>VLOOKUP($A369,[1]彩含分析60315!$A:$M,12,0)</f>
        <v>23</v>
      </c>
      <c r="G369" s="4">
        <f>VLOOKUP($A369,[1]彩含分析60315!$A:$M,13,0)</f>
        <v>22</v>
      </c>
      <c r="H369" s="4" t="s">
        <v>10</v>
      </c>
      <c r="I369" s="3" t="s">
        <v>732</v>
      </c>
    </row>
    <row r="370" customHeight="1" spans="1:9">
      <c r="A370" s="4" t="s">
        <v>733</v>
      </c>
      <c r="B370" s="4">
        <f>VLOOKUP($A370,[1]彩含分析60315!$A:$M,8,0)</f>
        <v>34</v>
      </c>
      <c r="C370" s="4">
        <f>VLOOKUP($A370,[1]彩含分析60315!$A:$M,9,0)</f>
        <v>33</v>
      </c>
      <c r="D370" s="4">
        <f>VLOOKUP($A370,[1]彩含分析60315!$A:$M,10,0)</f>
        <v>31</v>
      </c>
      <c r="E370" s="4">
        <f>VLOOKUP($A370,[1]彩含分析60315!$A:$M,11,0)</f>
        <v>30</v>
      </c>
      <c r="F370" s="4">
        <f>VLOOKUP($A370,[1]彩含分析60315!$A:$M,12,0)</f>
        <v>29</v>
      </c>
      <c r="G370" s="4">
        <f>VLOOKUP($A370,[1]彩含分析60315!$A:$M,13,0)</f>
        <v>28</v>
      </c>
      <c r="H370" s="4" t="s">
        <v>10</v>
      </c>
      <c r="I370" s="3" t="s">
        <v>734</v>
      </c>
    </row>
    <row r="371" customHeight="1" spans="1:9">
      <c r="A371" s="4" t="s">
        <v>735</v>
      </c>
      <c r="B371" s="4">
        <f>VLOOKUP($A371,[1]彩含分析60315!$A:$M,8,0)</f>
        <v>65</v>
      </c>
      <c r="C371" s="4">
        <f>VLOOKUP($A371,[1]彩含分析60315!$A:$M,9,0)</f>
        <v>63</v>
      </c>
      <c r="D371" s="4">
        <f>VLOOKUP($A371,[1]彩含分析60315!$A:$M,10,0)</f>
        <v>60</v>
      </c>
      <c r="E371" s="4">
        <f>VLOOKUP($A371,[1]彩含分析60315!$A:$M,11,0)</f>
        <v>58</v>
      </c>
      <c r="F371" s="4">
        <f>VLOOKUP($A371,[1]彩含分析60315!$A:$M,12,0)</f>
        <v>55</v>
      </c>
      <c r="G371" s="4">
        <f>VLOOKUP($A371,[1]彩含分析60315!$A:$M,13,0)</f>
        <v>53</v>
      </c>
      <c r="H371" s="4" t="s">
        <v>10</v>
      </c>
      <c r="I371" s="3" t="s">
        <v>736</v>
      </c>
    </row>
    <row r="372" customHeight="1" spans="1:9">
      <c r="A372" s="4" t="s">
        <v>737</v>
      </c>
      <c r="B372" s="4">
        <f>VLOOKUP($A372,[1]彩含分析60315!$A:$M,8,0)</f>
        <v>42</v>
      </c>
      <c r="C372" s="4">
        <f>VLOOKUP($A372,[1]彩含分析60315!$A:$M,9,0)</f>
        <v>41</v>
      </c>
      <c r="D372" s="4">
        <f>VLOOKUP($A372,[1]彩含分析60315!$A:$M,10,0)</f>
        <v>39</v>
      </c>
      <c r="E372" s="4">
        <f>VLOOKUP($A372,[1]彩含分析60315!$A:$M,11,0)</f>
        <v>38</v>
      </c>
      <c r="F372" s="4">
        <f>VLOOKUP($A372,[1]彩含分析60315!$A:$M,12,0)</f>
        <v>36</v>
      </c>
      <c r="G372" s="4">
        <f>VLOOKUP($A372,[1]彩含分析60315!$A:$M,13,0)</f>
        <v>35</v>
      </c>
      <c r="H372" s="4" t="s">
        <v>10</v>
      </c>
      <c r="I372" s="3" t="s">
        <v>738</v>
      </c>
    </row>
    <row r="373" customHeight="1" spans="1:9">
      <c r="A373" s="4" t="s">
        <v>739</v>
      </c>
      <c r="B373" s="4">
        <f>VLOOKUP($A373,[1]彩含分析60315!$A:$M,8,0)</f>
        <v>81</v>
      </c>
      <c r="C373" s="4">
        <f>VLOOKUP($A373,[1]彩含分析60315!$A:$M,9,0)</f>
        <v>78</v>
      </c>
      <c r="D373" s="4">
        <f>VLOOKUP($A373,[1]彩含分析60315!$A:$M,10,0)</f>
        <v>75</v>
      </c>
      <c r="E373" s="4">
        <f>VLOOKUP($A373,[1]彩含分析60315!$A:$M,11,0)</f>
        <v>72</v>
      </c>
      <c r="F373" s="4">
        <f>VLOOKUP($A373,[1]彩含分析60315!$A:$M,12,0)</f>
        <v>69</v>
      </c>
      <c r="G373" s="4">
        <f>VLOOKUP($A373,[1]彩含分析60315!$A:$M,13,0)</f>
        <v>66</v>
      </c>
      <c r="H373" s="4" t="s">
        <v>10</v>
      </c>
      <c r="I373" s="3" t="s">
        <v>740</v>
      </c>
    </row>
    <row r="374" customHeight="1" spans="1:9">
      <c r="A374" s="4" t="s">
        <v>741</v>
      </c>
      <c r="B374" s="4">
        <f>VLOOKUP($A374,[1]彩含分析60315!$A:$M,8,0)</f>
        <v>40</v>
      </c>
      <c r="C374" s="4">
        <f>VLOOKUP($A374,[1]彩含分析60315!$A:$M,9,0)</f>
        <v>38</v>
      </c>
      <c r="D374" s="4">
        <f>VLOOKUP($A374,[1]彩含分析60315!$A:$M,10,0)</f>
        <v>37</v>
      </c>
      <c r="E374" s="4">
        <f>VLOOKUP($A374,[1]彩含分析60315!$A:$M,11,0)</f>
        <v>35</v>
      </c>
      <c r="F374" s="4">
        <f>VLOOKUP($A374,[1]彩含分析60315!$A:$M,12,0)</f>
        <v>34</v>
      </c>
      <c r="G374" s="4">
        <f>VLOOKUP($A374,[1]彩含分析60315!$A:$M,13,0)</f>
        <v>33</v>
      </c>
      <c r="H374" s="4" t="s">
        <v>10</v>
      </c>
      <c r="I374" s="3" t="s">
        <v>742</v>
      </c>
    </row>
    <row r="375" customHeight="1" spans="1:9">
      <c r="A375" s="4" t="s">
        <v>743</v>
      </c>
      <c r="B375" s="4">
        <f>VLOOKUP($A375,[1]彩含分析60315!$A:$M,8,0)</f>
        <v>73</v>
      </c>
      <c r="C375" s="4">
        <f>VLOOKUP($A375,[1]彩含分析60315!$A:$M,9,0)</f>
        <v>72</v>
      </c>
      <c r="D375" s="4">
        <f>VLOOKUP($A375,[1]彩含分析60315!$A:$M,10,0)</f>
        <v>70</v>
      </c>
      <c r="E375" s="4">
        <f>VLOOKUP($A375,[1]彩含分析60315!$A:$M,11,0)</f>
        <v>69</v>
      </c>
      <c r="F375" s="4">
        <f>VLOOKUP($A375,[1]彩含分析60315!$A:$M,12,0)</f>
        <v>69</v>
      </c>
      <c r="G375" s="4">
        <f>VLOOKUP($A375,[1]彩含分析60315!$A:$M,13,0)</f>
        <v>67</v>
      </c>
      <c r="H375" s="4" t="s">
        <v>39</v>
      </c>
      <c r="I375" s="3" t="s">
        <v>744</v>
      </c>
    </row>
    <row r="376" customHeight="1" spans="1:9">
      <c r="A376" s="4" t="s">
        <v>745</v>
      </c>
      <c r="B376" s="4">
        <f>VLOOKUP($A376,[1]彩含分析60315!$A:$M,8,0)</f>
        <v>71</v>
      </c>
      <c r="C376" s="4">
        <f>VLOOKUP($A376,[1]彩含分析60315!$A:$M,9,0)</f>
        <v>70</v>
      </c>
      <c r="D376" s="4">
        <f>VLOOKUP($A376,[1]彩含分析60315!$A:$M,10,0)</f>
        <v>69</v>
      </c>
      <c r="E376" s="4">
        <f>VLOOKUP($A376,[1]彩含分析60315!$A:$M,11,0)</f>
        <v>68</v>
      </c>
      <c r="F376" s="4">
        <f>VLOOKUP($A376,[1]彩含分析60315!$A:$M,12,0)</f>
        <v>67</v>
      </c>
      <c r="G376" s="4">
        <f>VLOOKUP($A376,[1]彩含分析60315!$A:$M,13,0)</f>
        <v>66</v>
      </c>
      <c r="H376" s="4" t="s">
        <v>39</v>
      </c>
      <c r="I376" s="3" t="s">
        <v>746</v>
      </c>
    </row>
    <row r="377" customHeight="1" spans="1:9">
      <c r="A377" s="4" t="s">
        <v>747</v>
      </c>
      <c r="B377" s="4">
        <f>VLOOKUP($A377,[1]彩含分析60315!$A:$M,8,0)</f>
        <v>47</v>
      </c>
      <c r="C377" s="4">
        <f>VLOOKUP($A377,[1]彩含分析60315!$A:$M,9,0)</f>
        <v>45</v>
      </c>
      <c r="D377" s="4">
        <f>VLOOKUP($A377,[1]彩含分析60315!$A:$M,10,0)</f>
        <v>43</v>
      </c>
      <c r="E377" s="4">
        <f>VLOOKUP($A377,[1]彩含分析60315!$A:$M,11,0)</f>
        <v>42</v>
      </c>
      <c r="F377" s="4">
        <f>VLOOKUP($A377,[1]彩含分析60315!$A:$M,12,0)</f>
        <v>40</v>
      </c>
      <c r="G377" s="4">
        <f>VLOOKUP($A377,[1]彩含分析60315!$A:$M,13,0)</f>
        <v>38</v>
      </c>
      <c r="H377" s="4" t="s">
        <v>10</v>
      </c>
      <c r="I377" s="3" t="s">
        <v>748</v>
      </c>
    </row>
    <row r="378" customHeight="1" spans="1:9">
      <c r="A378" s="4" t="s">
        <v>749</v>
      </c>
      <c r="B378" s="4">
        <f>VLOOKUP($A378,[1]彩含分析60315!$A:$M,8,0)</f>
        <v>46</v>
      </c>
      <c r="C378" s="4">
        <f>VLOOKUP($A378,[1]彩含分析60315!$A:$M,9,0)</f>
        <v>46</v>
      </c>
      <c r="D378" s="4">
        <f>VLOOKUP($A378,[1]彩含分析60315!$A:$M,10,0)</f>
        <v>45</v>
      </c>
      <c r="E378" s="4">
        <f>VLOOKUP($A378,[1]彩含分析60315!$A:$M,11,0)</f>
        <v>44</v>
      </c>
      <c r="F378" s="4">
        <f>VLOOKUP($A378,[1]彩含分析60315!$A:$M,12,0)</f>
        <v>44</v>
      </c>
      <c r="G378" s="4">
        <f>VLOOKUP($A378,[1]彩含分析60315!$A:$M,13,0)</f>
        <v>43</v>
      </c>
      <c r="H378" s="4" t="s">
        <v>39</v>
      </c>
      <c r="I378" s="3" t="s">
        <v>750</v>
      </c>
    </row>
    <row r="379" customHeight="1" spans="1:9">
      <c r="A379" s="4" t="s">
        <v>751</v>
      </c>
      <c r="B379" s="4">
        <f>VLOOKUP($A379,[1]彩含分析60315!$A:$M,8,0)</f>
        <v>46</v>
      </c>
      <c r="C379" s="4">
        <f>VLOOKUP($A379,[1]彩含分析60315!$A:$M,9,0)</f>
        <v>44</v>
      </c>
      <c r="D379" s="4">
        <f>VLOOKUP($A379,[1]彩含分析60315!$A:$M,10,0)</f>
        <v>43</v>
      </c>
      <c r="E379" s="4">
        <f>VLOOKUP($A379,[1]彩含分析60315!$A:$M,11,0)</f>
        <v>41</v>
      </c>
      <c r="F379" s="4">
        <f>VLOOKUP($A379,[1]彩含分析60315!$A:$M,12,0)</f>
        <v>39</v>
      </c>
      <c r="G379" s="4">
        <f>VLOOKUP($A379,[1]彩含分析60315!$A:$M,13,0)</f>
        <v>38</v>
      </c>
      <c r="H379" s="4" t="s">
        <v>10</v>
      </c>
      <c r="I379" s="3" t="s">
        <v>752</v>
      </c>
    </row>
    <row r="380" customHeight="1" spans="1:9">
      <c r="A380" s="4" t="s">
        <v>753</v>
      </c>
      <c r="B380" s="4">
        <f>VLOOKUP($A380,[1]彩含分析60315!$A:$M,8,0)</f>
        <v>66</v>
      </c>
      <c r="C380" s="4">
        <f>VLOOKUP($A380,[1]彩含分析60315!$A:$M,9,0)</f>
        <v>65</v>
      </c>
      <c r="D380" s="4">
        <f>VLOOKUP($A380,[1]彩含分析60315!$A:$M,10,0)</f>
        <v>64</v>
      </c>
      <c r="E380" s="4">
        <f>VLOOKUP($A380,[1]彩含分析60315!$A:$M,11,0)</f>
        <v>62</v>
      </c>
      <c r="F380" s="4">
        <f>VLOOKUP($A380,[1]彩含分析60315!$A:$M,12,0)</f>
        <v>62</v>
      </c>
      <c r="G380" s="4">
        <f>VLOOKUP($A380,[1]彩含分析60315!$A:$M,13,0)</f>
        <v>61</v>
      </c>
      <c r="H380" s="4" t="s">
        <v>39</v>
      </c>
      <c r="I380" s="3" t="s">
        <v>754</v>
      </c>
    </row>
    <row r="381" customHeight="1" spans="1:9">
      <c r="A381" s="4" t="s">
        <v>755</v>
      </c>
      <c r="B381" s="4">
        <f>VLOOKUP($A381,[1]彩含分析60315!$A:$M,8,0)</f>
        <v>24</v>
      </c>
      <c r="C381" s="4">
        <f>VLOOKUP($A381,[1]彩含分析60315!$A:$M,9,0)</f>
        <v>23</v>
      </c>
      <c r="D381" s="4">
        <f>VLOOKUP($A381,[1]彩含分析60315!$A:$M,10,0)</f>
        <v>22</v>
      </c>
      <c r="E381" s="4">
        <f>VLOOKUP($A381,[1]彩含分析60315!$A:$M,11,0)</f>
        <v>21</v>
      </c>
      <c r="F381" s="4">
        <f>VLOOKUP($A381,[1]彩含分析60315!$A:$M,12,0)</f>
        <v>20</v>
      </c>
      <c r="G381" s="4">
        <f>VLOOKUP($A381,[1]彩含分析60315!$A:$M,13,0)</f>
        <v>19</v>
      </c>
      <c r="H381" s="4" t="s">
        <v>10</v>
      </c>
      <c r="I381" s="3" t="s">
        <v>756</v>
      </c>
    </row>
    <row r="382" customHeight="1" spans="1:9">
      <c r="A382" s="4" t="s">
        <v>757</v>
      </c>
      <c r="B382" s="4">
        <f>VLOOKUP($A382,[1]彩含分析60315!$A:$M,8,0)</f>
        <v>46</v>
      </c>
      <c r="C382" s="4">
        <f>VLOOKUP($A382,[1]彩含分析60315!$A:$M,9,0)</f>
        <v>46</v>
      </c>
      <c r="D382" s="4">
        <f>VLOOKUP($A382,[1]彩含分析60315!$A:$M,10,0)</f>
        <v>45</v>
      </c>
      <c r="E382" s="4">
        <f>VLOOKUP($A382,[1]彩含分析60315!$A:$M,11,0)</f>
        <v>44</v>
      </c>
      <c r="F382" s="4">
        <f>VLOOKUP($A382,[1]彩含分析60315!$A:$M,12,0)</f>
        <v>44</v>
      </c>
      <c r="G382" s="4">
        <f>VLOOKUP($A382,[1]彩含分析60315!$A:$M,13,0)</f>
        <v>43</v>
      </c>
      <c r="H382" s="4" t="s">
        <v>39</v>
      </c>
      <c r="I382" s="3" t="s">
        <v>758</v>
      </c>
    </row>
    <row r="383" customHeight="1" spans="1:9">
      <c r="A383" s="4" t="s">
        <v>759</v>
      </c>
      <c r="B383" s="4">
        <f>VLOOKUP($A383,[1]彩含分析60315!$A:$M,8,0)</f>
        <v>33</v>
      </c>
      <c r="C383" s="4">
        <f>VLOOKUP($A383,[1]彩含分析60315!$A:$M,9,0)</f>
        <v>32</v>
      </c>
      <c r="D383" s="4">
        <f>VLOOKUP($A383,[1]彩含分析60315!$A:$M,10,0)</f>
        <v>31</v>
      </c>
      <c r="E383" s="4">
        <f>VLOOKUP($A383,[1]彩含分析60315!$A:$M,11,0)</f>
        <v>29</v>
      </c>
      <c r="F383" s="4">
        <f>VLOOKUP($A383,[1]彩含分析60315!$A:$M,12,0)</f>
        <v>28</v>
      </c>
      <c r="G383" s="4">
        <f>VLOOKUP($A383,[1]彩含分析60315!$A:$M,13,0)</f>
        <v>27</v>
      </c>
      <c r="H383" s="4" t="s">
        <v>10</v>
      </c>
      <c r="I383" s="3" t="s">
        <v>760</v>
      </c>
    </row>
    <row r="384" customHeight="1" spans="1:9">
      <c r="A384" s="4" t="s">
        <v>761</v>
      </c>
      <c r="B384" s="4">
        <f>VLOOKUP($A384,[1]彩含分析60315!$A:$M,8,0)</f>
        <v>41</v>
      </c>
      <c r="C384" s="4">
        <f>VLOOKUP($A384,[1]彩含分析60315!$A:$M,9,0)</f>
        <v>39</v>
      </c>
      <c r="D384" s="4">
        <f>VLOOKUP($A384,[1]彩含分析60315!$A:$M,10,0)</f>
        <v>38</v>
      </c>
      <c r="E384" s="4">
        <f>VLOOKUP($A384,[1]彩含分析60315!$A:$M,11,0)</f>
        <v>36</v>
      </c>
      <c r="F384" s="4">
        <f>VLOOKUP($A384,[1]彩含分析60315!$A:$M,12,0)</f>
        <v>35</v>
      </c>
      <c r="G384" s="4">
        <f>VLOOKUP($A384,[1]彩含分析60315!$A:$M,13,0)</f>
        <v>33</v>
      </c>
      <c r="H384" s="4" t="s">
        <v>10</v>
      </c>
      <c r="I384" s="3" t="s">
        <v>762</v>
      </c>
    </row>
    <row r="385" customHeight="1" spans="1:9">
      <c r="A385" s="4" t="s">
        <v>763</v>
      </c>
      <c r="B385" s="4">
        <f>VLOOKUP($A385,[1]彩含分析60315!$A:$M,8,0)</f>
        <v>67</v>
      </c>
      <c r="C385" s="4">
        <f>VLOOKUP($A385,[1]彩含分析60315!$A:$M,9,0)</f>
        <v>64</v>
      </c>
      <c r="D385" s="4">
        <f>VLOOKUP($A385,[1]彩含分析60315!$A:$M,10,0)</f>
        <v>62</v>
      </c>
      <c r="E385" s="4">
        <f>VLOOKUP($A385,[1]彩含分析60315!$A:$M,11,0)</f>
        <v>59</v>
      </c>
      <c r="F385" s="4">
        <f>VLOOKUP($A385,[1]彩含分析60315!$A:$M,12,0)</f>
        <v>57</v>
      </c>
      <c r="G385" s="4">
        <f>VLOOKUP($A385,[1]彩含分析60315!$A:$M,13,0)</f>
        <v>54</v>
      </c>
      <c r="H385" s="4" t="s">
        <v>10</v>
      </c>
      <c r="I385" s="3" t="s">
        <v>764</v>
      </c>
    </row>
    <row r="386" customHeight="1" spans="1:9">
      <c r="A386" s="4" t="s">
        <v>765</v>
      </c>
      <c r="B386" s="4">
        <f>VLOOKUP($A386,[1]彩含分析60315!$A:$M,8,0)</f>
        <v>134</v>
      </c>
      <c r="C386" s="4">
        <f>VLOOKUP($A386,[1]彩含分析60315!$A:$M,9,0)</f>
        <v>132</v>
      </c>
      <c r="D386" s="4">
        <f>VLOOKUP($A386,[1]彩含分析60315!$A:$M,10,0)</f>
        <v>129</v>
      </c>
      <c r="E386" s="4">
        <f>VLOOKUP($A386,[1]彩含分析60315!$A:$M,11,0)</f>
        <v>127</v>
      </c>
      <c r="F386" s="4">
        <f>VLOOKUP($A386,[1]彩含分析60315!$A:$M,12,0)</f>
        <v>126</v>
      </c>
      <c r="G386" s="4">
        <f>VLOOKUP($A386,[1]彩含分析60315!$A:$M,13,0)</f>
        <v>124</v>
      </c>
      <c r="H386" s="4" t="s">
        <v>39</v>
      </c>
      <c r="I386" s="3" t="s">
        <v>113</v>
      </c>
    </row>
    <row r="387" customHeight="1" spans="1:9">
      <c r="A387" s="4" t="s">
        <v>766</v>
      </c>
      <c r="B387" s="4">
        <f>VLOOKUP($A387,[1]彩含分析60315!$A:$M,8,0)</f>
        <v>44</v>
      </c>
      <c r="C387" s="4">
        <f>VLOOKUP($A387,[1]彩含分析60315!$A:$M,9,0)</f>
        <v>42</v>
      </c>
      <c r="D387" s="4">
        <f>VLOOKUP($A387,[1]彩含分析60315!$A:$M,10,0)</f>
        <v>40</v>
      </c>
      <c r="E387" s="4">
        <f>VLOOKUP($A387,[1]彩含分析60315!$A:$M,11,0)</f>
        <v>39</v>
      </c>
      <c r="F387" s="4">
        <f>VLOOKUP($A387,[1]彩含分析60315!$A:$M,12,0)</f>
        <v>37</v>
      </c>
      <c r="G387" s="4">
        <f>VLOOKUP($A387,[1]彩含分析60315!$A:$M,13,0)</f>
        <v>36</v>
      </c>
      <c r="H387" s="4" t="s">
        <v>10</v>
      </c>
      <c r="I387" s="3" t="s">
        <v>767</v>
      </c>
    </row>
    <row r="388" customHeight="1" spans="1:9">
      <c r="A388" s="4" t="s">
        <v>768</v>
      </c>
      <c r="B388" s="4">
        <f>VLOOKUP($A388,[1]彩含分析60315!$A:$M,8,0)</f>
        <v>47</v>
      </c>
      <c r="C388" s="4">
        <f>VLOOKUP($A388,[1]彩含分析60315!$A:$M,9,0)</f>
        <v>45</v>
      </c>
      <c r="D388" s="4">
        <f>VLOOKUP($A388,[1]彩含分析60315!$A:$M,10,0)</f>
        <v>43</v>
      </c>
      <c r="E388" s="4">
        <f>VLOOKUP($A388,[1]彩含分析60315!$A:$M,11,0)</f>
        <v>42</v>
      </c>
      <c r="F388" s="4">
        <f>VLOOKUP($A388,[1]彩含分析60315!$A:$M,12,0)</f>
        <v>40</v>
      </c>
      <c r="G388" s="4">
        <f>VLOOKUP($A388,[1]彩含分析60315!$A:$M,13,0)</f>
        <v>38</v>
      </c>
      <c r="H388" s="4" t="s">
        <v>10</v>
      </c>
      <c r="I388" s="3" t="s">
        <v>769</v>
      </c>
    </row>
    <row r="389" customHeight="1" spans="1:9">
      <c r="A389" s="4" t="s">
        <v>770</v>
      </c>
      <c r="B389" s="4">
        <f>VLOOKUP($A389,[1]彩含分析60315!$A:$M,8,0)</f>
        <v>45</v>
      </c>
      <c r="C389" s="4">
        <f>VLOOKUP($A389,[1]彩含分析60315!$A:$M,9,0)</f>
        <v>43</v>
      </c>
      <c r="D389" s="4">
        <f>VLOOKUP($A389,[1]彩含分析60315!$A:$M,10,0)</f>
        <v>42</v>
      </c>
      <c r="E389" s="4">
        <f>VLOOKUP($A389,[1]彩含分析60315!$A:$M,11,0)</f>
        <v>40</v>
      </c>
      <c r="F389" s="4">
        <f>VLOOKUP($A389,[1]彩含分析60315!$A:$M,12,0)</f>
        <v>39</v>
      </c>
      <c r="G389" s="4">
        <f>VLOOKUP($A389,[1]彩含分析60315!$A:$M,13,0)</f>
        <v>37</v>
      </c>
      <c r="H389" s="4" t="s">
        <v>10</v>
      </c>
      <c r="I389" s="3" t="s">
        <v>771</v>
      </c>
    </row>
    <row r="390" customHeight="1" spans="1:9">
      <c r="A390" s="4" t="s">
        <v>772</v>
      </c>
      <c r="B390" s="4">
        <f>VLOOKUP($A390,[1]彩含分析60315!$A:$M,8,0)</f>
        <v>44</v>
      </c>
      <c r="C390" s="4">
        <f>VLOOKUP($A390,[1]彩含分析60315!$A:$M,9,0)</f>
        <v>43</v>
      </c>
      <c r="D390" s="4">
        <f>VLOOKUP($A390,[1]彩含分析60315!$A:$M,10,0)</f>
        <v>41</v>
      </c>
      <c r="E390" s="4">
        <f>VLOOKUP($A390,[1]彩含分析60315!$A:$M,11,0)</f>
        <v>39</v>
      </c>
      <c r="F390" s="4">
        <f>VLOOKUP($A390,[1]彩含分析60315!$A:$M,12,0)</f>
        <v>38</v>
      </c>
      <c r="G390" s="4">
        <f>VLOOKUP($A390,[1]彩含分析60315!$A:$M,13,0)</f>
        <v>36</v>
      </c>
      <c r="H390" s="4" t="s">
        <v>10</v>
      </c>
      <c r="I390" s="3" t="s">
        <v>773</v>
      </c>
    </row>
    <row r="391" customHeight="1" spans="1:9">
      <c r="A391" s="4" t="s">
        <v>774</v>
      </c>
      <c r="B391" s="4">
        <f>VLOOKUP($A391,[1]彩含分析60315!$A:$M,8,0)</f>
        <v>43</v>
      </c>
      <c r="C391" s="4">
        <f>VLOOKUP($A391,[1]彩含分析60315!$A:$M,9,0)</f>
        <v>42</v>
      </c>
      <c r="D391" s="4">
        <f>VLOOKUP($A391,[1]彩含分析60315!$A:$M,10,0)</f>
        <v>40</v>
      </c>
      <c r="E391" s="4">
        <f>VLOOKUP($A391,[1]彩含分析60315!$A:$M,11,0)</f>
        <v>39</v>
      </c>
      <c r="F391" s="4">
        <f>VLOOKUP($A391,[1]彩含分析60315!$A:$M,12,0)</f>
        <v>37</v>
      </c>
      <c r="G391" s="4">
        <f>VLOOKUP($A391,[1]彩含分析60315!$A:$M,13,0)</f>
        <v>35</v>
      </c>
      <c r="H391" s="4" t="s">
        <v>10</v>
      </c>
      <c r="I391" s="3" t="s">
        <v>775</v>
      </c>
    </row>
    <row r="392" customHeight="1" spans="1:9">
      <c r="A392" s="4" t="s">
        <v>776</v>
      </c>
      <c r="B392" s="4">
        <f>VLOOKUP($A392,[1]彩含分析60315!$A:$M,8,0)</f>
        <v>135</v>
      </c>
      <c r="C392" s="4">
        <f>VLOOKUP($A392,[1]彩含分析60315!$A:$M,9,0)</f>
        <v>133</v>
      </c>
      <c r="D392" s="4">
        <f>VLOOKUP($A392,[1]彩含分析60315!$A:$M,10,0)</f>
        <v>131</v>
      </c>
      <c r="E392" s="4">
        <f>VLOOKUP($A392,[1]彩含分析60315!$A:$M,11,0)</f>
        <v>128</v>
      </c>
      <c r="F392" s="4">
        <f>VLOOKUP($A392,[1]彩含分析60315!$A:$M,12,0)</f>
        <v>127</v>
      </c>
      <c r="G392" s="4">
        <f>VLOOKUP($A392,[1]彩含分析60315!$A:$M,13,0)</f>
        <v>125</v>
      </c>
      <c r="H392" s="4" t="s">
        <v>39</v>
      </c>
      <c r="I392" s="3" t="s">
        <v>616</v>
      </c>
    </row>
    <row r="393" customHeight="1" spans="1:9">
      <c r="A393" s="4" t="s">
        <v>777</v>
      </c>
      <c r="B393" s="4">
        <f>VLOOKUP($A393,[1]彩含分析60315!$A:$M,8,0)</f>
        <v>157</v>
      </c>
      <c r="C393" s="4">
        <f>VLOOKUP($A393,[1]彩含分析60315!$A:$M,9,0)</f>
        <v>154</v>
      </c>
      <c r="D393" s="4">
        <f>VLOOKUP($A393,[1]彩含分析60315!$A:$M,10,0)</f>
        <v>151</v>
      </c>
      <c r="E393" s="4">
        <f>VLOOKUP($A393,[1]彩含分析60315!$A:$M,11,0)</f>
        <v>149</v>
      </c>
      <c r="F393" s="4">
        <f>VLOOKUP($A393,[1]彩含分析60315!$A:$M,12,0)</f>
        <v>148</v>
      </c>
      <c r="G393" s="4">
        <f>VLOOKUP($A393,[1]彩含分析60315!$A:$M,13,0)</f>
        <v>145</v>
      </c>
      <c r="H393" s="4" t="s">
        <v>39</v>
      </c>
      <c r="I393" s="3" t="s">
        <v>778</v>
      </c>
    </row>
    <row r="394" customHeight="1" spans="1:9">
      <c r="A394" s="4" t="s">
        <v>779</v>
      </c>
      <c r="B394" s="4">
        <f>VLOOKUP($A394,[1]彩含分析60315!$A:$M,8,0)</f>
        <v>42</v>
      </c>
      <c r="C394" s="4">
        <f>VLOOKUP($A394,[1]彩含分析60315!$A:$M,9,0)</f>
        <v>40</v>
      </c>
      <c r="D394" s="4">
        <f>VLOOKUP($A394,[1]彩含分析60315!$A:$M,10,0)</f>
        <v>39</v>
      </c>
      <c r="E394" s="4">
        <f>VLOOKUP($A394,[1]彩含分析60315!$A:$M,11,0)</f>
        <v>37</v>
      </c>
      <c r="F394" s="4">
        <f>VLOOKUP($A394,[1]彩含分析60315!$A:$M,12,0)</f>
        <v>36</v>
      </c>
      <c r="G394" s="4">
        <f>VLOOKUP($A394,[1]彩含分析60315!$A:$M,13,0)</f>
        <v>34</v>
      </c>
      <c r="H394" s="4" t="s">
        <v>10</v>
      </c>
      <c r="I394" s="3" t="s">
        <v>780</v>
      </c>
    </row>
    <row r="395" customHeight="1" spans="1:9">
      <c r="A395" s="4" t="s">
        <v>781</v>
      </c>
      <c r="B395" s="4">
        <f>VLOOKUP($A395,[1]彩含分析60315!$A:$M,8,0)</f>
        <v>49</v>
      </c>
      <c r="C395" s="4">
        <f>VLOOKUP($A395,[1]彩含分析60315!$A:$M,9,0)</f>
        <v>48</v>
      </c>
      <c r="D395" s="4">
        <f>VLOOKUP($A395,[1]彩含分析60315!$A:$M,10,0)</f>
        <v>47</v>
      </c>
      <c r="E395" s="4">
        <f>VLOOKUP($A395,[1]彩含分析60315!$A:$M,11,0)</f>
        <v>46</v>
      </c>
      <c r="F395" s="4">
        <f>VLOOKUP($A395,[1]彩含分析60315!$A:$M,12,0)</f>
        <v>46</v>
      </c>
      <c r="G395" s="4">
        <f>VLOOKUP($A395,[1]彩含分析60315!$A:$M,13,0)</f>
        <v>45</v>
      </c>
      <c r="H395" s="4" t="s">
        <v>39</v>
      </c>
      <c r="I395" s="3" t="s">
        <v>782</v>
      </c>
    </row>
    <row r="396" customHeight="1" spans="1:9">
      <c r="A396" s="4" t="s">
        <v>783</v>
      </c>
      <c r="B396" s="4">
        <f>VLOOKUP($A396,[1]彩含分析60315!$A:$M,8,0)</f>
        <v>53</v>
      </c>
      <c r="C396" s="4">
        <f>VLOOKUP($A396,[1]彩含分析60315!$A:$M,9,0)</f>
        <v>53</v>
      </c>
      <c r="D396" s="4">
        <f>VLOOKUP($A396,[1]彩含分析60315!$A:$M,10,0)</f>
        <v>52</v>
      </c>
      <c r="E396" s="4">
        <f>VLOOKUP($A396,[1]彩含分析60315!$A:$M,11,0)</f>
        <v>51</v>
      </c>
      <c r="F396" s="4">
        <f>VLOOKUP($A396,[1]彩含分析60315!$A:$M,12,0)</f>
        <v>50</v>
      </c>
      <c r="G396" s="4">
        <f>VLOOKUP($A396,[1]彩含分析60315!$A:$M,13,0)</f>
        <v>49</v>
      </c>
      <c r="H396" s="4" t="s">
        <v>39</v>
      </c>
      <c r="I396" s="3" t="s">
        <v>784</v>
      </c>
    </row>
    <row r="397" customHeight="1" spans="1:9">
      <c r="A397" s="4" t="s">
        <v>785</v>
      </c>
      <c r="B397" s="4">
        <f>VLOOKUP($A397,[1]彩含分析60315!$A:$M,8,0)</f>
        <v>48</v>
      </c>
      <c r="C397" s="4">
        <f>VLOOKUP($A397,[1]彩含分析60315!$A:$M,9,0)</f>
        <v>46</v>
      </c>
      <c r="D397" s="4">
        <f>VLOOKUP($A397,[1]彩含分析60315!$A:$M,10,0)</f>
        <v>45</v>
      </c>
      <c r="E397" s="4">
        <f>VLOOKUP($A397,[1]彩含分析60315!$A:$M,11,0)</f>
        <v>43</v>
      </c>
      <c r="F397" s="4">
        <f>VLOOKUP($A397,[1]彩含分析60315!$A:$M,12,0)</f>
        <v>41</v>
      </c>
      <c r="G397" s="4">
        <f>VLOOKUP($A397,[1]彩含分析60315!$A:$M,13,0)</f>
        <v>39</v>
      </c>
      <c r="H397" s="4" t="s">
        <v>10</v>
      </c>
      <c r="I397" s="3" t="s">
        <v>786</v>
      </c>
    </row>
    <row r="398" customHeight="1" spans="1:9">
      <c r="A398" s="4" t="s">
        <v>787</v>
      </c>
      <c r="B398" s="4">
        <f>VLOOKUP($A398,[1]彩含分析60315!$A:$M,8,0)</f>
        <v>41</v>
      </c>
      <c r="C398" s="4">
        <f>VLOOKUP($A398,[1]彩含分析60315!$A:$M,9,0)</f>
        <v>39</v>
      </c>
      <c r="D398" s="4">
        <f>VLOOKUP($A398,[1]彩含分析60315!$A:$M,10,0)</f>
        <v>38</v>
      </c>
      <c r="E398" s="4">
        <f>VLOOKUP($A398,[1]彩含分析60315!$A:$M,11,0)</f>
        <v>36</v>
      </c>
      <c r="F398" s="4">
        <f>VLOOKUP($A398,[1]彩含分析60315!$A:$M,12,0)</f>
        <v>35</v>
      </c>
      <c r="G398" s="4">
        <f>VLOOKUP($A398,[1]彩含分析60315!$A:$M,13,0)</f>
        <v>33</v>
      </c>
      <c r="H398" s="4" t="s">
        <v>10</v>
      </c>
      <c r="I398" s="3" t="s">
        <v>788</v>
      </c>
    </row>
    <row r="399" customHeight="1" spans="1:9">
      <c r="A399" s="4" t="s">
        <v>789</v>
      </c>
      <c r="B399" s="4">
        <f>VLOOKUP($A399,[1]彩含分析60315!$A:$M,8,0)</f>
        <v>73</v>
      </c>
      <c r="C399" s="4">
        <f>VLOOKUP($A399,[1]彩含分析60315!$A:$M,9,0)</f>
        <v>72</v>
      </c>
      <c r="D399" s="4">
        <f>VLOOKUP($A399,[1]彩含分析60315!$A:$M,10,0)</f>
        <v>71</v>
      </c>
      <c r="E399" s="4">
        <f>VLOOKUP($A399,[1]彩含分析60315!$A:$M,11,0)</f>
        <v>70</v>
      </c>
      <c r="F399" s="4">
        <f>VLOOKUP($A399,[1]彩含分析60315!$A:$M,12,0)</f>
        <v>69</v>
      </c>
      <c r="G399" s="4">
        <f>VLOOKUP($A399,[1]彩含分析60315!$A:$M,13,0)</f>
        <v>68</v>
      </c>
      <c r="H399" s="4" t="s">
        <v>39</v>
      </c>
      <c r="I399" s="3" t="s">
        <v>750</v>
      </c>
    </row>
    <row r="400" customHeight="1" spans="1:9">
      <c r="A400" s="4" t="s">
        <v>790</v>
      </c>
      <c r="B400" s="4">
        <f>VLOOKUP($A400,[1]彩含分析60315!$A:$M,8,0)</f>
        <v>35</v>
      </c>
      <c r="C400" s="4">
        <f>VLOOKUP($A400,[1]彩含分析60315!$A:$M,9,0)</f>
        <v>35</v>
      </c>
      <c r="D400" s="4">
        <f>VLOOKUP($A400,[1]彩含分析60315!$A:$M,10,0)</f>
        <v>34</v>
      </c>
      <c r="E400" s="4">
        <f>VLOOKUP($A400,[1]彩含分析60315!$A:$M,11,0)</f>
        <v>34</v>
      </c>
      <c r="F400" s="4">
        <f>VLOOKUP($A400,[1]彩含分析60315!$A:$M,12,0)</f>
        <v>33</v>
      </c>
      <c r="G400" s="4">
        <f>VLOOKUP($A400,[1]彩含分析60315!$A:$M,13,0)</f>
        <v>33</v>
      </c>
      <c r="H400" s="4" t="s">
        <v>39</v>
      </c>
      <c r="I400" s="3" t="s">
        <v>791</v>
      </c>
    </row>
    <row r="401" customHeight="1" spans="1:9">
      <c r="A401" s="4" t="s">
        <v>792</v>
      </c>
      <c r="B401" s="4">
        <f>VLOOKUP($A401,[1]彩含分析60315!$A:$M,8,0)</f>
        <v>33</v>
      </c>
      <c r="C401" s="4">
        <f>VLOOKUP($A401,[1]彩含分析60315!$A:$M,9,0)</f>
        <v>32</v>
      </c>
      <c r="D401" s="4">
        <f>VLOOKUP($A401,[1]彩含分析60315!$A:$M,10,0)</f>
        <v>31</v>
      </c>
      <c r="E401" s="4">
        <f>VLOOKUP($A401,[1]彩含分析60315!$A:$M,11,0)</f>
        <v>31</v>
      </c>
      <c r="F401" s="4">
        <f>VLOOKUP($A401,[1]彩含分析60315!$A:$M,12,0)</f>
        <v>31</v>
      </c>
      <c r="G401" s="4">
        <f>VLOOKUP($A401,[1]彩含分析60315!$A:$M,13,0)</f>
        <v>30</v>
      </c>
      <c r="H401" s="4" t="s">
        <v>39</v>
      </c>
      <c r="I401" s="3" t="s">
        <v>793</v>
      </c>
    </row>
    <row r="402" customHeight="1" spans="1:9">
      <c r="A402" s="4" t="s">
        <v>794</v>
      </c>
      <c r="B402" s="4">
        <f>VLOOKUP($A402,[1]彩含分析60315!$A:$M,8,0)</f>
        <v>40</v>
      </c>
      <c r="C402" s="4">
        <f>VLOOKUP($A402,[1]彩含分析60315!$A:$M,9,0)</f>
        <v>40</v>
      </c>
      <c r="D402" s="4">
        <f>VLOOKUP($A402,[1]彩含分析60315!$A:$M,10,0)</f>
        <v>39</v>
      </c>
      <c r="E402" s="4">
        <f>VLOOKUP($A402,[1]彩含分析60315!$A:$M,11,0)</f>
        <v>38</v>
      </c>
      <c r="F402" s="4">
        <f>VLOOKUP($A402,[1]彩含分析60315!$A:$M,12,0)</f>
        <v>38</v>
      </c>
      <c r="G402" s="4">
        <f>VLOOKUP($A402,[1]彩含分析60315!$A:$M,13,0)</f>
        <v>37</v>
      </c>
      <c r="H402" s="4" t="s">
        <v>39</v>
      </c>
      <c r="I402" s="3" t="s">
        <v>791</v>
      </c>
    </row>
    <row r="403" customHeight="1" spans="1:9">
      <c r="A403" s="4" t="s">
        <v>795</v>
      </c>
      <c r="B403" s="4">
        <f>VLOOKUP($A403,[1]彩含分析60315!$A:$M,8,0)</f>
        <v>64</v>
      </c>
      <c r="C403" s="4">
        <f>VLOOKUP($A403,[1]彩含分析60315!$A:$M,9,0)</f>
        <v>61</v>
      </c>
      <c r="D403" s="4">
        <f>VLOOKUP($A403,[1]彩含分析60315!$A:$M,10,0)</f>
        <v>59</v>
      </c>
      <c r="E403" s="4">
        <f>VLOOKUP($A403,[1]彩含分析60315!$A:$M,11,0)</f>
        <v>57</v>
      </c>
      <c r="F403" s="4">
        <f>VLOOKUP($A403,[1]彩含分析60315!$A:$M,12,0)</f>
        <v>54</v>
      </c>
      <c r="G403" s="4">
        <f>VLOOKUP($A403,[1]彩含分析60315!$A:$M,13,0)</f>
        <v>52</v>
      </c>
      <c r="H403" s="4" t="s">
        <v>10</v>
      </c>
      <c r="I403" s="3" t="s">
        <v>796</v>
      </c>
    </row>
    <row r="404" customHeight="1" spans="1:9">
      <c r="A404" s="4" t="s">
        <v>797</v>
      </c>
      <c r="B404" s="4">
        <f>VLOOKUP($A404,[1]彩含分析60315!$A:$M,8,0)</f>
        <v>34</v>
      </c>
      <c r="C404" s="4">
        <f>VLOOKUP($A404,[1]彩含分析60315!$A:$M,9,0)</f>
        <v>33</v>
      </c>
      <c r="D404" s="4">
        <f>VLOOKUP($A404,[1]彩含分析60315!$A:$M,10,0)</f>
        <v>32</v>
      </c>
      <c r="E404" s="4">
        <f>VLOOKUP($A404,[1]彩含分析60315!$A:$M,11,0)</f>
        <v>31</v>
      </c>
      <c r="F404" s="4">
        <f>VLOOKUP($A404,[1]彩含分析60315!$A:$M,12,0)</f>
        <v>29</v>
      </c>
      <c r="G404" s="4">
        <f>VLOOKUP($A404,[1]彩含分析60315!$A:$M,13,0)</f>
        <v>28</v>
      </c>
      <c r="H404" s="4" t="s">
        <v>10</v>
      </c>
      <c r="I404" s="3" t="s">
        <v>798</v>
      </c>
    </row>
    <row r="405" customHeight="1" spans="1:9">
      <c r="A405" s="4" t="s">
        <v>799</v>
      </c>
      <c r="B405" s="4">
        <f>VLOOKUP($A405,[1]彩含分析60315!$A:$M,8,0)</f>
        <v>40</v>
      </c>
      <c r="C405" s="4">
        <f>VLOOKUP($A405,[1]彩含分析60315!$A:$M,9,0)</f>
        <v>39</v>
      </c>
      <c r="D405" s="4">
        <f>VLOOKUP($A405,[1]彩含分析60315!$A:$M,10,0)</f>
        <v>37</v>
      </c>
      <c r="E405" s="4">
        <f>VLOOKUP($A405,[1]彩含分析60315!$A:$M,11,0)</f>
        <v>36</v>
      </c>
      <c r="F405" s="4">
        <f>VLOOKUP($A405,[1]彩含分析60315!$A:$M,12,0)</f>
        <v>35</v>
      </c>
      <c r="G405" s="4">
        <f>VLOOKUP($A405,[1]彩含分析60315!$A:$M,13,0)</f>
        <v>33</v>
      </c>
      <c r="H405" s="4" t="s">
        <v>10</v>
      </c>
      <c r="I405" s="3" t="s">
        <v>800</v>
      </c>
    </row>
    <row r="406" customHeight="1" spans="1:9">
      <c r="A406" s="4" t="s">
        <v>801</v>
      </c>
      <c r="B406" s="4">
        <f>VLOOKUP($A406,[1]彩含分析60315!$A:$M,8,0)</f>
        <v>41</v>
      </c>
      <c r="C406" s="4">
        <f>VLOOKUP($A406,[1]彩含分析60315!$A:$M,9,0)</f>
        <v>40</v>
      </c>
      <c r="D406" s="4">
        <f>VLOOKUP($A406,[1]彩含分析60315!$A:$M,10,0)</f>
        <v>38</v>
      </c>
      <c r="E406" s="4">
        <f>VLOOKUP($A406,[1]彩含分析60315!$A:$M,11,0)</f>
        <v>37</v>
      </c>
      <c r="F406" s="4">
        <f>VLOOKUP($A406,[1]彩含分析60315!$A:$M,12,0)</f>
        <v>35</v>
      </c>
      <c r="G406" s="4">
        <f>VLOOKUP($A406,[1]彩含分析60315!$A:$M,13,0)</f>
        <v>34</v>
      </c>
      <c r="H406" s="4" t="s">
        <v>10</v>
      </c>
      <c r="I406" s="3" t="s">
        <v>802</v>
      </c>
    </row>
    <row r="407" customHeight="1" spans="1:9">
      <c r="A407" s="4" t="s">
        <v>803</v>
      </c>
      <c r="B407" s="4">
        <f>VLOOKUP($A407,[1]彩含分析60315!$A:$M,8,0)</f>
        <v>106</v>
      </c>
      <c r="C407" s="4">
        <f>VLOOKUP($A407,[1]彩含分析60315!$A:$M,9,0)</f>
        <v>105</v>
      </c>
      <c r="D407" s="4">
        <f>VLOOKUP($A407,[1]彩含分析60315!$A:$M,10,0)</f>
        <v>103</v>
      </c>
      <c r="E407" s="4">
        <f>VLOOKUP($A407,[1]彩含分析60315!$A:$M,11,0)</f>
        <v>101</v>
      </c>
      <c r="F407" s="4">
        <f>VLOOKUP($A407,[1]彩含分析60315!$A:$M,12,0)</f>
        <v>100</v>
      </c>
      <c r="G407" s="4">
        <f>VLOOKUP($A407,[1]彩含分析60315!$A:$M,13,0)</f>
        <v>98</v>
      </c>
      <c r="H407" s="4" t="s">
        <v>39</v>
      </c>
      <c r="I407" s="3" t="s">
        <v>804</v>
      </c>
    </row>
    <row r="408" customHeight="1" spans="1:9">
      <c r="A408" s="4" t="s">
        <v>805</v>
      </c>
      <c r="B408" s="4">
        <f>VLOOKUP($A408,[1]彩含分析60315!$A:$M,8,0)</f>
        <v>48</v>
      </c>
      <c r="C408" s="4">
        <f>VLOOKUP($A408,[1]彩含分析60315!$A:$M,9,0)</f>
        <v>46</v>
      </c>
      <c r="D408" s="4">
        <f>VLOOKUP($A408,[1]彩含分析60315!$A:$M,10,0)</f>
        <v>44</v>
      </c>
      <c r="E408" s="4">
        <f>VLOOKUP($A408,[1]彩含分析60315!$A:$M,11,0)</f>
        <v>42</v>
      </c>
      <c r="F408" s="4">
        <f>VLOOKUP($A408,[1]彩含分析60315!$A:$M,12,0)</f>
        <v>41</v>
      </c>
      <c r="G408" s="4">
        <f>VLOOKUP($A408,[1]彩含分析60315!$A:$M,13,0)</f>
        <v>39</v>
      </c>
      <c r="H408" s="4" t="s">
        <v>10</v>
      </c>
      <c r="I408" s="3" t="s">
        <v>806</v>
      </c>
    </row>
    <row r="409" customHeight="1" spans="1:9">
      <c r="A409" s="4" t="s">
        <v>807</v>
      </c>
      <c r="B409" s="4">
        <f>VLOOKUP($A409,[1]彩含分析60315!$A:$M,8,0)</f>
        <v>36</v>
      </c>
      <c r="C409" s="4">
        <f>VLOOKUP($A409,[1]彩含分析60315!$A:$M,9,0)</f>
        <v>35</v>
      </c>
      <c r="D409" s="4">
        <f>VLOOKUP($A409,[1]彩含分析60315!$A:$M,10,0)</f>
        <v>34</v>
      </c>
      <c r="E409" s="4">
        <f>VLOOKUP($A409,[1]彩含分析60315!$A:$M,11,0)</f>
        <v>32</v>
      </c>
      <c r="F409" s="4">
        <f>VLOOKUP($A409,[1]彩含分析60315!$A:$M,12,0)</f>
        <v>31</v>
      </c>
      <c r="G409" s="4">
        <f>VLOOKUP($A409,[1]彩含分析60315!$A:$M,13,0)</f>
        <v>30</v>
      </c>
      <c r="H409" s="4" t="s">
        <v>10</v>
      </c>
      <c r="I409" s="3" t="s">
        <v>808</v>
      </c>
    </row>
    <row r="410" customHeight="1" spans="1:9">
      <c r="A410" s="4" t="s">
        <v>809</v>
      </c>
      <c r="B410" s="4">
        <f>VLOOKUP($A410,[1]彩含分析60315!$A:$M,8,0)</f>
        <v>35</v>
      </c>
      <c r="C410" s="4">
        <f>VLOOKUP($A410,[1]彩含分析60315!$A:$M,9,0)</f>
        <v>34</v>
      </c>
      <c r="D410" s="4">
        <f>VLOOKUP($A410,[1]彩含分析60315!$A:$M,10,0)</f>
        <v>33</v>
      </c>
      <c r="E410" s="4">
        <f>VLOOKUP($A410,[1]彩含分析60315!$A:$M,11,0)</f>
        <v>31</v>
      </c>
      <c r="F410" s="4">
        <f>VLOOKUP($A410,[1]彩含分析60315!$A:$M,12,0)</f>
        <v>30</v>
      </c>
      <c r="G410" s="4">
        <f>VLOOKUP($A410,[1]彩含分析60315!$A:$M,13,0)</f>
        <v>29</v>
      </c>
      <c r="H410" s="4" t="s">
        <v>10</v>
      </c>
      <c r="I410" s="3" t="s">
        <v>810</v>
      </c>
    </row>
    <row r="411" customHeight="1" spans="1:9">
      <c r="A411" s="4" t="s">
        <v>811</v>
      </c>
      <c r="B411" s="4">
        <f>VLOOKUP($A411,[1]彩含分析60315!$A:$M,8,0)</f>
        <v>55</v>
      </c>
      <c r="C411" s="4">
        <f>VLOOKUP($A411,[1]彩含分析60315!$A:$M,9,0)</f>
        <v>54</v>
      </c>
      <c r="D411" s="4">
        <f>VLOOKUP($A411,[1]彩含分析60315!$A:$M,10,0)</f>
        <v>53</v>
      </c>
      <c r="E411" s="4">
        <f>VLOOKUP($A411,[1]彩含分析60315!$A:$M,11,0)</f>
        <v>52</v>
      </c>
      <c r="F411" s="4">
        <f>VLOOKUP($A411,[1]彩含分析60315!$A:$M,12,0)</f>
        <v>52</v>
      </c>
      <c r="G411" s="4">
        <f>VLOOKUP($A411,[1]彩含分析60315!$A:$M,13,0)</f>
        <v>51</v>
      </c>
      <c r="H411" s="4" t="s">
        <v>39</v>
      </c>
      <c r="I411" s="3" t="s">
        <v>812</v>
      </c>
    </row>
    <row r="412" customHeight="1" spans="1:9">
      <c r="A412" s="4" t="s">
        <v>813</v>
      </c>
      <c r="B412" s="4">
        <f>VLOOKUP($A412,[1]彩含分析60315!$A:$M,8,0)</f>
        <v>47</v>
      </c>
      <c r="C412" s="4">
        <f>VLOOKUP($A412,[1]彩含分析60315!$A:$M,9,0)</f>
        <v>45</v>
      </c>
      <c r="D412" s="4">
        <f>VLOOKUP($A412,[1]彩含分析60315!$A:$M,10,0)</f>
        <v>44</v>
      </c>
      <c r="E412" s="4">
        <f>VLOOKUP($A412,[1]彩含分析60315!$A:$M,11,0)</f>
        <v>42</v>
      </c>
      <c r="F412" s="4">
        <f>VLOOKUP($A412,[1]彩含分析60315!$A:$M,12,0)</f>
        <v>40</v>
      </c>
      <c r="G412" s="4">
        <f>VLOOKUP($A412,[1]彩含分析60315!$A:$M,13,0)</f>
        <v>38</v>
      </c>
      <c r="H412" s="4" t="s">
        <v>10</v>
      </c>
      <c r="I412" s="3" t="s">
        <v>814</v>
      </c>
    </row>
    <row r="413" customHeight="1" spans="1:9">
      <c r="A413" s="4" t="s">
        <v>815</v>
      </c>
      <c r="B413" s="4">
        <f>VLOOKUP($A413,[1]彩含分析60315!$A:$M,8,0)</f>
        <v>55</v>
      </c>
      <c r="C413" s="4">
        <f>VLOOKUP($A413,[1]彩含分析60315!$A:$M,9,0)</f>
        <v>54</v>
      </c>
      <c r="D413" s="4">
        <f>VLOOKUP($A413,[1]彩含分析60315!$A:$M,10,0)</f>
        <v>53</v>
      </c>
      <c r="E413" s="4">
        <f>VLOOKUP($A413,[1]彩含分析60315!$A:$M,11,0)</f>
        <v>52</v>
      </c>
      <c r="F413" s="4">
        <f>VLOOKUP($A413,[1]彩含分析60315!$A:$M,12,0)</f>
        <v>52</v>
      </c>
      <c r="G413" s="4">
        <f>VLOOKUP($A413,[1]彩含分析60315!$A:$M,13,0)</f>
        <v>51</v>
      </c>
      <c r="H413" s="4" t="s">
        <v>39</v>
      </c>
      <c r="I413" s="3" t="s">
        <v>816</v>
      </c>
    </row>
    <row r="414" customHeight="1" spans="1:9">
      <c r="A414" s="4" t="s">
        <v>817</v>
      </c>
      <c r="B414" s="4">
        <f>VLOOKUP($A414,[1]彩含分析60315!$A:$M,8,0)</f>
        <v>52</v>
      </c>
      <c r="C414" s="4">
        <f>VLOOKUP($A414,[1]彩含分析60315!$A:$M,9,0)</f>
        <v>52</v>
      </c>
      <c r="D414" s="4">
        <f>VLOOKUP($A414,[1]彩含分析60315!$A:$M,10,0)</f>
        <v>51</v>
      </c>
      <c r="E414" s="4">
        <f>VLOOKUP($A414,[1]彩含分析60315!$A:$M,11,0)</f>
        <v>50</v>
      </c>
      <c r="F414" s="4">
        <f>VLOOKUP($A414,[1]彩含分析60315!$A:$M,12,0)</f>
        <v>49</v>
      </c>
      <c r="G414" s="4">
        <f>VLOOKUP($A414,[1]彩含分析60315!$A:$M,13,0)</f>
        <v>49</v>
      </c>
      <c r="H414" s="4" t="s">
        <v>39</v>
      </c>
      <c r="I414" s="3" t="s">
        <v>818</v>
      </c>
    </row>
    <row r="415" customHeight="1" spans="1:9">
      <c r="A415" s="4" t="s">
        <v>819</v>
      </c>
      <c r="B415" s="4">
        <f>VLOOKUP($A415,[1]彩含分析60315!$A:$M,8,0)</f>
        <v>52</v>
      </c>
      <c r="C415" s="4">
        <f>VLOOKUP($A415,[1]彩含分析60315!$A:$M,9,0)</f>
        <v>52</v>
      </c>
      <c r="D415" s="4">
        <f>VLOOKUP($A415,[1]彩含分析60315!$A:$M,10,0)</f>
        <v>51</v>
      </c>
      <c r="E415" s="4">
        <f>VLOOKUP($A415,[1]彩含分析60315!$A:$M,11,0)</f>
        <v>50</v>
      </c>
      <c r="F415" s="4">
        <f>VLOOKUP($A415,[1]彩含分析60315!$A:$M,12,0)</f>
        <v>49</v>
      </c>
      <c r="G415" s="4">
        <f>VLOOKUP($A415,[1]彩含分析60315!$A:$M,13,0)</f>
        <v>49</v>
      </c>
      <c r="H415" s="4" t="s">
        <v>39</v>
      </c>
      <c r="I415" s="3" t="s">
        <v>820</v>
      </c>
    </row>
    <row r="416" customHeight="1" spans="1:9">
      <c r="A416" s="4" t="s">
        <v>821</v>
      </c>
      <c r="B416" s="4">
        <f>VLOOKUP($A416,[1]彩含分析60315!$A:$M,8,0)</f>
        <v>49</v>
      </c>
      <c r="C416" s="4">
        <f>VLOOKUP($A416,[1]彩含分析60315!$A:$M,9,0)</f>
        <v>47</v>
      </c>
      <c r="D416" s="4">
        <f>VLOOKUP($A416,[1]彩含分析60315!$A:$M,10,0)</f>
        <v>45</v>
      </c>
      <c r="E416" s="4">
        <f>VLOOKUP($A416,[1]彩含分析60315!$A:$M,11,0)</f>
        <v>44</v>
      </c>
      <c r="F416" s="4">
        <f>VLOOKUP($A416,[1]彩含分析60315!$A:$M,12,0)</f>
        <v>42</v>
      </c>
      <c r="G416" s="4">
        <f>VLOOKUP($A416,[1]彩含分析60315!$A:$M,13,0)</f>
        <v>40</v>
      </c>
      <c r="H416" s="4" t="s">
        <v>10</v>
      </c>
      <c r="I416" s="3" t="s">
        <v>822</v>
      </c>
    </row>
    <row r="417" customHeight="1" spans="1:9">
      <c r="A417" s="4" t="s">
        <v>823</v>
      </c>
      <c r="B417" s="4">
        <f>VLOOKUP($A417,[1]彩含分析60315!$A:$M,8,0)</f>
        <v>39</v>
      </c>
      <c r="C417" s="4">
        <f>VLOOKUP($A417,[1]彩含分析60315!$A:$M,9,0)</f>
        <v>38</v>
      </c>
      <c r="D417" s="4">
        <f>VLOOKUP($A417,[1]彩含分析60315!$A:$M,10,0)</f>
        <v>36</v>
      </c>
      <c r="E417" s="4">
        <f>VLOOKUP($A417,[1]彩含分析60315!$A:$M,11,0)</f>
        <v>35</v>
      </c>
      <c r="F417" s="4">
        <f>VLOOKUP($A417,[1]彩含分析60315!$A:$M,12,0)</f>
        <v>33</v>
      </c>
      <c r="G417" s="4">
        <f>VLOOKUP($A417,[1]彩含分析60315!$A:$M,13,0)</f>
        <v>32</v>
      </c>
      <c r="H417" s="4" t="s">
        <v>10</v>
      </c>
      <c r="I417" s="3" t="s">
        <v>824</v>
      </c>
    </row>
    <row r="418" customHeight="1" spans="1:9">
      <c r="A418" s="4" t="s">
        <v>825</v>
      </c>
      <c r="B418" s="4">
        <f>VLOOKUP($A418,[1]彩含分析60315!$A:$M,8,0)</f>
        <v>68</v>
      </c>
      <c r="C418" s="4">
        <f>VLOOKUP($A418,[1]彩含分析60315!$A:$M,9,0)</f>
        <v>67</v>
      </c>
      <c r="D418" s="4">
        <f>VLOOKUP($A418,[1]彩含分析60315!$A:$M,10,0)</f>
        <v>66</v>
      </c>
      <c r="E418" s="4">
        <f>VLOOKUP($A418,[1]彩含分析60315!$A:$M,11,0)</f>
        <v>65</v>
      </c>
      <c r="F418" s="4">
        <f>VLOOKUP($A418,[1]彩含分析60315!$A:$M,12,0)</f>
        <v>64</v>
      </c>
      <c r="G418" s="4">
        <f>VLOOKUP($A418,[1]彩含分析60315!$A:$M,13,0)</f>
        <v>63</v>
      </c>
      <c r="H418" s="4" t="s">
        <v>39</v>
      </c>
      <c r="I418" s="3" t="s">
        <v>826</v>
      </c>
    </row>
    <row r="419" customHeight="1" spans="1:9">
      <c r="A419" s="4" t="s">
        <v>827</v>
      </c>
      <c r="B419" s="4">
        <f>VLOOKUP($A419,[1]彩含分析60315!$A:$M,8,0)</f>
        <v>45</v>
      </c>
      <c r="C419" s="4">
        <f>VLOOKUP($A419,[1]彩含分析60315!$A:$M,9,0)</f>
        <v>44</v>
      </c>
      <c r="D419" s="4">
        <f>VLOOKUP($A419,[1]彩含分析60315!$A:$M,10,0)</f>
        <v>43</v>
      </c>
      <c r="E419" s="4">
        <f>VLOOKUP($A419,[1]彩含分析60315!$A:$M,11,0)</f>
        <v>42</v>
      </c>
      <c r="F419" s="4">
        <f>VLOOKUP($A419,[1]彩含分析60315!$A:$M,12,0)</f>
        <v>42</v>
      </c>
      <c r="G419" s="4">
        <f>VLOOKUP($A419,[1]彩含分析60315!$A:$M,13,0)</f>
        <v>41</v>
      </c>
      <c r="H419" s="4" t="s">
        <v>39</v>
      </c>
      <c r="I419" s="3" t="s">
        <v>828</v>
      </c>
    </row>
    <row r="420" customHeight="1" spans="1:9">
      <c r="A420" s="4" t="s">
        <v>829</v>
      </c>
      <c r="B420" s="4">
        <f>VLOOKUP($A420,[1]彩含分析60315!$A:$M,8,0)</f>
        <v>48</v>
      </c>
      <c r="C420" s="4">
        <f>VLOOKUP($A420,[1]彩含分析60315!$A:$M,9,0)</f>
        <v>47</v>
      </c>
      <c r="D420" s="4">
        <f>VLOOKUP($A420,[1]彩含分析60315!$A:$M,10,0)</f>
        <v>45</v>
      </c>
      <c r="E420" s="4">
        <f>VLOOKUP($A420,[1]彩含分析60315!$A:$M,11,0)</f>
        <v>43</v>
      </c>
      <c r="F420" s="4">
        <f>VLOOKUP($A420,[1]彩含分析60315!$A:$M,12,0)</f>
        <v>41</v>
      </c>
      <c r="G420" s="4">
        <f>VLOOKUP($A420,[1]彩含分析60315!$A:$M,13,0)</f>
        <v>40</v>
      </c>
      <c r="H420" s="4" t="s">
        <v>10</v>
      </c>
      <c r="I420" s="3" t="s">
        <v>830</v>
      </c>
    </row>
    <row r="421" customHeight="1" spans="1:9">
      <c r="A421" s="4" t="s">
        <v>831</v>
      </c>
      <c r="B421" s="4">
        <f>VLOOKUP($A421,[1]彩含分析60315!$A:$M,8,0)</f>
        <v>62</v>
      </c>
      <c r="C421" s="4">
        <f>VLOOKUP($A421,[1]彩含分析60315!$A:$M,9,0)</f>
        <v>61</v>
      </c>
      <c r="D421" s="4">
        <f>VLOOKUP($A421,[1]彩含分析60315!$A:$M,10,0)</f>
        <v>60</v>
      </c>
      <c r="E421" s="4">
        <f>VLOOKUP($A421,[1]彩含分析60315!$A:$M,11,0)</f>
        <v>59</v>
      </c>
      <c r="F421" s="4">
        <f>VLOOKUP($A421,[1]彩含分析60315!$A:$M,12,0)</f>
        <v>58</v>
      </c>
      <c r="G421" s="4">
        <f>VLOOKUP($A421,[1]彩含分析60315!$A:$M,13,0)</f>
        <v>57</v>
      </c>
      <c r="H421" s="4" t="s">
        <v>39</v>
      </c>
      <c r="I421" s="3" t="s">
        <v>832</v>
      </c>
    </row>
    <row r="422" customHeight="1" spans="1:9">
      <c r="A422" s="4" t="s">
        <v>833</v>
      </c>
      <c r="B422" s="4">
        <f>VLOOKUP($A422,[1]彩含分析60315!$A:$M,8,0)</f>
        <v>58</v>
      </c>
      <c r="C422" s="4">
        <f>VLOOKUP($A422,[1]彩含分析60315!$A:$M,9,0)</f>
        <v>57</v>
      </c>
      <c r="D422" s="4">
        <f>VLOOKUP($A422,[1]彩含分析60315!$A:$M,10,0)</f>
        <v>56</v>
      </c>
      <c r="E422" s="4">
        <f>VLOOKUP($A422,[1]彩含分析60315!$A:$M,11,0)</f>
        <v>55</v>
      </c>
      <c r="F422" s="4">
        <f>VLOOKUP($A422,[1]彩含分析60315!$A:$M,12,0)</f>
        <v>54</v>
      </c>
      <c r="G422" s="4">
        <f>VLOOKUP($A422,[1]彩含分析60315!$A:$M,13,0)</f>
        <v>53</v>
      </c>
      <c r="H422" s="4" t="s">
        <v>39</v>
      </c>
      <c r="I422" s="3" t="s">
        <v>616</v>
      </c>
    </row>
    <row r="423" customHeight="1" spans="1:9">
      <c r="A423" s="4" t="s">
        <v>834</v>
      </c>
      <c r="B423" s="4">
        <f>VLOOKUP($A423,[1]彩含分析60315!$A:$M,8,0)</f>
        <v>45</v>
      </c>
      <c r="C423" s="4">
        <f>VLOOKUP($A423,[1]彩含分析60315!$A:$M,9,0)</f>
        <v>44</v>
      </c>
      <c r="D423" s="4">
        <f>VLOOKUP($A423,[1]彩含分析60315!$A:$M,10,0)</f>
        <v>43</v>
      </c>
      <c r="E423" s="4">
        <f>VLOOKUP($A423,[1]彩含分析60315!$A:$M,11,0)</f>
        <v>42</v>
      </c>
      <c r="F423" s="4">
        <f>VLOOKUP($A423,[1]彩含分析60315!$A:$M,12,0)</f>
        <v>42</v>
      </c>
      <c r="G423" s="4">
        <f>VLOOKUP($A423,[1]彩含分析60315!$A:$M,13,0)</f>
        <v>41</v>
      </c>
      <c r="H423" s="4" t="s">
        <v>39</v>
      </c>
      <c r="I423" s="3" t="s">
        <v>828</v>
      </c>
    </row>
    <row r="424" customHeight="1" spans="1:9">
      <c r="A424" s="4" t="s">
        <v>835</v>
      </c>
      <c r="B424" s="4">
        <f>VLOOKUP($A424,[1]彩含分析60315!$A:$M,8,0)</f>
        <v>66</v>
      </c>
      <c r="C424" s="4">
        <f>VLOOKUP($A424,[1]彩含分析60315!$A:$M,9,0)</f>
        <v>64</v>
      </c>
      <c r="D424" s="4">
        <f>VLOOKUP($A424,[1]彩含分析60315!$A:$M,10,0)</f>
        <v>63</v>
      </c>
      <c r="E424" s="4">
        <f>VLOOKUP($A424,[1]彩含分析60315!$A:$M,11,0)</f>
        <v>62</v>
      </c>
      <c r="F424" s="4">
        <f>VLOOKUP($A424,[1]彩含分析60315!$A:$M,12,0)</f>
        <v>62</v>
      </c>
      <c r="G424" s="4">
        <f>VLOOKUP($A424,[1]彩含分析60315!$A:$M,13,0)</f>
        <v>61</v>
      </c>
      <c r="H424" s="4" t="s">
        <v>39</v>
      </c>
      <c r="I424" s="3" t="s">
        <v>836</v>
      </c>
    </row>
    <row r="425" customHeight="1" spans="1:9">
      <c r="A425" s="4" t="s">
        <v>837</v>
      </c>
      <c r="B425" s="4">
        <f>VLOOKUP($A425,[1]彩含分析60315!$A:$M,8,0)</f>
        <v>52</v>
      </c>
      <c r="C425" s="4">
        <f>VLOOKUP($A425,[1]彩含分析60315!$A:$M,9,0)</f>
        <v>52</v>
      </c>
      <c r="D425" s="4">
        <f>VLOOKUP($A425,[1]彩含分析60315!$A:$M,10,0)</f>
        <v>51</v>
      </c>
      <c r="E425" s="4">
        <f>VLOOKUP($A425,[1]彩含分析60315!$A:$M,11,0)</f>
        <v>50</v>
      </c>
      <c r="F425" s="4">
        <f>VLOOKUP($A425,[1]彩含分析60315!$A:$M,12,0)</f>
        <v>49</v>
      </c>
      <c r="G425" s="4">
        <f>VLOOKUP($A425,[1]彩含分析60315!$A:$M,13,0)</f>
        <v>49</v>
      </c>
      <c r="H425" s="4" t="s">
        <v>39</v>
      </c>
      <c r="I425" s="3" t="s">
        <v>838</v>
      </c>
    </row>
    <row r="426" customHeight="1" spans="1:9">
      <c r="A426" s="4" t="s">
        <v>839</v>
      </c>
      <c r="B426" s="4">
        <f>VLOOKUP($A426,[1]彩含分析60315!$A:$M,8,0)</f>
        <v>45</v>
      </c>
      <c r="C426" s="4">
        <f>VLOOKUP($A426,[1]彩含分析60315!$A:$M,9,0)</f>
        <v>44</v>
      </c>
      <c r="D426" s="4">
        <f>VLOOKUP($A426,[1]彩含分析60315!$A:$M,10,0)</f>
        <v>43</v>
      </c>
      <c r="E426" s="4">
        <f>VLOOKUP($A426,[1]彩含分析60315!$A:$M,11,0)</f>
        <v>42</v>
      </c>
      <c r="F426" s="4">
        <f>VLOOKUP($A426,[1]彩含分析60315!$A:$M,12,0)</f>
        <v>42</v>
      </c>
      <c r="G426" s="4">
        <f>VLOOKUP($A426,[1]彩含分析60315!$A:$M,13,0)</f>
        <v>41</v>
      </c>
      <c r="H426" s="4" t="s">
        <v>39</v>
      </c>
      <c r="I426" s="3" t="s">
        <v>828</v>
      </c>
    </row>
    <row r="427" customHeight="1" spans="1:9">
      <c r="A427" s="4" t="s">
        <v>840</v>
      </c>
      <c r="B427" s="4">
        <f>VLOOKUP($A427,[1]彩含分析60315!$A:$M,8,0)</f>
        <v>46</v>
      </c>
      <c r="C427" s="4">
        <f>VLOOKUP($A427,[1]彩含分析60315!$A:$M,9,0)</f>
        <v>45</v>
      </c>
      <c r="D427" s="4">
        <f>VLOOKUP($A427,[1]彩含分析60315!$A:$M,10,0)</f>
        <v>44</v>
      </c>
      <c r="E427" s="4">
        <f>VLOOKUP($A427,[1]彩含分析60315!$A:$M,11,0)</f>
        <v>44</v>
      </c>
      <c r="F427" s="4">
        <f>VLOOKUP($A427,[1]彩含分析60315!$A:$M,12,0)</f>
        <v>43</v>
      </c>
      <c r="G427" s="4">
        <f>VLOOKUP($A427,[1]彩含分析60315!$A:$M,13,0)</f>
        <v>42</v>
      </c>
      <c r="H427" s="4" t="s">
        <v>39</v>
      </c>
      <c r="I427" s="3" t="s">
        <v>841</v>
      </c>
    </row>
    <row r="428" customHeight="1" spans="1:9">
      <c r="A428" s="4" t="s">
        <v>842</v>
      </c>
      <c r="B428" s="4">
        <f>VLOOKUP($A428,[1]彩含分析60315!$A:$M,8,0)</f>
        <v>50</v>
      </c>
      <c r="C428" s="4">
        <f>VLOOKUP($A428,[1]彩含分析60315!$A:$M,9,0)</f>
        <v>49</v>
      </c>
      <c r="D428" s="4">
        <f>VLOOKUP($A428,[1]彩含分析60315!$A:$M,10,0)</f>
        <v>48</v>
      </c>
      <c r="E428" s="4">
        <f>VLOOKUP($A428,[1]彩含分析60315!$A:$M,11,0)</f>
        <v>47</v>
      </c>
      <c r="F428" s="4">
        <f>VLOOKUP($A428,[1]彩含分析60315!$A:$M,12,0)</f>
        <v>47</v>
      </c>
      <c r="G428" s="4">
        <f>VLOOKUP($A428,[1]彩含分析60315!$A:$M,13,0)</f>
        <v>46</v>
      </c>
      <c r="H428" s="4" t="s">
        <v>39</v>
      </c>
      <c r="I428" s="3" t="s">
        <v>843</v>
      </c>
    </row>
    <row r="429" customHeight="1" spans="1:9">
      <c r="A429" s="4" t="s">
        <v>844</v>
      </c>
      <c r="B429" s="4">
        <f>VLOOKUP($A429,[1]彩含分析60315!$A:$M,8,0)</f>
        <v>62</v>
      </c>
      <c r="C429" s="4">
        <f>VLOOKUP($A429,[1]彩含分析60315!$A:$M,9,0)</f>
        <v>61</v>
      </c>
      <c r="D429" s="4">
        <f>VLOOKUP($A429,[1]彩含分析60315!$A:$M,10,0)</f>
        <v>60</v>
      </c>
      <c r="E429" s="4">
        <f>VLOOKUP($A429,[1]彩含分析60315!$A:$M,11,0)</f>
        <v>59</v>
      </c>
      <c r="F429" s="4">
        <f>VLOOKUP($A429,[1]彩含分析60315!$A:$M,12,0)</f>
        <v>58</v>
      </c>
      <c r="G429" s="4">
        <f>VLOOKUP($A429,[1]彩含分析60315!$A:$M,13,0)</f>
        <v>57</v>
      </c>
      <c r="H429" s="4" t="s">
        <v>39</v>
      </c>
      <c r="I429" s="3" t="s">
        <v>845</v>
      </c>
    </row>
    <row r="430" customHeight="1" spans="1:9">
      <c r="A430" s="4" t="s">
        <v>846</v>
      </c>
      <c r="B430" s="4">
        <f>VLOOKUP($A430,[1]彩含分析60315!$A:$M,8,0)</f>
        <v>66</v>
      </c>
      <c r="C430" s="4">
        <f>VLOOKUP($A430,[1]彩含分析60315!$A:$M,9,0)</f>
        <v>65</v>
      </c>
      <c r="D430" s="4">
        <f>VLOOKUP($A430,[1]彩含分析60315!$A:$M,10,0)</f>
        <v>64</v>
      </c>
      <c r="E430" s="4">
        <f>VLOOKUP($A430,[1]彩含分析60315!$A:$M,11,0)</f>
        <v>62</v>
      </c>
      <c r="F430" s="4">
        <f>VLOOKUP($A430,[1]彩含分析60315!$A:$M,12,0)</f>
        <v>62</v>
      </c>
      <c r="G430" s="4">
        <f>VLOOKUP($A430,[1]彩含分析60315!$A:$M,13,0)</f>
        <v>61</v>
      </c>
      <c r="H430" s="4" t="s">
        <v>39</v>
      </c>
      <c r="I430" s="3" t="s">
        <v>847</v>
      </c>
    </row>
    <row r="431" customHeight="1" spans="1:9">
      <c r="A431" s="4" t="s">
        <v>848</v>
      </c>
      <c r="B431" s="4">
        <f>VLOOKUP($A431,[1]彩含分析60315!$A:$M,8,0)</f>
        <v>54</v>
      </c>
      <c r="C431" s="4">
        <f>VLOOKUP($A431,[1]彩含分析60315!$A:$M,9,0)</f>
        <v>53</v>
      </c>
      <c r="D431" s="4">
        <f>VLOOKUP($A431,[1]彩含分析60315!$A:$M,10,0)</f>
        <v>52</v>
      </c>
      <c r="E431" s="4">
        <f>VLOOKUP($A431,[1]彩含分析60315!$A:$M,11,0)</f>
        <v>51</v>
      </c>
      <c r="F431" s="4">
        <f>VLOOKUP($A431,[1]彩含分析60315!$A:$M,12,0)</f>
        <v>51</v>
      </c>
      <c r="G431" s="4">
        <f>VLOOKUP($A431,[1]彩含分析60315!$A:$M,13,0)</f>
        <v>50</v>
      </c>
      <c r="H431" s="4" t="s">
        <v>39</v>
      </c>
      <c r="I431" s="3" t="s">
        <v>849</v>
      </c>
    </row>
    <row r="432" customHeight="1" spans="1:9">
      <c r="A432" s="4" t="s">
        <v>850</v>
      </c>
      <c r="B432" s="4">
        <f>VLOOKUP($A432,[1]彩含分析60315!$A:$M,8,0)</f>
        <v>63</v>
      </c>
      <c r="C432" s="4">
        <f>VLOOKUP($A432,[1]彩含分析60315!$A:$M,9,0)</f>
        <v>62</v>
      </c>
      <c r="D432" s="4">
        <f>VLOOKUP($A432,[1]彩含分析60315!$A:$M,10,0)</f>
        <v>61</v>
      </c>
      <c r="E432" s="4">
        <f>VLOOKUP($A432,[1]彩含分析60315!$A:$M,11,0)</f>
        <v>60</v>
      </c>
      <c r="F432" s="4">
        <f>VLOOKUP($A432,[1]彩含分析60315!$A:$M,12,0)</f>
        <v>60</v>
      </c>
      <c r="G432" s="4">
        <f>VLOOKUP($A432,[1]彩含分析60315!$A:$M,13,0)</f>
        <v>59</v>
      </c>
      <c r="H432" s="4" t="s">
        <v>39</v>
      </c>
      <c r="I432" s="3" t="s">
        <v>851</v>
      </c>
    </row>
    <row r="433" customHeight="1" spans="1:9">
      <c r="A433" s="4" t="s">
        <v>852</v>
      </c>
      <c r="B433" s="4">
        <f>VLOOKUP($A433,[1]彩含分析60315!$A:$M,8,0)</f>
        <v>52</v>
      </c>
      <c r="C433" s="4">
        <f>VLOOKUP($A433,[1]彩含分析60315!$A:$M,9,0)</f>
        <v>52</v>
      </c>
      <c r="D433" s="4">
        <f>VLOOKUP($A433,[1]彩含分析60315!$A:$M,10,0)</f>
        <v>51</v>
      </c>
      <c r="E433" s="4">
        <f>VLOOKUP($A433,[1]彩含分析60315!$A:$M,11,0)</f>
        <v>50</v>
      </c>
      <c r="F433" s="4">
        <f>VLOOKUP($A433,[1]彩含分析60315!$A:$M,12,0)</f>
        <v>49</v>
      </c>
      <c r="G433" s="4">
        <f>VLOOKUP($A433,[1]彩含分析60315!$A:$M,13,0)</f>
        <v>49</v>
      </c>
      <c r="H433" s="4" t="s">
        <v>39</v>
      </c>
      <c r="I433" s="3" t="s">
        <v>853</v>
      </c>
    </row>
    <row r="434" customHeight="1" spans="1:9">
      <c r="A434" s="4" t="s">
        <v>854</v>
      </c>
      <c r="B434" s="4">
        <f>VLOOKUP($A434,[1]彩含分析60315!$A:$M,8,0)</f>
        <v>48</v>
      </c>
      <c r="C434" s="4">
        <f>VLOOKUP($A434,[1]彩含分析60315!$A:$M,9,0)</f>
        <v>46</v>
      </c>
      <c r="D434" s="4">
        <f>VLOOKUP($A434,[1]彩含分析60315!$A:$M,10,0)</f>
        <v>44</v>
      </c>
      <c r="E434" s="4">
        <f>VLOOKUP($A434,[1]彩含分析60315!$A:$M,11,0)</f>
        <v>42</v>
      </c>
      <c r="F434" s="4">
        <f>VLOOKUP($A434,[1]彩含分析60315!$A:$M,12,0)</f>
        <v>41</v>
      </c>
      <c r="G434" s="4">
        <f>VLOOKUP($A434,[1]彩含分析60315!$A:$M,13,0)</f>
        <v>39</v>
      </c>
      <c r="H434" s="4" t="s">
        <v>10</v>
      </c>
      <c r="I434" s="3" t="s">
        <v>855</v>
      </c>
    </row>
    <row r="435" customHeight="1" spans="1:9">
      <c r="A435" s="5" t="s">
        <v>856</v>
      </c>
      <c r="B435" s="4">
        <f>VLOOKUP($A435,[1]彩含分析60315!$A:$M,8,0)</f>
        <v>57</v>
      </c>
      <c r="C435" s="4">
        <f>VLOOKUP($A435,[1]彩含分析60315!$A:$M,9,0)</f>
        <v>56</v>
      </c>
      <c r="D435" s="4">
        <f>VLOOKUP($A435,[1]彩含分析60315!$A:$M,10,0)</f>
        <v>55</v>
      </c>
      <c r="E435" s="4">
        <f>VLOOKUP($A435,[1]彩含分析60315!$A:$M,11,0)</f>
        <v>54</v>
      </c>
      <c r="F435" s="4">
        <f>VLOOKUP($A435,[1]彩含分析60315!$A:$M,12,0)</f>
        <v>53</v>
      </c>
      <c r="G435" s="4">
        <f>VLOOKUP($A435,[1]彩含分析60315!$A:$M,13,0)</f>
        <v>52</v>
      </c>
      <c r="H435" s="4" t="s">
        <v>39</v>
      </c>
      <c r="I435" s="3" t="s">
        <v>857</v>
      </c>
    </row>
    <row r="436" customHeight="1" spans="1:9">
      <c r="A436" s="5" t="s">
        <v>858</v>
      </c>
      <c r="B436" s="4">
        <f>VLOOKUP($A436,[1]彩含分析60315!$A:$M,8,0)</f>
        <v>35</v>
      </c>
      <c r="C436" s="4">
        <f>VLOOKUP($A436,[1]彩含分析60315!$A:$M,9,0)</f>
        <v>34</v>
      </c>
      <c r="D436" s="4">
        <f>VLOOKUP($A436,[1]彩含分析60315!$A:$M,10,0)</f>
        <v>32</v>
      </c>
      <c r="E436" s="4">
        <f>VLOOKUP($A436,[1]彩含分析60315!$A:$M,11,0)</f>
        <v>31</v>
      </c>
      <c r="F436" s="4">
        <f>VLOOKUP($A436,[1]彩含分析60315!$A:$M,12,0)</f>
        <v>30</v>
      </c>
      <c r="G436" s="4">
        <f>VLOOKUP($A436,[1]彩含分析60315!$A:$M,13,0)</f>
        <v>29</v>
      </c>
      <c r="H436" s="4" t="s">
        <v>10</v>
      </c>
      <c r="I436" s="3" t="s">
        <v>859</v>
      </c>
    </row>
    <row r="437" customHeight="1" spans="1:9">
      <c r="A437" s="5" t="s">
        <v>860</v>
      </c>
      <c r="B437" s="4">
        <f>VLOOKUP($A437,[1]彩含分析60315!$A:$M,8,0)</f>
        <v>50</v>
      </c>
      <c r="C437" s="4">
        <f>VLOOKUP($A437,[1]彩含分析60315!$A:$M,9,0)</f>
        <v>48</v>
      </c>
      <c r="D437" s="4">
        <f>VLOOKUP($A437,[1]彩含分析60315!$A:$M,10,0)</f>
        <v>46</v>
      </c>
      <c r="E437" s="4">
        <f>VLOOKUP($A437,[1]彩含分析60315!$A:$M,11,0)</f>
        <v>44</v>
      </c>
      <c r="F437" s="4">
        <f>VLOOKUP($A437,[1]彩含分析60315!$A:$M,12,0)</f>
        <v>42</v>
      </c>
      <c r="G437" s="4">
        <f>VLOOKUP($A437,[1]彩含分析60315!$A:$M,13,0)</f>
        <v>41</v>
      </c>
      <c r="H437" s="4" t="s">
        <v>10</v>
      </c>
      <c r="I437" s="3" t="s">
        <v>861</v>
      </c>
    </row>
    <row r="438" customHeight="1" spans="1:9">
      <c r="A438" s="5" t="s">
        <v>862</v>
      </c>
      <c r="B438" s="4">
        <f>VLOOKUP($A438,[1]彩含分析60315!$A:$M,8,0)</f>
        <v>50</v>
      </c>
      <c r="C438" s="4">
        <f>VLOOKUP($A438,[1]彩含分析60315!$A:$M,9,0)</f>
        <v>49</v>
      </c>
      <c r="D438" s="4">
        <f>VLOOKUP($A438,[1]彩含分析60315!$A:$M,10,0)</f>
        <v>47</v>
      </c>
      <c r="E438" s="4">
        <f>VLOOKUP($A438,[1]彩含分析60315!$A:$M,11,0)</f>
        <v>45</v>
      </c>
      <c r="F438" s="4">
        <f>VLOOKUP($A438,[1]彩含分析60315!$A:$M,12,0)</f>
        <v>43</v>
      </c>
      <c r="G438" s="4">
        <f>VLOOKUP($A438,[1]彩含分析60315!$A:$M,13,0)</f>
        <v>41</v>
      </c>
      <c r="H438" s="4" t="s">
        <v>10</v>
      </c>
      <c r="I438" s="3" t="s">
        <v>863</v>
      </c>
    </row>
    <row r="439" customHeight="1" spans="1:9">
      <c r="A439" s="5" t="s">
        <v>864</v>
      </c>
      <c r="B439" s="4">
        <f>VLOOKUP($A439,[1]彩含分析60315!$A:$M,8,0)</f>
        <v>59</v>
      </c>
      <c r="C439" s="4">
        <f>VLOOKUP($A439,[1]彩含分析60315!$A:$M,9,0)</f>
        <v>58</v>
      </c>
      <c r="D439" s="4">
        <f>VLOOKUP($A439,[1]彩含分析60315!$A:$M,10,0)</f>
        <v>57</v>
      </c>
      <c r="E439" s="4">
        <f>VLOOKUP($A439,[1]彩含分析60315!$A:$M,11,0)</f>
        <v>56</v>
      </c>
      <c r="F439" s="4">
        <f>VLOOKUP($A439,[1]彩含分析60315!$A:$M,12,0)</f>
        <v>56</v>
      </c>
      <c r="G439" s="4">
        <f>VLOOKUP($A439,[1]彩含分析60315!$A:$M,13,0)</f>
        <v>55</v>
      </c>
      <c r="H439" s="4" t="s">
        <v>39</v>
      </c>
      <c r="I439" s="3" t="s">
        <v>865</v>
      </c>
    </row>
    <row r="440" customHeight="1" spans="1:9">
      <c r="A440" s="5" t="s">
        <v>866</v>
      </c>
      <c r="B440" s="4">
        <f>VLOOKUP($A440,[1]彩含分析60315!$A:$M,8,0)</f>
        <v>55</v>
      </c>
      <c r="C440" s="4">
        <f>VLOOKUP($A440,[1]彩含分析60315!$A:$M,9,0)</f>
        <v>54</v>
      </c>
      <c r="D440" s="4">
        <f>VLOOKUP($A440,[1]彩含分析60315!$A:$M,10,0)</f>
        <v>53</v>
      </c>
      <c r="E440" s="4">
        <f>VLOOKUP($A440,[1]彩含分析60315!$A:$M,11,0)</f>
        <v>52</v>
      </c>
      <c r="F440" s="4">
        <f>VLOOKUP($A440,[1]彩含分析60315!$A:$M,12,0)</f>
        <v>52</v>
      </c>
      <c r="G440" s="4">
        <f>VLOOKUP($A440,[1]彩含分析60315!$A:$M,13,0)</f>
        <v>51</v>
      </c>
      <c r="H440" s="4" t="s">
        <v>39</v>
      </c>
      <c r="I440" s="3" t="s">
        <v>867</v>
      </c>
    </row>
    <row r="441" customHeight="1" spans="1:9">
      <c r="A441" s="5" t="s">
        <v>868</v>
      </c>
      <c r="B441" s="4">
        <f>VLOOKUP($A441,[1]彩含分析60315!$A:$M,8,0)</f>
        <v>50</v>
      </c>
      <c r="C441" s="4">
        <f>VLOOKUP($A441,[1]彩含分析60315!$A:$M,9,0)</f>
        <v>49</v>
      </c>
      <c r="D441" s="4">
        <f>VLOOKUP($A441,[1]彩含分析60315!$A:$M,10,0)</f>
        <v>47</v>
      </c>
      <c r="E441" s="4">
        <f>VLOOKUP($A441,[1]彩含分析60315!$A:$M,11,0)</f>
        <v>45</v>
      </c>
      <c r="F441" s="4">
        <f>VLOOKUP($A441,[1]彩含分析60315!$A:$M,12,0)</f>
        <v>43</v>
      </c>
      <c r="G441" s="4">
        <f>VLOOKUP($A441,[1]彩含分析60315!$A:$M,13,0)</f>
        <v>41</v>
      </c>
      <c r="H441" s="4" t="s">
        <v>10</v>
      </c>
      <c r="I441" s="3" t="s">
        <v>869</v>
      </c>
    </row>
    <row r="442" customHeight="1" spans="1:9">
      <c r="A442" s="5" t="s">
        <v>870</v>
      </c>
      <c r="B442" s="4">
        <f>VLOOKUP($A442,[1]彩含分析60315!$A:$M,8,0)</f>
        <v>52</v>
      </c>
      <c r="C442" s="4">
        <f>VLOOKUP($A442,[1]彩含分析60315!$A:$M,9,0)</f>
        <v>52</v>
      </c>
      <c r="D442" s="4">
        <f>VLOOKUP($A442,[1]彩含分析60315!$A:$M,10,0)</f>
        <v>51</v>
      </c>
      <c r="E442" s="4">
        <f>VLOOKUP($A442,[1]彩含分析60315!$A:$M,11,0)</f>
        <v>50</v>
      </c>
      <c r="F442" s="4">
        <f>VLOOKUP($A442,[1]彩含分析60315!$A:$M,12,0)</f>
        <v>49</v>
      </c>
      <c r="G442" s="4">
        <f>VLOOKUP($A442,[1]彩含分析60315!$A:$M,13,0)</f>
        <v>49</v>
      </c>
      <c r="H442" s="4" t="s">
        <v>39</v>
      </c>
      <c r="I442" s="3" t="s">
        <v>871</v>
      </c>
    </row>
    <row r="443" customHeight="1" spans="1:9">
      <c r="A443" s="5" t="s">
        <v>872</v>
      </c>
      <c r="B443" s="4">
        <f>VLOOKUP($A443,[1]彩含分析60315!$A:$M,8,0)</f>
        <v>52</v>
      </c>
      <c r="C443" s="4">
        <f>VLOOKUP($A443,[1]彩含分析60315!$A:$M,9,0)</f>
        <v>52</v>
      </c>
      <c r="D443" s="4">
        <f>VLOOKUP($A443,[1]彩含分析60315!$A:$M,10,0)</f>
        <v>51</v>
      </c>
      <c r="E443" s="4">
        <f>VLOOKUP($A443,[1]彩含分析60315!$A:$M,11,0)</f>
        <v>50</v>
      </c>
      <c r="F443" s="4">
        <f>VLOOKUP($A443,[1]彩含分析60315!$A:$M,12,0)</f>
        <v>49</v>
      </c>
      <c r="G443" s="4">
        <f>VLOOKUP($A443,[1]彩含分析60315!$A:$M,13,0)</f>
        <v>49</v>
      </c>
      <c r="H443" s="4" t="s">
        <v>39</v>
      </c>
      <c r="I443" s="3" t="s">
        <v>873</v>
      </c>
    </row>
    <row r="444" customHeight="1" spans="1:9">
      <c r="A444" s="5" t="s">
        <v>874</v>
      </c>
      <c r="B444" s="4">
        <f>VLOOKUP($A444,[1]彩含分析60315!$A:$M,8,0)</f>
        <v>43</v>
      </c>
      <c r="C444" s="4">
        <f>VLOOKUP($A444,[1]彩含分析60315!$A:$M,9,0)</f>
        <v>41</v>
      </c>
      <c r="D444" s="4">
        <f>VLOOKUP($A444,[1]彩含分析60315!$A:$M,10,0)</f>
        <v>39</v>
      </c>
      <c r="E444" s="4">
        <f>VLOOKUP($A444,[1]彩含分析60315!$A:$M,11,0)</f>
        <v>38</v>
      </c>
      <c r="F444" s="4">
        <f>VLOOKUP($A444,[1]彩含分析60315!$A:$M,12,0)</f>
        <v>36</v>
      </c>
      <c r="G444" s="4">
        <f>VLOOKUP($A444,[1]彩含分析60315!$A:$M,13,0)</f>
        <v>35</v>
      </c>
      <c r="H444" s="4" t="s">
        <v>10</v>
      </c>
      <c r="I444" s="3" t="s">
        <v>875</v>
      </c>
    </row>
    <row r="445" customHeight="1" spans="1:9">
      <c r="A445" s="5" t="s">
        <v>876</v>
      </c>
      <c r="B445" s="4">
        <f>VLOOKUP($A445,[1]彩含分析60315!$A:$M,8,0)</f>
        <v>49</v>
      </c>
      <c r="C445" s="4">
        <f>VLOOKUP($A445,[1]彩含分析60315!$A:$M,9,0)</f>
        <v>47</v>
      </c>
      <c r="D445" s="4">
        <f>VLOOKUP($A445,[1]彩含分析60315!$A:$M,10,0)</f>
        <v>45</v>
      </c>
      <c r="E445" s="4">
        <f>VLOOKUP($A445,[1]彩含分析60315!$A:$M,11,0)</f>
        <v>44</v>
      </c>
      <c r="F445" s="4">
        <f>VLOOKUP($A445,[1]彩含分析60315!$A:$M,12,0)</f>
        <v>42</v>
      </c>
      <c r="G445" s="4">
        <f>VLOOKUP($A445,[1]彩含分析60315!$A:$M,13,0)</f>
        <v>40</v>
      </c>
      <c r="H445" s="4" t="s">
        <v>10</v>
      </c>
      <c r="I445" s="3" t="s">
        <v>877</v>
      </c>
    </row>
    <row r="446" customHeight="1" spans="1:9">
      <c r="A446" s="5" t="s">
        <v>878</v>
      </c>
      <c r="B446" s="4">
        <f>VLOOKUP($A446,[1]彩含分析60315!$A:$M,8,0)</f>
        <v>35</v>
      </c>
      <c r="C446" s="4">
        <f>VLOOKUP($A446,[1]彩含分析60315!$A:$M,9,0)</f>
        <v>34</v>
      </c>
      <c r="D446" s="4">
        <f>VLOOKUP($A446,[1]彩含分析60315!$A:$M,10,0)</f>
        <v>33</v>
      </c>
      <c r="E446" s="4">
        <f>VLOOKUP($A446,[1]彩含分析60315!$A:$M,11,0)</f>
        <v>31</v>
      </c>
      <c r="F446" s="4">
        <f>VLOOKUP($A446,[1]彩含分析60315!$A:$M,12,0)</f>
        <v>30</v>
      </c>
      <c r="G446" s="4">
        <f>VLOOKUP($A446,[1]彩含分析60315!$A:$M,13,0)</f>
        <v>29</v>
      </c>
      <c r="H446" s="4" t="s">
        <v>10</v>
      </c>
      <c r="I446" s="3" t="s">
        <v>879</v>
      </c>
    </row>
    <row r="447" customHeight="1" spans="1:9">
      <c r="A447" s="5" t="s">
        <v>880</v>
      </c>
      <c r="B447" s="4">
        <f>VLOOKUP($A447,[1]彩含分析60315!$A:$M,8,0)</f>
        <v>42</v>
      </c>
      <c r="C447" s="4">
        <f>VLOOKUP($A447,[1]彩含分析60315!$A:$M,9,0)</f>
        <v>40</v>
      </c>
      <c r="D447" s="4">
        <f>VLOOKUP($A447,[1]彩含分析60315!$A:$M,10,0)</f>
        <v>39</v>
      </c>
      <c r="E447" s="4">
        <f>VLOOKUP($A447,[1]彩含分析60315!$A:$M,11,0)</f>
        <v>37</v>
      </c>
      <c r="F447" s="4">
        <f>VLOOKUP($A447,[1]彩含分析60315!$A:$M,12,0)</f>
        <v>36</v>
      </c>
      <c r="G447" s="4">
        <f>VLOOKUP($A447,[1]彩含分析60315!$A:$M,13,0)</f>
        <v>34</v>
      </c>
      <c r="H447" s="4" t="s">
        <v>10</v>
      </c>
      <c r="I447" s="3" t="s">
        <v>881</v>
      </c>
    </row>
    <row r="448" customHeight="1" spans="1:9">
      <c r="A448" s="5" t="s">
        <v>882</v>
      </c>
      <c r="B448" s="4">
        <f>VLOOKUP($A448,[1]彩含分析60315!$A:$M,8,0)</f>
        <v>52</v>
      </c>
      <c r="C448" s="4">
        <f>VLOOKUP($A448,[1]彩含分析60315!$A:$M,9,0)</f>
        <v>50</v>
      </c>
      <c r="D448" s="4">
        <f>VLOOKUP($A448,[1]彩含分析60315!$A:$M,10,0)</f>
        <v>48</v>
      </c>
      <c r="E448" s="4">
        <f>VLOOKUP($A448,[1]彩含分析60315!$A:$M,11,0)</f>
        <v>46</v>
      </c>
      <c r="F448" s="4">
        <f>VLOOKUP($A448,[1]彩含分析60315!$A:$M,12,0)</f>
        <v>44</v>
      </c>
      <c r="G448" s="4">
        <f>VLOOKUP($A448,[1]彩含分析60315!$A:$M,13,0)</f>
        <v>42</v>
      </c>
      <c r="H448" s="4" t="s">
        <v>10</v>
      </c>
      <c r="I448" s="3" t="s">
        <v>883</v>
      </c>
    </row>
    <row r="449" customHeight="1" spans="1:9">
      <c r="A449" s="4" t="s">
        <v>884</v>
      </c>
      <c r="B449" s="4">
        <f>VLOOKUP($A449,[1]彩含分析60315!$A:$M,8,0)</f>
        <v>40</v>
      </c>
      <c r="C449" s="4">
        <f>VLOOKUP($A449,[1]彩含分析60315!$A:$M,9,0)</f>
        <v>38</v>
      </c>
      <c r="D449" s="4">
        <f>VLOOKUP($A449,[1]彩含分析60315!$A:$M,10,0)</f>
        <v>37</v>
      </c>
      <c r="E449" s="4">
        <f>VLOOKUP($A449,[1]彩含分析60315!$A:$M,11,0)</f>
        <v>35</v>
      </c>
      <c r="F449" s="4">
        <f>VLOOKUP($A449,[1]彩含分析60315!$A:$M,12,0)</f>
        <v>34</v>
      </c>
      <c r="G449" s="4">
        <f>VLOOKUP($A449,[1]彩含分析60315!$A:$M,13,0)</f>
        <v>32</v>
      </c>
      <c r="H449" s="4" t="s">
        <v>10</v>
      </c>
      <c r="I449" s="3" t="s">
        <v>885</v>
      </c>
    </row>
    <row r="450" customHeight="1" spans="1:9">
      <c r="A450" s="4" t="s">
        <v>886</v>
      </c>
      <c r="B450" s="4">
        <f>VLOOKUP($A450,[1]彩含分析60315!$A:$M,8,0)</f>
        <v>39</v>
      </c>
      <c r="C450" s="4">
        <f>VLOOKUP($A450,[1]彩含分析60315!$A:$M,9,0)</f>
        <v>39</v>
      </c>
      <c r="D450" s="4">
        <f>VLOOKUP($A450,[1]彩含分析60315!$A:$M,10,0)</f>
        <v>38</v>
      </c>
      <c r="E450" s="4">
        <f>VLOOKUP($A450,[1]彩含分析60315!$A:$M,11,0)</f>
        <v>37</v>
      </c>
      <c r="F450" s="4">
        <f>VLOOKUP($A450,[1]彩含分析60315!$A:$M,12,0)</f>
        <v>37</v>
      </c>
      <c r="G450" s="4">
        <f>VLOOKUP($A450,[1]彩含分析60315!$A:$M,13,0)</f>
        <v>36</v>
      </c>
      <c r="H450" s="4" t="s">
        <v>39</v>
      </c>
      <c r="I450" s="3" t="s">
        <v>887</v>
      </c>
    </row>
    <row r="451" customHeight="1" spans="1:9">
      <c r="A451" s="4" t="s">
        <v>888</v>
      </c>
      <c r="B451" s="4">
        <f>VLOOKUP($A451,[1]彩含分析60315!$A:$M,8,0)</f>
        <v>39</v>
      </c>
      <c r="C451" s="4">
        <f>VLOOKUP($A451,[1]彩含分析60315!$A:$M,9,0)</f>
        <v>39</v>
      </c>
      <c r="D451" s="4">
        <f>VLOOKUP($A451,[1]彩含分析60315!$A:$M,10,0)</f>
        <v>38</v>
      </c>
      <c r="E451" s="4">
        <f>VLOOKUP($A451,[1]彩含分析60315!$A:$M,11,0)</f>
        <v>37</v>
      </c>
      <c r="F451" s="4">
        <f>VLOOKUP($A451,[1]彩含分析60315!$A:$M,12,0)</f>
        <v>37</v>
      </c>
      <c r="G451" s="4">
        <f>VLOOKUP($A451,[1]彩含分析60315!$A:$M,13,0)</f>
        <v>36</v>
      </c>
      <c r="H451" s="4" t="s">
        <v>39</v>
      </c>
      <c r="I451" s="3" t="s">
        <v>889</v>
      </c>
    </row>
    <row r="452" customHeight="1" spans="1:9">
      <c r="A452" s="4" t="s">
        <v>890</v>
      </c>
      <c r="B452" s="4">
        <f>VLOOKUP($A452,[1]彩含分析60315!$A:$M,8,0)</f>
        <v>29</v>
      </c>
      <c r="C452" s="4">
        <f>VLOOKUP($A452,[1]彩含分析60315!$A:$M,9,0)</f>
        <v>28</v>
      </c>
      <c r="D452" s="4">
        <f>VLOOKUP($A452,[1]彩含分析60315!$A:$M,10,0)</f>
        <v>27</v>
      </c>
      <c r="E452" s="4">
        <f>VLOOKUP($A452,[1]彩含分析60315!$A:$M,11,0)</f>
        <v>25</v>
      </c>
      <c r="F452" s="4">
        <f>VLOOKUP($A452,[1]彩含分析60315!$A:$M,12,0)</f>
        <v>24</v>
      </c>
      <c r="G452" s="4">
        <f>VLOOKUP($A452,[1]彩含分析60315!$A:$M,13,0)</f>
        <v>23</v>
      </c>
      <c r="H452" s="4" t="s">
        <v>10</v>
      </c>
      <c r="I452" s="3" t="s">
        <v>891</v>
      </c>
    </row>
    <row r="453" customHeight="1" spans="1:9">
      <c r="A453" s="4" t="s">
        <v>892</v>
      </c>
      <c r="B453" s="4">
        <f>VLOOKUP($A453,[1]彩含分析60315!$A:$M,8,0)</f>
        <v>36</v>
      </c>
      <c r="C453" s="4">
        <f>VLOOKUP($A453,[1]彩含分析60315!$A:$M,9,0)</f>
        <v>35</v>
      </c>
      <c r="D453" s="4">
        <f>VLOOKUP($A453,[1]彩含分析60315!$A:$M,10,0)</f>
        <v>34</v>
      </c>
      <c r="E453" s="4">
        <f>VLOOKUP($A453,[1]彩含分析60315!$A:$M,11,0)</f>
        <v>32</v>
      </c>
      <c r="F453" s="4">
        <f>VLOOKUP($A453,[1]彩含分析60315!$A:$M,12,0)</f>
        <v>31</v>
      </c>
      <c r="G453" s="4">
        <f>VLOOKUP($A453,[1]彩含分析60315!$A:$M,13,0)</f>
        <v>30</v>
      </c>
      <c r="H453" s="4" t="s">
        <v>10</v>
      </c>
      <c r="I453" s="3" t="s">
        <v>893</v>
      </c>
    </row>
    <row r="454" customHeight="1" spans="1:9">
      <c r="A454" s="4" t="s">
        <v>894</v>
      </c>
      <c r="B454" s="4">
        <f>VLOOKUP($A454,[1]彩含分析60315!$A:$M,8,0)</f>
        <v>33</v>
      </c>
      <c r="C454" s="4">
        <f>VLOOKUP($A454,[1]彩含分析60315!$A:$M,9,0)</f>
        <v>32</v>
      </c>
      <c r="D454" s="4">
        <f>VLOOKUP($A454,[1]彩含分析60315!$A:$M,10,0)</f>
        <v>32</v>
      </c>
      <c r="E454" s="4">
        <f>VLOOKUP($A454,[1]彩含分析60315!$A:$M,11,0)</f>
        <v>31</v>
      </c>
      <c r="F454" s="4">
        <f>VLOOKUP($A454,[1]彩含分析60315!$A:$M,12,0)</f>
        <v>31</v>
      </c>
      <c r="G454" s="4">
        <f>VLOOKUP($A454,[1]彩含分析60315!$A:$M,13,0)</f>
        <v>30</v>
      </c>
      <c r="H454" s="4" t="s">
        <v>39</v>
      </c>
      <c r="I454" s="3" t="s">
        <v>895</v>
      </c>
    </row>
    <row r="455" customHeight="1" spans="1:9">
      <c r="A455" s="4" t="s">
        <v>896</v>
      </c>
      <c r="B455" s="4">
        <f>VLOOKUP($A455,[1]彩含分析60315!$A:$M,8,0)</f>
        <v>88</v>
      </c>
      <c r="C455" s="4">
        <f>VLOOKUP($A455,[1]彩含分析60315!$A:$M,9,0)</f>
        <v>87</v>
      </c>
      <c r="D455" s="4">
        <f>VLOOKUP($A455,[1]彩含分析60315!$A:$M,10,0)</f>
        <v>86</v>
      </c>
      <c r="E455" s="4">
        <f>VLOOKUP($A455,[1]彩含分析60315!$A:$M,11,0)</f>
        <v>84</v>
      </c>
      <c r="F455" s="4">
        <f>VLOOKUP($A455,[1]彩含分析60315!$A:$M,12,0)</f>
        <v>83</v>
      </c>
      <c r="G455" s="4">
        <f>VLOOKUP($A455,[1]彩含分析60315!$A:$M,13,0)</f>
        <v>82</v>
      </c>
      <c r="H455" s="4" t="s">
        <v>39</v>
      </c>
      <c r="I455" s="3" t="s">
        <v>897</v>
      </c>
    </row>
    <row r="456" customHeight="1" spans="1:9">
      <c r="A456" s="4" t="s">
        <v>898</v>
      </c>
      <c r="B456" s="4">
        <f>VLOOKUP($A456,[1]彩含分析60315!$A:$M,8,0)</f>
        <v>52</v>
      </c>
      <c r="C456" s="4">
        <f>VLOOKUP($A456,[1]彩含分析60315!$A:$M,9,0)</f>
        <v>50</v>
      </c>
      <c r="D456" s="4">
        <f>VLOOKUP($A456,[1]彩含分析60315!$A:$M,10,0)</f>
        <v>48</v>
      </c>
      <c r="E456" s="4">
        <f>VLOOKUP($A456,[1]彩含分析60315!$A:$M,11,0)</f>
        <v>46</v>
      </c>
      <c r="F456" s="4">
        <f>VLOOKUP($A456,[1]彩含分析60315!$A:$M,12,0)</f>
        <v>44</v>
      </c>
      <c r="G456" s="4">
        <f>VLOOKUP($A456,[1]彩含分析60315!$A:$M,13,0)</f>
        <v>42</v>
      </c>
      <c r="H456" s="4" t="s">
        <v>10</v>
      </c>
      <c r="I456" s="3" t="s">
        <v>899</v>
      </c>
    </row>
    <row r="457" customHeight="1" spans="1:9">
      <c r="A457" s="4" t="s">
        <v>900</v>
      </c>
      <c r="B457" s="4">
        <f>VLOOKUP($A457,[1]彩含分析60315!$A:$M,8,0)</f>
        <v>50</v>
      </c>
      <c r="C457" s="4">
        <f>VLOOKUP($A457,[1]彩含分析60315!$A:$M,9,0)</f>
        <v>49</v>
      </c>
      <c r="D457" s="4">
        <f>VLOOKUP($A457,[1]彩含分析60315!$A:$M,10,0)</f>
        <v>47</v>
      </c>
      <c r="E457" s="4">
        <f>VLOOKUP($A457,[1]彩含分析60315!$A:$M,11,0)</f>
        <v>45</v>
      </c>
      <c r="F457" s="4">
        <f>VLOOKUP($A457,[1]彩含分析60315!$A:$M,12,0)</f>
        <v>43</v>
      </c>
      <c r="G457" s="4">
        <f>VLOOKUP($A457,[1]彩含分析60315!$A:$M,13,0)</f>
        <v>41</v>
      </c>
      <c r="H457" s="4" t="s">
        <v>10</v>
      </c>
      <c r="I457" s="3" t="s">
        <v>901</v>
      </c>
    </row>
    <row r="458" customHeight="1" spans="1:9">
      <c r="A458" s="4" t="s">
        <v>902</v>
      </c>
      <c r="B458" s="4">
        <f>VLOOKUP($A458,[1]彩含分析60315!$A:$M,8,0)</f>
        <v>62</v>
      </c>
      <c r="C458" s="4">
        <f>VLOOKUP($A458,[1]彩含分析60315!$A:$M,9,0)</f>
        <v>61</v>
      </c>
      <c r="D458" s="4">
        <f>VLOOKUP($A458,[1]彩含分析60315!$A:$M,10,0)</f>
        <v>60</v>
      </c>
      <c r="E458" s="4">
        <f>VLOOKUP($A458,[1]彩含分析60315!$A:$M,11,0)</f>
        <v>59</v>
      </c>
      <c r="F458" s="4">
        <f>VLOOKUP($A458,[1]彩含分析60315!$A:$M,12,0)</f>
        <v>58</v>
      </c>
      <c r="G458" s="4">
        <f>VLOOKUP($A458,[1]彩含分析60315!$A:$M,13,0)</f>
        <v>57</v>
      </c>
      <c r="H458" s="4" t="s">
        <v>39</v>
      </c>
      <c r="I458" s="3" t="s">
        <v>903</v>
      </c>
    </row>
    <row r="459" customHeight="1" spans="1:9">
      <c r="A459" s="4" t="s">
        <v>904</v>
      </c>
      <c r="B459" s="4">
        <f>VLOOKUP($A459,[1]彩含分析60315!$A:$M,8,0)</f>
        <v>44</v>
      </c>
      <c r="C459" s="4">
        <f>VLOOKUP($A459,[1]彩含分析60315!$A:$M,9,0)</f>
        <v>42</v>
      </c>
      <c r="D459" s="4">
        <f>VLOOKUP($A459,[1]彩含分析60315!$A:$M,10,0)</f>
        <v>41</v>
      </c>
      <c r="E459" s="4">
        <f>VLOOKUP($A459,[1]彩含分析60315!$A:$M,11,0)</f>
        <v>39</v>
      </c>
      <c r="F459" s="4">
        <f>VLOOKUP($A459,[1]彩含分析60315!$A:$M,12,0)</f>
        <v>37</v>
      </c>
      <c r="G459" s="4">
        <f>VLOOKUP($A459,[1]彩含分析60315!$A:$M,13,0)</f>
        <v>36</v>
      </c>
      <c r="H459" s="4" t="s">
        <v>10</v>
      </c>
      <c r="I459" s="3" t="s">
        <v>905</v>
      </c>
    </row>
    <row r="460" customHeight="1" spans="1:9">
      <c r="A460" s="4" t="s">
        <v>906</v>
      </c>
      <c r="B460" s="4">
        <f>VLOOKUP($A460,[1]彩含分析60315!$A:$M,8,0)</f>
        <v>33</v>
      </c>
      <c r="C460" s="4">
        <f>VLOOKUP($A460,[1]彩含分析60315!$A:$M,9,0)</f>
        <v>31</v>
      </c>
      <c r="D460" s="4">
        <f>VLOOKUP($A460,[1]彩含分析60315!$A:$M,10,0)</f>
        <v>30</v>
      </c>
      <c r="E460" s="4">
        <f>VLOOKUP($A460,[1]彩含分析60315!$A:$M,11,0)</f>
        <v>29</v>
      </c>
      <c r="F460" s="4">
        <f>VLOOKUP($A460,[1]彩含分析60315!$A:$M,12,0)</f>
        <v>28</v>
      </c>
      <c r="G460" s="4">
        <f>VLOOKUP($A460,[1]彩含分析60315!$A:$M,13,0)</f>
        <v>27</v>
      </c>
      <c r="H460" s="4" t="s">
        <v>10</v>
      </c>
      <c r="I460" s="3" t="s">
        <v>907</v>
      </c>
    </row>
    <row r="461" customHeight="1" spans="1:9">
      <c r="A461" s="4" t="s">
        <v>908</v>
      </c>
      <c r="B461" s="4">
        <f>VLOOKUP($A461,[1]彩含分析60315!$A:$M,8,0)</f>
        <v>53</v>
      </c>
      <c r="C461" s="4">
        <f>VLOOKUP($A461,[1]彩含分析60315!$A:$M,9,0)</f>
        <v>52</v>
      </c>
      <c r="D461" s="4">
        <f>VLOOKUP($A461,[1]彩含分析60315!$A:$M,10,0)</f>
        <v>51</v>
      </c>
      <c r="E461" s="4">
        <f>VLOOKUP($A461,[1]彩含分析60315!$A:$M,11,0)</f>
        <v>50</v>
      </c>
      <c r="F461" s="4">
        <f>VLOOKUP($A461,[1]彩含分析60315!$A:$M,12,0)</f>
        <v>50</v>
      </c>
      <c r="G461" s="4">
        <f>VLOOKUP($A461,[1]彩含分析60315!$A:$M,13,0)</f>
        <v>49</v>
      </c>
      <c r="H461" s="4" t="s">
        <v>39</v>
      </c>
      <c r="I461" s="3" t="s">
        <v>909</v>
      </c>
    </row>
    <row r="462" customHeight="1" spans="1:9">
      <c r="A462" s="4" t="s">
        <v>910</v>
      </c>
      <c r="B462" s="4">
        <f>VLOOKUP($A462,[1]彩含分析60315!$A:$M,8,0)</f>
        <v>56</v>
      </c>
      <c r="C462" s="4">
        <f>VLOOKUP($A462,[1]彩含分析60315!$A:$M,9,0)</f>
        <v>55</v>
      </c>
      <c r="D462" s="4">
        <f>VLOOKUP($A462,[1]彩含分析60315!$A:$M,10,0)</f>
        <v>54</v>
      </c>
      <c r="E462" s="4">
        <f>VLOOKUP($A462,[1]彩含分析60315!$A:$M,11,0)</f>
        <v>53</v>
      </c>
      <c r="F462" s="4">
        <f>VLOOKUP($A462,[1]彩含分析60315!$A:$M,12,0)</f>
        <v>52</v>
      </c>
      <c r="G462" s="4">
        <f>VLOOKUP($A462,[1]彩含分析60315!$A:$M,13,0)</f>
        <v>51</v>
      </c>
      <c r="H462" s="4" t="s">
        <v>39</v>
      </c>
      <c r="I462" s="3" t="s">
        <v>911</v>
      </c>
    </row>
    <row r="463" customHeight="1" spans="1:9">
      <c r="A463" s="4" t="s">
        <v>912</v>
      </c>
      <c r="B463" s="4">
        <f>VLOOKUP($A463,[1]彩含分析60315!$A:$M,8,0)</f>
        <v>49</v>
      </c>
      <c r="C463" s="4">
        <f>VLOOKUP($A463,[1]彩含分析60315!$A:$M,9,0)</f>
        <v>48</v>
      </c>
      <c r="D463" s="4">
        <f>VLOOKUP($A463,[1]彩含分析60315!$A:$M,10,0)</f>
        <v>47</v>
      </c>
      <c r="E463" s="4">
        <f>VLOOKUP($A463,[1]彩含分析60315!$A:$M,11,0)</f>
        <v>47</v>
      </c>
      <c r="F463" s="4">
        <f>VLOOKUP($A463,[1]彩含分析60315!$A:$M,12,0)</f>
        <v>46</v>
      </c>
      <c r="G463" s="4">
        <f>VLOOKUP($A463,[1]彩含分析60315!$A:$M,13,0)</f>
        <v>45</v>
      </c>
      <c r="H463" s="4" t="s">
        <v>39</v>
      </c>
      <c r="I463" s="3" t="s">
        <v>913</v>
      </c>
    </row>
    <row r="464" customHeight="1" spans="1:9">
      <c r="A464" s="4" t="s">
        <v>914</v>
      </c>
      <c r="B464" s="4">
        <f>VLOOKUP($A464,[1]彩含分析60315!$A:$M,8,0)</f>
        <v>49</v>
      </c>
      <c r="C464" s="4">
        <f>VLOOKUP($A464,[1]彩含分析60315!$A:$M,9,0)</f>
        <v>48</v>
      </c>
      <c r="D464" s="4">
        <f>VLOOKUP($A464,[1]彩含分析60315!$A:$M,10,0)</f>
        <v>47</v>
      </c>
      <c r="E464" s="4">
        <f>VLOOKUP($A464,[1]彩含分析60315!$A:$M,11,0)</f>
        <v>47</v>
      </c>
      <c r="F464" s="4">
        <f>VLOOKUP($A464,[1]彩含分析60315!$A:$M,12,0)</f>
        <v>46</v>
      </c>
      <c r="G464" s="4">
        <f>VLOOKUP($A464,[1]彩含分析60315!$A:$M,13,0)</f>
        <v>45</v>
      </c>
      <c r="H464" s="4" t="s">
        <v>39</v>
      </c>
      <c r="I464" s="3" t="s">
        <v>915</v>
      </c>
    </row>
    <row r="465" customHeight="1" spans="1:9">
      <c r="A465" s="4" t="s">
        <v>916</v>
      </c>
      <c r="B465" s="4">
        <f>VLOOKUP($A465,[1]彩含分析60315!$A:$M,8,0)</f>
        <v>69</v>
      </c>
      <c r="C465" s="4">
        <f>VLOOKUP($A465,[1]彩含分析60315!$A:$M,9,0)</f>
        <v>67</v>
      </c>
      <c r="D465" s="4">
        <f>VLOOKUP($A465,[1]彩含分析60315!$A:$M,10,0)</f>
        <v>64</v>
      </c>
      <c r="E465" s="4">
        <f>VLOOKUP($A465,[1]彩含分析60315!$A:$M,11,0)</f>
        <v>62</v>
      </c>
      <c r="F465" s="4">
        <f>VLOOKUP($A465,[1]彩含分析60315!$A:$M,12,0)</f>
        <v>59</v>
      </c>
      <c r="G465" s="4">
        <f>VLOOKUP($A465,[1]彩含分析60315!$A:$M,13,0)</f>
        <v>57</v>
      </c>
      <c r="H465" s="4" t="s">
        <v>10</v>
      </c>
      <c r="I465" s="3" t="s">
        <v>917</v>
      </c>
    </row>
    <row r="466" customHeight="1" spans="1:9">
      <c r="A466" s="4" t="s">
        <v>918</v>
      </c>
      <c r="B466" s="4">
        <f>VLOOKUP($A466,[1]彩含分析60315!$A:$M,8,0)</f>
        <v>35</v>
      </c>
      <c r="C466" s="4">
        <f>VLOOKUP($A466,[1]彩含分析60315!$A:$M,9,0)</f>
        <v>34</v>
      </c>
      <c r="D466" s="4">
        <f>VLOOKUP($A466,[1]彩含分析60315!$A:$M,10,0)</f>
        <v>32</v>
      </c>
      <c r="E466" s="4">
        <f>VLOOKUP($A466,[1]彩含分析60315!$A:$M,11,0)</f>
        <v>31</v>
      </c>
      <c r="F466" s="4">
        <f>VLOOKUP($A466,[1]彩含分析60315!$A:$M,12,0)</f>
        <v>30</v>
      </c>
      <c r="G466" s="4">
        <f>VLOOKUP($A466,[1]彩含分析60315!$A:$M,13,0)</f>
        <v>29</v>
      </c>
      <c r="H466" s="4" t="s">
        <v>10</v>
      </c>
      <c r="I466" s="3" t="s">
        <v>919</v>
      </c>
    </row>
    <row r="467" customHeight="1" spans="1:9">
      <c r="A467" s="4" t="s">
        <v>920</v>
      </c>
      <c r="B467" s="4">
        <f>VLOOKUP($A467,[1]彩含分析60315!$A:$M,8,0)</f>
        <v>46</v>
      </c>
      <c r="C467" s="4">
        <f>VLOOKUP($A467,[1]彩含分析60315!$A:$M,9,0)</f>
        <v>44</v>
      </c>
      <c r="D467" s="4">
        <f>VLOOKUP($A467,[1]彩含分析60315!$A:$M,10,0)</f>
        <v>42</v>
      </c>
      <c r="E467" s="4">
        <f>VLOOKUP($A467,[1]彩含分析60315!$A:$M,11,0)</f>
        <v>41</v>
      </c>
      <c r="F467" s="4">
        <f>VLOOKUP($A467,[1]彩含分析60315!$A:$M,12,0)</f>
        <v>39</v>
      </c>
      <c r="G467" s="4">
        <f>VLOOKUP($A467,[1]彩含分析60315!$A:$M,13,0)</f>
        <v>37</v>
      </c>
      <c r="H467" s="4" t="s">
        <v>10</v>
      </c>
      <c r="I467" s="3" t="s">
        <v>921</v>
      </c>
    </row>
    <row r="468" customHeight="1" spans="1:9">
      <c r="A468" s="6" t="s">
        <v>922</v>
      </c>
      <c r="B468" s="4">
        <f>VLOOKUP($A468,[1]彩含分析60315!$A:$M,8,0)</f>
        <v>49</v>
      </c>
      <c r="C468" s="4">
        <f>VLOOKUP($A468,[1]彩含分析60315!$A:$M,9,0)</f>
        <v>48</v>
      </c>
      <c r="D468" s="4">
        <f>VLOOKUP($A468,[1]彩含分析60315!$A:$M,10,0)</f>
        <v>47</v>
      </c>
      <c r="E468" s="4">
        <f>VLOOKUP($A468,[1]彩含分析60315!$A:$M,11,0)</f>
        <v>47</v>
      </c>
      <c r="F468" s="4">
        <f>VLOOKUP($A468,[1]彩含分析60315!$A:$M,12,0)</f>
        <v>46</v>
      </c>
      <c r="G468" s="4">
        <f>VLOOKUP($A468,[1]彩含分析60315!$A:$M,13,0)</f>
        <v>45</v>
      </c>
      <c r="H468" s="4" t="s">
        <v>39</v>
      </c>
      <c r="I468" s="3" t="s">
        <v>791</v>
      </c>
    </row>
    <row r="469" customHeight="1" spans="1:9">
      <c r="A469" s="2" t="s">
        <v>923</v>
      </c>
      <c r="B469" s="4">
        <f>VLOOKUP($A469,[1]彩含分析60315!$A:$M,8,0)</f>
        <v>37</v>
      </c>
      <c r="C469" s="4">
        <f>VLOOKUP($A469,[1]彩含分析60315!$A:$M,9,0)</f>
        <v>36</v>
      </c>
      <c r="D469" s="4">
        <f>VLOOKUP($A469,[1]彩含分析60315!$A:$M,10,0)</f>
        <v>35</v>
      </c>
      <c r="E469" s="4">
        <f>VLOOKUP($A469,[1]彩含分析60315!$A:$M,11,0)</f>
        <v>33</v>
      </c>
      <c r="F469" s="4">
        <f>VLOOKUP($A469,[1]彩含分析60315!$A:$M,12,0)</f>
        <v>32</v>
      </c>
      <c r="G469" s="4">
        <f>VLOOKUP($A469,[1]彩含分析60315!$A:$M,13,0)</f>
        <v>30</v>
      </c>
      <c r="H469" s="4" t="s">
        <v>10</v>
      </c>
      <c r="I469" s="3" t="s">
        <v>924</v>
      </c>
    </row>
    <row r="470" customHeight="1" spans="1:9">
      <c r="A470" s="2" t="s">
        <v>925</v>
      </c>
      <c r="B470" s="4">
        <f>VLOOKUP($A470,[1]彩含分析60315!$A:$M,8,0)</f>
        <v>37</v>
      </c>
      <c r="C470" s="4">
        <f>VLOOKUP($A470,[1]彩含分析60315!$A:$M,9,0)</f>
        <v>36</v>
      </c>
      <c r="D470" s="4">
        <f>VLOOKUP($A470,[1]彩含分析60315!$A:$M,10,0)</f>
        <v>34</v>
      </c>
      <c r="E470" s="4">
        <f>VLOOKUP($A470,[1]彩含分析60315!$A:$M,11,0)</f>
        <v>33</v>
      </c>
      <c r="F470" s="4">
        <f>VLOOKUP($A470,[1]彩含分析60315!$A:$M,12,0)</f>
        <v>32</v>
      </c>
      <c r="G470" s="4">
        <f>VLOOKUP($A470,[1]彩含分析60315!$A:$M,13,0)</f>
        <v>30</v>
      </c>
      <c r="H470" s="4" t="s">
        <v>10</v>
      </c>
      <c r="I470" s="3" t="s">
        <v>926</v>
      </c>
    </row>
    <row r="471" customHeight="1" spans="1:9">
      <c r="A471" s="7" t="s">
        <v>927</v>
      </c>
      <c r="B471" s="4">
        <f>VLOOKUP($A471,[1]彩含分析60315!$A:$M,8,0)</f>
        <v>41</v>
      </c>
      <c r="C471" s="4">
        <f>VLOOKUP($A471,[1]彩含分析60315!$A:$M,9,0)</f>
        <v>39</v>
      </c>
      <c r="D471" s="4">
        <f>VLOOKUP($A471,[1]彩含分析60315!$A:$M,10,0)</f>
        <v>38</v>
      </c>
      <c r="E471" s="4">
        <f>VLOOKUP($A471,[1]彩含分析60315!$A:$M,11,0)</f>
        <v>36</v>
      </c>
      <c r="F471" s="4">
        <f>VLOOKUP($A471,[1]彩含分析60315!$A:$M,12,0)</f>
        <v>35</v>
      </c>
      <c r="G471" s="4">
        <f>VLOOKUP($A471,[1]彩含分析60315!$A:$M,13,0)</f>
        <v>33</v>
      </c>
      <c r="H471" s="4" t="s">
        <v>10</v>
      </c>
      <c r="I471" s="3" t="s">
        <v>928</v>
      </c>
    </row>
    <row r="472" customHeight="1" spans="1:9">
      <c r="A472" s="7" t="s">
        <v>929</v>
      </c>
      <c r="B472" s="4">
        <f>VLOOKUP($A472,[1]彩含分析60315!$A:$M,8,0)</f>
        <v>49</v>
      </c>
      <c r="C472" s="4">
        <f>VLOOKUP($A472,[1]彩含分析60315!$A:$M,9,0)</f>
        <v>47</v>
      </c>
      <c r="D472" s="4">
        <f>VLOOKUP($A472,[1]彩含分析60315!$A:$M,10,0)</f>
        <v>45</v>
      </c>
      <c r="E472" s="4">
        <f>VLOOKUP($A472,[1]彩含分析60315!$A:$M,11,0)</f>
        <v>44</v>
      </c>
      <c r="F472" s="4">
        <f>VLOOKUP($A472,[1]彩含分析60315!$A:$M,12,0)</f>
        <v>42</v>
      </c>
      <c r="G472" s="4">
        <f>VLOOKUP($A472,[1]彩含分析60315!$A:$M,13,0)</f>
        <v>40</v>
      </c>
      <c r="H472" s="4" t="s">
        <v>10</v>
      </c>
      <c r="I472" s="3" t="s">
        <v>930</v>
      </c>
    </row>
    <row r="473" customHeight="1" spans="1:9">
      <c r="A473" s="2" t="s">
        <v>931</v>
      </c>
      <c r="B473" s="4">
        <f>VLOOKUP($A473,[1]彩含分析60315!$A:$M,8,0)</f>
        <v>49</v>
      </c>
      <c r="C473" s="4">
        <f>VLOOKUP($A473,[1]彩含分析60315!$A:$M,9,0)</f>
        <v>47</v>
      </c>
      <c r="D473" s="4">
        <f>VLOOKUP($A473,[1]彩含分析60315!$A:$M,10,0)</f>
        <v>45</v>
      </c>
      <c r="E473" s="4">
        <f>VLOOKUP($A473,[1]彩含分析60315!$A:$M,11,0)</f>
        <v>44</v>
      </c>
      <c r="F473" s="4">
        <f>VLOOKUP($A473,[1]彩含分析60315!$A:$M,12,0)</f>
        <v>42</v>
      </c>
      <c r="G473" s="4">
        <f>VLOOKUP($A473,[1]彩含分析60315!$A:$M,13,0)</f>
        <v>40</v>
      </c>
      <c r="H473" s="4" t="s">
        <v>10</v>
      </c>
      <c r="I473" s="3" t="s">
        <v>932</v>
      </c>
    </row>
    <row r="474" customHeight="1" spans="1:9">
      <c r="A474" s="6" t="s">
        <v>933</v>
      </c>
      <c r="B474" s="4">
        <f>VLOOKUP($A474,[1]彩含分析60315!$A:$M,8,0)</f>
        <v>55</v>
      </c>
      <c r="C474" s="4">
        <f>VLOOKUP($A474,[1]彩含分析60315!$A:$M,9,0)</f>
        <v>54</v>
      </c>
      <c r="D474" s="4">
        <f>VLOOKUP($A474,[1]彩含分析60315!$A:$M,10,0)</f>
        <v>53</v>
      </c>
      <c r="E474" s="4">
        <f>VLOOKUP($A474,[1]彩含分析60315!$A:$M,11,0)</f>
        <v>52</v>
      </c>
      <c r="F474" s="4">
        <f>VLOOKUP($A474,[1]彩含分析60315!$A:$M,12,0)</f>
        <v>52</v>
      </c>
      <c r="G474" s="4">
        <f>VLOOKUP($A474,[1]彩含分析60315!$A:$M,13,0)</f>
        <v>51</v>
      </c>
      <c r="H474" s="4" t="s">
        <v>39</v>
      </c>
      <c r="I474" s="3">
        <v>0</v>
      </c>
    </row>
    <row r="475" customHeight="1" spans="1:9">
      <c r="A475" s="6" t="s">
        <v>934</v>
      </c>
      <c r="B475" s="4">
        <f>VLOOKUP($A475,[1]彩含分析60315!$A:$M,8,0)</f>
        <v>41</v>
      </c>
      <c r="C475" s="4">
        <f>VLOOKUP($A475,[1]彩含分析60315!$A:$M,9,0)</f>
        <v>40</v>
      </c>
      <c r="D475" s="4">
        <f>VLOOKUP($A475,[1]彩含分析60315!$A:$M,10,0)</f>
        <v>38</v>
      </c>
      <c r="E475" s="4">
        <f>VLOOKUP($A475,[1]彩含分析60315!$A:$M,11,0)</f>
        <v>37</v>
      </c>
      <c r="F475" s="4">
        <f>VLOOKUP($A475,[1]彩含分析60315!$A:$M,12,0)</f>
        <v>35</v>
      </c>
      <c r="G475" s="4">
        <f>VLOOKUP($A475,[1]彩含分析60315!$A:$M,13,0)</f>
        <v>34</v>
      </c>
      <c r="H475" s="4" t="s">
        <v>10</v>
      </c>
      <c r="I475" s="3" t="s">
        <v>31</v>
      </c>
    </row>
    <row r="476" customHeight="1" spans="1:9">
      <c r="A476" s="2" t="s">
        <v>935</v>
      </c>
      <c r="B476" s="4">
        <f>VLOOKUP($A476,[1]彩含分析60315!$A:$M,8,0)</f>
        <v>30</v>
      </c>
      <c r="C476" s="4">
        <f>VLOOKUP($A476,[1]彩含分析60315!$A:$M,9,0)</f>
        <v>30</v>
      </c>
      <c r="D476" s="4">
        <f>VLOOKUP($A476,[1]彩含分析60315!$A:$M,10,0)</f>
        <v>29</v>
      </c>
      <c r="E476" s="4">
        <f>VLOOKUP($A476,[1]彩含分析60315!$A:$M,11,0)</f>
        <v>29</v>
      </c>
      <c r="F476" s="4">
        <f>VLOOKUP($A476,[1]彩含分析60315!$A:$M,12,0)</f>
        <v>28</v>
      </c>
      <c r="G476" s="4">
        <f>VLOOKUP($A476,[1]彩含分析60315!$A:$M,13,0)</f>
        <v>28</v>
      </c>
      <c r="H476" s="4" t="s">
        <v>39</v>
      </c>
      <c r="I476" s="3" t="s">
        <v>936</v>
      </c>
    </row>
    <row r="477" customHeight="1" spans="1:9">
      <c r="A477" s="2" t="s">
        <v>937</v>
      </c>
      <c r="B477" s="4">
        <f>VLOOKUP($A477,[1]彩含分析60315!$A:$M,8,0)</f>
        <v>47</v>
      </c>
      <c r="C477" s="4">
        <f>VLOOKUP($A477,[1]彩含分析60315!$A:$M,9,0)</f>
        <v>46</v>
      </c>
      <c r="D477" s="4">
        <f>VLOOKUP($A477,[1]彩含分析60315!$A:$M,10,0)</f>
        <v>44</v>
      </c>
      <c r="E477" s="4">
        <f>VLOOKUP($A477,[1]彩含分析60315!$A:$M,11,0)</f>
        <v>42</v>
      </c>
      <c r="F477" s="4">
        <f>VLOOKUP($A477,[1]彩含分析60315!$A:$M,12,0)</f>
        <v>40</v>
      </c>
      <c r="G477" s="4">
        <f>VLOOKUP($A477,[1]彩含分析60315!$A:$M,13,0)</f>
        <v>39</v>
      </c>
      <c r="H477" s="4" t="s">
        <v>10</v>
      </c>
      <c r="I477" s="3" t="s">
        <v>938</v>
      </c>
    </row>
    <row r="478" customHeight="1" spans="1:9">
      <c r="A478" s="8" t="s">
        <v>939</v>
      </c>
      <c r="B478" s="4">
        <f>VLOOKUP($A478,[1]彩含分析60315!$A:$M,8,0)</f>
        <v>48</v>
      </c>
      <c r="C478" s="4">
        <f>VLOOKUP($A478,[1]彩含分析60315!$A:$M,9,0)</f>
        <v>47</v>
      </c>
      <c r="D478" s="4">
        <f>VLOOKUP($A478,[1]彩含分析60315!$A:$M,10,0)</f>
        <v>45</v>
      </c>
      <c r="E478" s="4">
        <f>VLOOKUP($A478,[1]彩含分析60315!$A:$M,11,0)</f>
        <v>43</v>
      </c>
      <c r="F478" s="4">
        <f>VLOOKUP($A478,[1]彩含分析60315!$A:$M,12,0)</f>
        <v>41</v>
      </c>
      <c r="G478" s="4">
        <f>VLOOKUP($A478,[1]彩含分析60315!$A:$M,13,0)</f>
        <v>40</v>
      </c>
      <c r="H478" s="4" t="s">
        <v>10</v>
      </c>
      <c r="I478" s="3" t="s">
        <v>940</v>
      </c>
    </row>
    <row r="479" customHeight="1" spans="1:9">
      <c r="A479" s="8" t="s">
        <v>941</v>
      </c>
      <c r="B479" s="4">
        <f>VLOOKUP($A479,[1]彩含分析60315!$A:$M,8,0)</f>
        <v>48</v>
      </c>
      <c r="C479" s="4">
        <f>VLOOKUP($A479,[1]彩含分析60315!$A:$M,9,0)</f>
        <v>47</v>
      </c>
      <c r="D479" s="4">
        <f>VLOOKUP($A479,[1]彩含分析60315!$A:$M,10,0)</f>
        <v>46</v>
      </c>
      <c r="E479" s="4">
        <f>VLOOKUP($A479,[1]彩含分析60315!$A:$M,11,0)</f>
        <v>45</v>
      </c>
      <c r="F479" s="4">
        <f>VLOOKUP($A479,[1]彩含分析60315!$A:$M,12,0)</f>
        <v>45</v>
      </c>
      <c r="G479" s="4">
        <f>VLOOKUP($A479,[1]彩含分析60315!$A:$M,13,0)</f>
        <v>44</v>
      </c>
      <c r="H479" s="4" t="s">
        <v>39</v>
      </c>
      <c r="I479" s="3" t="s">
        <v>942</v>
      </c>
    </row>
    <row r="480" customHeight="1" spans="1:9">
      <c r="A480" s="9" t="s">
        <v>943</v>
      </c>
      <c r="B480" s="4">
        <f>VLOOKUP($A480,[1]彩含分析60315!$A:$M,8,0)</f>
        <v>54</v>
      </c>
      <c r="C480" s="4">
        <f>VLOOKUP($A480,[1]彩含分析60315!$A:$M,9,0)</f>
        <v>53</v>
      </c>
      <c r="D480" s="4">
        <f>VLOOKUP($A480,[1]彩含分析60315!$A:$M,10,0)</f>
        <v>52</v>
      </c>
      <c r="E480" s="4">
        <f>VLOOKUP($A480,[1]彩含分析60315!$A:$M,11,0)</f>
        <v>51</v>
      </c>
      <c r="F480" s="4">
        <f>VLOOKUP($A480,[1]彩含分析60315!$A:$M,12,0)</f>
        <v>50</v>
      </c>
      <c r="G480" s="4">
        <f>VLOOKUP($A480,[1]彩含分析60315!$A:$M,13,0)</f>
        <v>49</v>
      </c>
      <c r="H480" s="4" t="s">
        <v>39</v>
      </c>
      <c r="I480" s="3" t="s">
        <v>944</v>
      </c>
    </row>
    <row r="481" customHeight="1" spans="1:9">
      <c r="A481" s="6" t="s">
        <v>945</v>
      </c>
      <c r="B481" s="4">
        <f>VLOOKUP($A481,[1]彩含分析60315!$A:$M,8,0)</f>
        <v>47</v>
      </c>
      <c r="C481" s="4">
        <f>VLOOKUP($A481,[1]彩含分析60315!$A:$M,9,0)</f>
        <v>45</v>
      </c>
      <c r="D481" s="4">
        <f>VLOOKUP($A481,[1]彩含分析60315!$A:$M,10,0)</f>
        <v>43</v>
      </c>
      <c r="E481" s="4">
        <f>VLOOKUP($A481,[1]彩含分析60315!$A:$M,11,0)</f>
        <v>41</v>
      </c>
      <c r="F481" s="4">
        <f>VLOOKUP($A481,[1]彩含分析60315!$A:$M,12,0)</f>
        <v>40</v>
      </c>
      <c r="G481" s="4">
        <f>VLOOKUP($A481,[1]彩含分析60315!$A:$M,13,0)</f>
        <v>38</v>
      </c>
      <c r="H481" s="4" t="s">
        <v>10</v>
      </c>
      <c r="I481" s="3" t="s">
        <v>946</v>
      </c>
    </row>
    <row r="482" customHeight="1" spans="1:9">
      <c r="A482" s="2" t="s">
        <v>947</v>
      </c>
      <c r="B482" s="4">
        <f>VLOOKUP($A482,[1]彩含分析60315!$A:$M,8,0)</f>
        <v>37</v>
      </c>
      <c r="C482" s="4">
        <f>VLOOKUP($A482,[1]彩含分析60315!$A:$M,9,0)</f>
        <v>35</v>
      </c>
      <c r="D482" s="4">
        <f>VLOOKUP($A482,[1]彩含分析60315!$A:$M,10,0)</f>
        <v>34</v>
      </c>
      <c r="E482" s="4">
        <f>VLOOKUP($A482,[1]彩含分析60315!$A:$M,11,0)</f>
        <v>33</v>
      </c>
      <c r="F482" s="4">
        <f>VLOOKUP($A482,[1]彩含分析60315!$A:$M,12,0)</f>
        <v>31</v>
      </c>
      <c r="G482" s="4">
        <f>VLOOKUP($A482,[1]彩含分析60315!$A:$M,13,0)</f>
        <v>30</v>
      </c>
      <c r="H482" s="4" t="s">
        <v>10</v>
      </c>
      <c r="I482" s="3" t="s">
        <v>948</v>
      </c>
    </row>
    <row r="483" customHeight="1" spans="1:9">
      <c r="A483" s="10" t="s">
        <v>949</v>
      </c>
      <c r="B483" s="4">
        <f>VLOOKUP($A483,[1]彩含分析60315!$A:$M,8,0)</f>
        <v>59</v>
      </c>
      <c r="C483" s="4">
        <f>VLOOKUP($A483,[1]彩含分析60315!$A:$M,9,0)</f>
        <v>58</v>
      </c>
      <c r="D483" s="4">
        <f>VLOOKUP($A483,[1]彩含分析60315!$A:$M,10,0)</f>
        <v>57</v>
      </c>
      <c r="E483" s="4">
        <f>VLOOKUP($A483,[1]彩含分析60315!$A:$M,11,0)</f>
        <v>56</v>
      </c>
      <c r="F483" s="4">
        <f>VLOOKUP($A483,[1]彩含分析60315!$A:$M,12,0)</f>
        <v>56</v>
      </c>
      <c r="G483" s="4">
        <f>VLOOKUP($A483,[1]彩含分析60315!$A:$M,13,0)</f>
        <v>55</v>
      </c>
      <c r="H483" s="4" t="s">
        <v>39</v>
      </c>
      <c r="I483" s="3" t="s">
        <v>950</v>
      </c>
    </row>
    <row r="484" customHeight="1" spans="1:9">
      <c r="A484" s="9" t="s">
        <v>951</v>
      </c>
      <c r="B484" s="4">
        <f>VLOOKUP($A484,[1]彩含分析60315!$A:$M,8,0)</f>
        <v>78</v>
      </c>
      <c r="C484" s="4">
        <f>VLOOKUP($A484,[1]彩含分析60315!$A:$M,9,0)</f>
        <v>76</v>
      </c>
      <c r="D484" s="4">
        <f>VLOOKUP($A484,[1]彩含分析60315!$A:$M,10,0)</f>
        <v>75</v>
      </c>
      <c r="E484" s="4">
        <f>VLOOKUP($A484,[1]彩含分析60315!$A:$M,11,0)</f>
        <v>74</v>
      </c>
      <c r="F484" s="4">
        <f>VLOOKUP($A484,[1]彩含分析60315!$A:$M,12,0)</f>
        <v>73</v>
      </c>
      <c r="G484" s="4">
        <f>VLOOKUP($A484,[1]彩含分析60315!$A:$M,13,0)</f>
        <v>72</v>
      </c>
      <c r="H484" s="4" t="s">
        <v>39</v>
      </c>
      <c r="I484" s="3" t="s">
        <v>952</v>
      </c>
    </row>
    <row r="485" customHeight="1" spans="1:9">
      <c r="A485" s="6" t="s">
        <v>953</v>
      </c>
      <c r="B485" s="4">
        <f>VLOOKUP($A485,[1]彩含分析60315!$A:$M,8,0)</f>
        <v>52</v>
      </c>
      <c r="C485" s="4">
        <f>VLOOKUP($A485,[1]彩含分析60315!$A:$M,9,0)</f>
        <v>50</v>
      </c>
      <c r="D485" s="4">
        <f>VLOOKUP($A485,[1]彩含分析60315!$A:$M,10,0)</f>
        <v>48</v>
      </c>
      <c r="E485" s="4">
        <f>VLOOKUP($A485,[1]彩含分析60315!$A:$M,11,0)</f>
        <v>46</v>
      </c>
      <c r="F485" s="4">
        <f>VLOOKUP($A485,[1]彩含分析60315!$A:$M,12,0)</f>
        <v>44</v>
      </c>
      <c r="G485" s="4">
        <f>VLOOKUP($A485,[1]彩含分析60315!$A:$M,13,0)</f>
        <v>42</v>
      </c>
      <c r="H485" s="4" t="s">
        <v>10</v>
      </c>
      <c r="I485" s="3" t="s">
        <v>954</v>
      </c>
    </row>
    <row r="486" customHeight="1" spans="1:9">
      <c r="A486" s="9" t="s">
        <v>955</v>
      </c>
      <c r="B486" s="4">
        <f>VLOOKUP($A486,[1]彩含分析60315!$A:$M,8,0)</f>
        <v>38</v>
      </c>
      <c r="C486" s="4">
        <f>VLOOKUP($A486,[1]彩含分析60315!$A:$M,9,0)</f>
        <v>36</v>
      </c>
      <c r="D486" s="4">
        <f>VLOOKUP($A486,[1]彩含分析60315!$A:$M,10,0)</f>
        <v>35</v>
      </c>
      <c r="E486" s="4">
        <f>VLOOKUP($A486,[1]彩含分析60315!$A:$M,11,0)</f>
        <v>34</v>
      </c>
      <c r="F486" s="4">
        <f>VLOOKUP($A486,[1]彩含分析60315!$A:$M,12,0)</f>
        <v>32</v>
      </c>
      <c r="G486" s="4">
        <f>VLOOKUP($A486,[1]彩含分析60315!$A:$M,13,0)</f>
        <v>31</v>
      </c>
      <c r="H486" s="4" t="s">
        <v>10</v>
      </c>
      <c r="I486" s="3" t="s">
        <v>956</v>
      </c>
    </row>
    <row r="487" customHeight="1" spans="1:9">
      <c r="A487" s="6" t="s">
        <v>957</v>
      </c>
      <c r="B487" s="4">
        <f>VLOOKUP($A487,[1]彩含分析60315!$A:$M,8,0)</f>
        <v>31</v>
      </c>
      <c r="C487" s="4">
        <f>VLOOKUP($A487,[1]彩含分析60315!$A:$M,9,0)</f>
        <v>30</v>
      </c>
      <c r="D487" s="4">
        <f>VLOOKUP($A487,[1]彩含分析60315!$A:$M,10,0)</f>
        <v>29</v>
      </c>
      <c r="E487" s="4">
        <f>VLOOKUP($A487,[1]彩含分析60315!$A:$M,11,0)</f>
        <v>28</v>
      </c>
      <c r="F487" s="4">
        <f>VLOOKUP($A487,[1]彩含分析60315!$A:$M,12,0)</f>
        <v>27</v>
      </c>
      <c r="G487" s="4">
        <f>VLOOKUP($A487,[1]彩含分析60315!$A:$M,13,0)</f>
        <v>26</v>
      </c>
      <c r="H487" s="4" t="s">
        <v>10</v>
      </c>
      <c r="I487" s="3" t="s">
        <v>958</v>
      </c>
    </row>
    <row r="488" customHeight="1" spans="1:9">
      <c r="A488" s="10" t="s">
        <v>959</v>
      </c>
      <c r="B488" s="4">
        <f>VLOOKUP($A488,[1]彩含分析60315!$A:$M,8,0)</f>
        <v>38</v>
      </c>
      <c r="C488" s="4">
        <f>VLOOKUP($A488,[1]彩含分析60315!$A:$M,9,0)</f>
        <v>37</v>
      </c>
      <c r="D488" s="4">
        <f>VLOOKUP($A488,[1]彩含分析60315!$A:$M,10,0)</f>
        <v>37</v>
      </c>
      <c r="E488" s="4">
        <f>VLOOKUP($A488,[1]彩含分析60315!$A:$M,11,0)</f>
        <v>36</v>
      </c>
      <c r="F488" s="4">
        <f>VLOOKUP($A488,[1]彩含分析60315!$A:$M,12,0)</f>
        <v>36</v>
      </c>
      <c r="G488" s="4">
        <f>VLOOKUP($A488,[1]彩含分析60315!$A:$M,13,0)</f>
        <v>35</v>
      </c>
      <c r="H488" s="4" t="s">
        <v>39</v>
      </c>
      <c r="I488" s="3" t="s">
        <v>960</v>
      </c>
    </row>
    <row r="489" customHeight="1" spans="1:9">
      <c r="A489" s="10" t="s">
        <v>961</v>
      </c>
      <c r="B489" s="4">
        <f>VLOOKUP($A489,[1]彩含分析60315!$A:$M,8,0)</f>
        <v>52</v>
      </c>
      <c r="C489" s="4">
        <f>VLOOKUP($A489,[1]彩含分析60315!$A:$M,9,0)</f>
        <v>52</v>
      </c>
      <c r="D489" s="4">
        <f>VLOOKUP($A489,[1]彩含分析60315!$A:$M,10,0)</f>
        <v>51</v>
      </c>
      <c r="E489" s="4">
        <f>VLOOKUP($A489,[1]彩含分析60315!$A:$M,11,0)</f>
        <v>50</v>
      </c>
      <c r="F489" s="4">
        <f>VLOOKUP($A489,[1]彩含分析60315!$A:$M,12,0)</f>
        <v>49</v>
      </c>
      <c r="G489" s="4">
        <f>VLOOKUP($A489,[1]彩含分析60315!$A:$M,13,0)</f>
        <v>49</v>
      </c>
      <c r="H489" s="4" t="s">
        <v>39</v>
      </c>
      <c r="I489" s="3" t="s">
        <v>962</v>
      </c>
    </row>
    <row r="490" customHeight="1" spans="1:9">
      <c r="A490" s="9" t="s">
        <v>963</v>
      </c>
      <c r="B490" s="4">
        <f>VLOOKUP($A490,[1]彩含分析60315!$A:$M,8,0)</f>
        <v>52</v>
      </c>
      <c r="C490" s="4">
        <f>VLOOKUP($A490,[1]彩含分析60315!$A:$M,9,0)</f>
        <v>52</v>
      </c>
      <c r="D490" s="4">
        <f>VLOOKUP($A490,[1]彩含分析60315!$A:$M,10,0)</f>
        <v>51</v>
      </c>
      <c r="E490" s="4">
        <f>VLOOKUP($A490,[1]彩含分析60315!$A:$M,11,0)</f>
        <v>50</v>
      </c>
      <c r="F490" s="4">
        <f>VLOOKUP($A490,[1]彩含分析60315!$A:$M,12,0)</f>
        <v>49</v>
      </c>
      <c r="G490" s="4">
        <f>VLOOKUP($A490,[1]彩含分析60315!$A:$M,13,0)</f>
        <v>49</v>
      </c>
      <c r="H490" s="4" t="s">
        <v>39</v>
      </c>
      <c r="I490" s="3" t="s">
        <v>964</v>
      </c>
    </row>
    <row r="491" customHeight="1" spans="1:9">
      <c r="A491" s="9" t="s">
        <v>965</v>
      </c>
      <c r="B491" s="4">
        <f>VLOOKUP($A491,[1]彩含分析60315!$A:$M,8,0)</f>
        <v>42</v>
      </c>
      <c r="C491" s="4">
        <f>VLOOKUP($A491,[1]彩含分析60315!$A:$M,9,0)</f>
        <v>41</v>
      </c>
      <c r="D491" s="4">
        <f>VLOOKUP($A491,[1]彩含分析60315!$A:$M,10,0)</f>
        <v>41</v>
      </c>
      <c r="E491" s="4">
        <f>VLOOKUP($A491,[1]彩含分析60315!$A:$M,11,0)</f>
        <v>40</v>
      </c>
      <c r="F491" s="4">
        <f>VLOOKUP($A491,[1]彩含分析60315!$A:$M,12,0)</f>
        <v>40</v>
      </c>
      <c r="G491" s="4">
        <f>VLOOKUP($A491,[1]彩含分析60315!$A:$M,13,0)</f>
        <v>39</v>
      </c>
      <c r="H491" s="4" t="s">
        <v>39</v>
      </c>
      <c r="I491" s="3" t="s">
        <v>966</v>
      </c>
    </row>
    <row r="492" customHeight="1" spans="1:9">
      <c r="A492" s="6" t="s">
        <v>967</v>
      </c>
      <c r="B492" s="4">
        <f>VLOOKUP($A492,[1]彩含分析60315!$A:$M,8,0)</f>
        <v>55</v>
      </c>
      <c r="C492" s="4">
        <f>VLOOKUP($A492,[1]彩含分析60315!$A:$M,9,0)</f>
        <v>54</v>
      </c>
      <c r="D492" s="4">
        <f>VLOOKUP($A492,[1]彩含分析60315!$A:$M,10,0)</f>
        <v>53</v>
      </c>
      <c r="E492" s="4">
        <f>VLOOKUP($A492,[1]彩含分析60315!$A:$M,11,0)</f>
        <v>52</v>
      </c>
      <c r="F492" s="4">
        <f>VLOOKUP($A492,[1]彩含分析60315!$A:$M,12,0)</f>
        <v>52</v>
      </c>
      <c r="G492" s="4">
        <f>VLOOKUP($A492,[1]彩含分析60315!$A:$M,13,0)</f>
        <v>51</v>
      </c>
      <c r="H492" s="4" t="s">
        <v>39</v>
      </c>
      <c r="I492" s="3" t="s">
        <v>968</v>
      </c>
    </row>
    <row r="493" customHeight="1" spans="1:9">
      <c r="A493" s="2" t="s">
        <v>969</v>
      </c>
      <c r="B493" s="4">
        <f>VLOOKUP($A493,[1]彩含分析60315!$A:$M,8,0)</f>
        <v>27</v>
      </c>
      <c r="C493" s="4">
        <f>VLOOKUP($A493,[1]彩含分析60315!$A:$M,9,0)</f>
        <v>26</v>
      </c>
      <c r="D493" s="4">
        <f>VLOOKUP($A493,[1]彩含分析60315!$A:$M,10,0)</f>
        <v>25</v>
      </c>
      <c r="E493" s="4">
        <f>VLOOKUP($A493,[1]彩含分析60315!$A:$M,11,0)</f>
        <v>24</v>
      </c>
      <c r="F493" s="4">
        <f>VLOOKUP($A493,[1]彩含分析60315!$A:$M,12,0)</f>
        <v>23</v>
      </c>
      <c r="G493" s="4">
        <f>VLOOKUP($A493,[1]彩含分析60315!$A:$M,13,0)</f>
        <v>22</v>
      </c>
      <c r="H493" s="4" t="s">
        <v>10</v>
      </c>
      <c r="I493" s="3" t="s">
        <v>970</v>
      </c>
    </row>
    <row r="494" customHeight="1" spans="1:9">
      <c r="A494" s="10" t="s">
        <v>971</v>
      </c>
      <c r="B494" s="4">
        <f>VLOOKUP($A494,[1]彩含分析60315!$A:$M,8,0)</f>
        <v>29</v>
      </c>
      <c r="C494" s="4">
        <f>VLOOKUP($A494,[1]彩含分析60315!$A:$M,9,0)</f>
        <v>28</v>
      </c>
      <c r="D494" s="4">
        <f>VLOOKUP($A494,[1]彩含分析60315!$A:$M,10,0)</f>
        <v>27</v>
      </c>
      <c r="E494" s="4">
        <f>VLOOKUP($A494,[1]彩含分析60315!$A:$M,11,0)</f>
        <v>26</v>
      </c>
      <c r="F494" s="4">
        <f>VLOOKUP($A494,[1]彩含分析60315!$A:$M,12,0)</f>
        <v>25</v>
      </c>
      <c r="G494" s="4">
        <f>VLOOKUP($A494,[1]彩含分析60315!$A:$M,13,0)</f>
        <v>24</v>
      </c>
      <c r="H494" s="4" t="s">
        <v>10</v>
      </c>
      <c r="I494" s="3" t="s">
        <v>972</v>
      </c>
    </row>
    <row r="495" customHeight="1" spans="1:9">
      <c r="A495" s="10" t="s">
        <v>973</v>
      </c>
      <c r="B495" s="4">
        <f>VLOOKUP($A495,[1]彩含分析60315!$A:$M,8,0)</f>
        <v>52</v>
      </c>
      <c r="C495" s="4">
        <f>VLOOKUP($A495,[1]彩含分析60315!$A:$M,9,0)</f>
        <v>51</v>
      </c>
      <c r="D495" s="4">
        <f>VLOOKUP($A495,[1]彩含分析60315!$A:$M,10,0)</f>
        <v>51</v>
      </c>
      <c r="E495" s="4">
        <f>VLOOKUP($A495,[1]彩含分析60315!$A:$M,11,0)</f>
        <v>50</v>
      </c>
      <c r="F495" s="4">
        <f>VLOOKUP($A495,[1]彩含分析60315!$A:$M,12,0)</f>
        <v>49</v>
      </c>
      <c r="G495" s="4">
        <f>VLOOKUP($A495,[1]彩含分析60315!$A:$M,13,0)</f>
        <v>48</v>
      </c>
      <c r="H495" s="4" t="s">
        <v>39</v>
      </c>
      <c r="I495" s="3" t="s">
        <v>974</v>
      </c>
    </row>
    <row r="496" customHeight="1" spans="1:9">
      <c r="A496" s="10" t="s">
        <v>975</v>
      </c>
      <c r="B496" s="4">
        <f>VLOOKUP($A496,[1]彩含分析60315!$A:$M,8,0)</f>
        <v>38</v>
      </c>
      <c r="C496" s="4">
        <f>VLOOKUP($A496,[1]彩含分析60315!$A:$M,9,0)</f>
        <v>37</v>
      </c>
      <c r="D496" s="4">
        <f>VLOOKUP($A496,[1]彩含分析60315!$A:$M,10,0)</f>
        <v>37</v>
      </c>
      <c r="E496" s="4">
        <f>VLOOKUP($A496,[1]彩含分析60315!$A:$M,11,0)</f>
        <v>36</v>
      </c>
      <c r="F496" s="4">
        <f>VLOOKUP($A496,[1]彩含分析60315!$A:$M,12,0)</f>
        <v>36</v>
      </c>
      <c r="G496" s="4">
        <f>VLOOKUP($A496,[1]彩含分析60315!$A:$M,13,0)</f>
        <v>35</v>
      </c>
      <c r="H496" s="4" t="s">
        <v>39</v>
      </c>
      <c r="I496" s="3" t="s">
        <v>976</v>
      </c>
    </row>
    <row r="497" customHeight="1" spans="1:9">
      <c r="A497" s="6" t="s">
        <v>977</v>
      </c>
      <c r="B497" s="4">
        <f>VLOOKUP($A497,[1]彩含分析60315!$A:$M,8,0)</f>
        <v>36</v>
      </c>
      <c r="C497" s="4">
        <f>VLOOKUP($A497,[1]彩含分析60315!$A:$M,9,0)</f>
        <v>35</v>
      </c>
      <c r="D497" s="4">
        <f>VLOOKUP($A497,[1]彩含分析60315!$A:$M,10,0)</f>
        <v>33</v>
      </c>
      <c r="E497" s="4">
        <f>VLOOKUP($A497,[1]彩含分析60315!$A:$M,11,0)</f>
        <v>32</v>
      </c>
      <c r="F497" s="4">
        <f>VLOOKUP($A497,[1]彩含分析60315!$A:$M,12,0)</f>
        <v>31</v>
      </c>
      <c r="G497" s="4">
        <f>VLOOKUP($A497,[1]彩含分析60315!$A:$M,13,0)</f>
        <v>29</v>
      </c>
      <c r="H497" s="4" t="s">
        <v>10</v>
      </c>
      <c r="I497" s="3" t="s">
        <v>978</v>
      </c>
    </row>
    <row r="498" customHeight="1" spans="1:9">
      <c r="A498" s="6" t="s">
        <v>979</v>
      </c>
      <c r="B498" s="4">
        <f>VLOOKUP($A498,[1]彩含分析60315!$A:$M,8,0)</f>
        <v>47</v>
      </c>
      <c r="C498" s="4">
        <f>VLOOKUP($A498,[1]彩含分析60315!$A:$M,9,0)</f>
        <v>45</v>
      </c>
      <c r="D498" s="4">
        <f>VLOOKUP($A498,[1]彩含分析60315!$A:$M,10,0)</f>
        <v>44</v>
      </c>
      <c r="E498" s="4">
        <f>VLOOKUP($A498,[1]彩含分析60315!$A:$M,11,0)</f>
        <v>42</v>
      </c>
      <c r="F498" s="4">
        <f>VLOOKUP($A498,[1]彩含分析60315!$A:$M,12,0)</f>
        <v>40</v>
      </c>
      <c r="G498" s="4">
        <f>VLOOKUP($A498,[1]彩含分析60315!$A:$M,13,0)</f>
        <v>39</v>
      </c>
      <c r="H498" s="4" t="s">
        <v>10</v>
      </c>
      <c r="I498" s="3" t="s">
        <v>980</v>
      </c>
    </row>
    <row r="499" customHeight="1" spans="1:9">
      <c r="A499" s="2" t="s">
        <v>981</v>
      </c>
      <c r="B499" s="4">
        <f>VLOOKUP($A499,[1]彩含分析60315!$A:$M,8,0)</f>
        <v>69</v>
      </c>
      <c r="C499" s="4">
        <f>VLOOKUP($A499,[1]彩含分析60315!$A:$M,9,0)</f>
        <v>68</v>
      </c>
      <c r="D499" s="4">
        <f>VLOOKUP($A499,[1]彩含分析60315!$A:$M,10,0)</f>
        <v>66</v>
      </c>
      <c r="E499" s="4">
        <f>VLOOKUP($A499,[1]彩含分析60315!$A:$M,11,0)</f>
        <v>65</v>
      </c>
      <c r="F499" s="4">
        <f>VLOOKUP($A499,[1]彩含分析60315!$A:$M,12,0)</f>
        <v>65</v>
      </c>
      <c r="G499" s="4">
        <f>VLOOKUP($A499,[1]彩含分析60315!$A:$M,13,0)</f>
        <v>64</v>
      </c>
      <c r="H499" s="4" t="s">
        <v>39</v>
      </c>
      <c r="I499" s="3" t="s">
        <v>982</v>
      </c>
    </row>
    <row r="500" customHeight="1" spans="1:9">
      <c r="A500" s="6" t="s">
        <v>983</v>
      </c>
      <c r="B500" s="4">
        <f>VLOOKUP($A500,[1]彩含分析60315!$A:$M,8,0)</f>
        <v>44</v>
      </c>
      <c r="C500" s="4">
        <f>VLOOKUP($A500,[1]彩含分析60315!$A:$M,9,0)</f>
        <v>42</v>
      </c>
      <c r="D500" s="4">
        <f>VLOOKUP($A500,[1]彩含分析60315!$A:$M,10,0)</f>
        <v>41</v>
      </c>
      <c r="E500" s="4">
        <f>VLOOKUP($A500,[1]彩含分析60315!$A:$M,11,0)</f>
        <v>39</v>
      </c>
      <c r="F500" s="4">
        <f>VLOOKUP($A500,[1]彩含分析60315!$A:$M,12,0)</f>
        <v>38</v>
      </c>
      <c r="G500" s="4">
        <f>VLOOKUP($A500,[1]彩含分析60315!$A:$M,13,0)</f>
        <v>36</v>
      </c>
      <c r="H500" s="4" t="s">
        <v>10</v>
      </c>
      <c r="I500" s="3" t="s">
        <v>984</v>
      </c>
    </row>
    <row r="501" customHeight="1" spans="1:9">
      <c r="A501" s="6" t="s">
        <v>985</v>
      </c>
      <c r="B501" s="4">
        <f>VLOOKUP($A501,[1]彩含分析60315!$A:$M,8,0)</f>
        <v>44</v>
      </c>
      <c r="C501" s="4">
        <f>VLOOKUP($A501,[1]彩含分析60315!$A:$M,9,0)</f>
        <v>42</v>
      </c>
      <c r="D501" s="4">
        <f>VLOOKUP($A501,[1]彩含分析60315!$A:$M,10,0)</f>
        <v>41</v>
      </c>
      <c r="E501" s="4">
        <f>VLOOKUP($A501,[1]彩含分析60315!$A:$M,11,0)</f>
        <v>39</v>
      </c>
      <c r="F501" s="4">
        <f>VLOOKUP($A501,[1]彩含分析60315!$A:$M,12,0)</f>
        <v>37</v>
      </c>
      <c r="G501" s="4">
        <f>VLOOKUP($A501,[1]彩含分析60315!$A:$M,13,0)</f>
        <v>36</v>
      </c>
      <c r="H501" s="4" t="s">
        <v>10</v>
      </c>
      <c r="I501" s="3" t="s">
        <v>986</v>
      </c>
    </row>
    <row r="502" customHeight="1" spans="1:9">
      <c r="A502" s="10" t="s">
        <v>987</v>
      </c>
      <c r="B502" s="4">
        <f>VLOOKUP($A502,[1]彩含分析60315!$A:$M,8,0)</f>
        <v>52</v>
      </c>
      <c r="C502" s="4">
        <f>VLOOKUP($A502,[1]彩含分析60315!$A:$M,9,0)</f>
        <v>52</v>
      </c>
      <c r="D502" s="4">
        <f>VLOOKUP($A502,[1]彩含分析60315!$A:$M,10,0)</f>
        <v>51</v>
      </c>
      <c r="E502" s="4">
        <f>VLOOKUP($A502,[1]彩含分析60315!$A:$M,11,0)</f>
        <v>50</v>
      </c>
      <c r="F502" s="4">
        <f>VLOOKUP($A502,[1]彩含分析60315!$A:$M,12,0)</f>
        <v>49</v>
      </c>
      <c r="G502" s="4">
        <f>VLOOKUP($A502,[1]彩含分析60315!$A:$M,13,0)</f>
        <v>49</v>
      </c>
      <c r="H502" s="4" t="s">
        <v>39</v>
      </c>
      <c r="I502" s="3" t="s">
        <v>988</v>
      </c>
    </row>
    <row r="503" customHeight="1" spans="1:9">
      <c r="A503" s="6" t="s">
        <v>989</v>
      </c>
      <c r="B503" s="4">
        <f>VLOOKUP($A503,[1]彩含分析60315!$A:$M,8,0)</f>
        <v>39</v>
      </c>
      <c r="C503" s="4">
        <f>VLOOKUP($A503,[1]彩含分析60315!$A:$M,9,0)</f>
        <v>38</v>
      </c>
      <c r="D503" s="4">
        <f>VLOOKUP($A503,[1]彩含分析60315!$A:$M,10,0)</f>
        <v>38</v>
      </c>
      <c r="E503" s="4">
        <f>VLOOKUP($A503,[1]彩含分析60315!$A:$M,11,0)</f>
        <v>37</v>
      </c>
      <c r="F503" s="4">
        <f>VLOOKUP($A503,[1]彩含分析60315!$A:$M,12,0)</f>
        <v>37</v>
      </c>
      <c r="G503" s="4">
        <f>VLOOKUP($A503,[1]彩含分析60315!$A:$M,13,0)</f>
        <v>36</v>
      </c>
      <c r="H503" s="4" t="s">
        <v>39</v>
      </c>
      <c r="I503" s="3" t="s">
        <v>990</v>
      </c>
    </row>
    <row r="504" customHeight="1" spans="1:9">
      <c r="A504" s="9" t="s">
        <v>991</v>
      </c>
      <c r="B504" s="4">
        <f>VLOOKUP($A504,[1]彩含分析60315!$A:$M,8,0)</f>
        <v>50</v>
      </c>
      <c r="C504" s="4">
        <f>VLOOKUP($A504,[1]彩含分析60315!$A:$M,9,0)</f>
        <v>48</v>
      </c>
      <c r="D504" s="4">
        <f>VLOOKUP($A504,[1]彩含分析60315!$A:$M,10,0)</f>
        <v>46</v>
      </c>
      <c r="E504" s="4">
        <f>VLOOKUP($A504,[1]彩含分析60315!$A:$M,11,0)</f>
        <v>44</v>
      </c>
      <c r="F504" s="4">
        <f>VLOOKUP($A504,[1]彩含分析60315!$A:$M,12,0)</f>
        <v>42</v>
      </c>
      <c r="G504" s="4">
        <f>VLOOKUP($A504,[1]彩含分析60315!$A:$M,13,0)</f>
        <v>41</v>
      </c>
      <c r="H504" s="4" t="s">
        <v>10</v>
      </c>
      <c r="I504" s="3" t="s">
        <v>992</v>
      </c>
    </row>
    <row r="505" customHeight="1" spans="1:9">
      <c r="A505" s="6" t="s">
        <v>993</v>
      </c>
      <c r="B505" s="4">
        <f>VLOOKUP($A505,[1]彩含分析60315!$A:$M,8,0)</f>
        <v>49</v>
      </c>
      <c r="C505" s="4">
        <f>VLOOKUP($A505,[1]彩含分析60315!$A:$M,9,0)</f>
        <v>47</v>
      </c>
      <c r="D505" s="4">
        <f>VLOOKUP($A505,[1]彩含分析60315!$A:$M,10,0)</f>
        <v>45</v>
      </c>
      <c r="E505" s="4">
        <f>VLOOKUP($A505,[1]彩含分析60315!$A:$M,11,0)</f>
        <v>43</v>
      </c>
      <c r="F505" s="4">
        <f>VLOOKUP($A505,[1]彩含分析60315!$A:$M,12,0)</f>
        <v>42</v>
      </c>
      <c r="G505" s="4">
        <f>VLOOKUP($A505,[1]彩含分析60315!$A:$M,13,0)</f>
        <v>40</v>
      </c>
      <c r="H505" s="4" t="s">
        <v>10</v>
      </c>
      <c r="I505" s="3" t="s">
        <v>718</v>
      </c>
    </row>
    <row r="506" customHeight="1" spans="1:9">
      <c r="A506" s="4" t="s">
        <v>994</v>
      </c>
      <c r="B506" s="4">
        <f>VLOOKUP($A506,[1]彩含分析60315!$A:$M,8,0)</f>
        <v>51</v>
      </c>
      <c r="C506" s="4">
        <f>VLOOKUP($A506,[1]彩含分析60315!$A:$M,9,0)</f>
        <v>50</v>
      </c>
      <c r="D506" s="4">
        <f>VLOOKUP($A506,[1]彩含分析60315!$A:$M,10,0)</f>
        <v>49</v>
      </c>
      <c r="E506" s="4">
        <f>VLOOKUP($A506,[1]彩含分析60315!$A:$M,11,0)</f>
        <v>49</v>
      </c>
      <c r="F506" s="4">
        <f>VLOOKUP($A506,[1]彩含分析60315!$A:$M,12,0)</f>
        <v>48</v>
      </c>
      <c r="G506" s="4">
        <f>VLOOKUP($A506,[1]彩含分析60315!$A:$M,13,0)</f>
        <v>47</v>
      </c>
      <c r="H506" s="4" t="s">
        <v>39</v>
      </c>
      <c r="I506" s="3" t="s">
        <v>791</v>
      </c>
    </row>
    <row r="507" customHeight="1" spans="1:9">
      <c r="A507" s="4" t="s">
        <v>995</v>
      </c>
      <c r="B507" s="4">
        <f>VLOOKUP($A507,[1]彩含分析60315!$A:$M,8,0)</f>
        <v>171</v>
      </c>
      <c r="C507" s="4">
        <f>VLOOKUP($A507,[1]彩含分析60315!$A:$M,9,0)</f>
        <v>168</v>
      </c>
      <c r="D507" s="4">
        <f>VLOOKUP($A507,[1]彩含分析60315!$A:$M,10,0)</f>
        <v>165</v>
      </c>
      <c r="E507" s="4">
        <f>VLOOKUP($A507,[1]彩含分析60315!$A:$M,11,0)</f>
        <v>163</v>
      </c>
      <c r="F507" s="4">
        <f>VLOOKUP($A507,[1]彩含分析60315!$A:$M,12,0)</f>
        <v>161</v>
      </c>
      <c r="G507" s="4">
        <f>VLOOKUP($A507,[1]彩含分析60315!$A:$M,13,0)</f>
        <v>158</v>
      </c>
      <c r="H507" s="4" t="s">
        <v>39</v>
      </c>
      <c r="I507" s="3" t="s">
        <v>996</v>
      </c>
    </row>
    <row r="508" customHeight="1" spans="1:9">
      <c r="A508" s="6" t="s">
        <v>997</v>
      </c>
      <c r="B508" s="4">
        <f>VLOOKUP($A508,[1]彩含分析60315!$A:$M,8,0)</f>
        <v>55</v>
      </c>
      <c r="C508" s="4">
        <f>VLOOKUP($A508,[1]彩含分析60315!$A:$M,9,0)</f>
        <v>54</v>
      </c>
      <c r="D508" s="4">
        <f>VLOOKUP($A508,[1]彩含分析60315!$A:$M,10,0)</f>
        <v>53</v>
      </c>
      <c r="E508" s="4">
        <f>VLOOKUP($A508,[1]彩含分析60315!$A:$M,11,0)</f>
        <v>52</v>
      </c>
      <c r="F508" s="4">
        <f>VLOOKUP($A508,[1]彩含分析60315!$A:$M,12,0)</f>
        <v>52</v>
      </c>
      <c r="G508" s="4">
        <f>VLOOKUP($A508,[1]彩含分析60315!$A:$M,13,0)</f>
        <v>51</v>
      </c>
      <c r="H508" s="4" t="s">
        <v>39</v>
      </c>
      <c r="I508" s="3" t="s">
        <v>863</v>
      </c>
    </row>
    <row r="509" customHeight="1" spans="1:9">
      <c r="A509" s="10" t="s">
        <v>998</v>
      </c>
      <c r="B509" s="4">
        <f>VLOOKUP($A509,[1]彩含分析60315!$A:$M,8,0)</f>
        <v>91</v>
      </c>
      <c r="C509" s="4">
        <f>VLOOKUP($A509,[1]彩含分析60315!$A:$M,9,0)</f>
        <v>88</v>
      </c>
      <c r="D509" s="4">
        <f>VLOOKUP($A509,[1]彩含分析60315!$A:$M,10,0)</f>
        <v>84</v>
      </c>
      <c r="E509" s="4">
        <f>VLOOKUP($A509,[1]彩含分析60315!$A:$M,11,0)</f>
        <v>81</v>
      </c>
      <c r="F509" s="4">
        <f>VLOOKUP($A509,[1]彩含分析60315!$A:$M,12,0)</f>
        <v>78</v>
      </c>
      <c r="G509" s="4">
        <f>VLOOKUP($A509,[1]彩含分析60315!$A:$M,13,0)</f>
        <v>74</v>
      </c>
      <c r="H509" s="4" t="s">
        <v>10</v>
      </c>
      <c r="I509" s="3" t="s">
        <v>999</v>
      </c>
    </row>
    <row r="510" customHeight="1" spans="1:9">
      <c r="A510" s="4" t="s">
        <v>1000</v>
      </c>
      <c r="B510" s="4">
        <f>VLOOKUP($A510,[1]彩含分析60315!$A:$M,8,0)</f>
        <v>35</v>
      </c>
      <c r="C510" s="4">
        <f>VLOOKUP($A510,[1]彩含分析60315!$A:$M,9,0)</f>
        <v>34</v>
      </c>
      <c r="D510" s="4">
        <f>VLOOKUP($A510,[1]彩含分析60315!$A:$M,10,0)</f>
        <v>33</v>
      </c>
      <c r="E510" s="4">
        <f>VLOOKUP($A510,[1]彩含分析60315!$A:$M,11,0)</f>
        <v>31</v>
      </c>
      <c r="F510" s="4">
        <f>VLOOKUP($A510,[1]彩含分析60315!$A:$M,12,0)</f>
        <v>30</v>
      </c>
      <c r="G510" s="4">
        <f>VLOOKUP($A510,[1]彩含分析60315!$A:$M,13,0)</f>
        <v>29</v>
      </c>
      <c r="H510" s="4" t="s">
        <v>10</v>
      </c>
      <c r="I510" s="3" t="s">
        <v>1001</v>
      </c>
    </row>
    <row r="511" customHeight="1" spans="1:9">
      <c r="A511" s="4" t="s">
        <v>1002</v>
      </c>
      <c r="B511" s="4">
        <f>VLOOKUP($A511,[1]彩含分析60315!$A:$M,8,0)</f>
        <v>62</v>
      </c>
      <c r="C511" s="4">
        <f>VLOOKUP($A511,[1]彩含分析60315!$A:$M,9,0)</f>
        <v>61</v>
      </c>
      <c r="D511" s="4">
        <f>VLOOKUP($A511,[1]彩含分析60315!$A:$M,10,0)</f>
        <v>60</v>
      </c>
      <c r="E511" s="4">
        <f>VLOOKUP($A511,[1]彩含分析60315!$A:$M,11,0)</f>
        <v>59</v>
      </c>
      <c r="F511" s="4">
        <f>VLOOKUP($A511,[1]彩含分析60315!$A:$M,12,0)</f>
        <v>58</v>
      </c>
      <c r="G511" s="4">
        <f>VLOOKUP($A511,[1]彩含分析60315!$A:$M,13,0)</f>
        <v>57</v>
      </c>
      <c r="H511" s="4" t="s">
        <v>39</v>
      </c>
      <c r="I511" s="3" t="s">
        <v>1003</v>
      </c>
    </row>
    <row r="512" customHeight="1" spans="1:9">
      <c r="A512" s="4" t="s">
        <v>1004</v>
      </c>
      <c r="B512" s="4">
        <f>VLOOKUP($A512,[1]彩含分析60315!$A:$M,8,0)</f>
        <v>71</v>
      </c>
      <c r="C512" s="4">
        <f>VLOOKUP($A512,[1]彩含分析60315!$A:$M,9,0)</f>
        <v>70</v>
      </c>
      <c r="D512" s="4">
        <f>VLOOKUP($A512,[1]彩含分析60315!$A:$M,10,0)</f>
        <v>69</v>
      </c>
      <c r="E512" s="4">
        <f>VLOOKUP($A512,[1]彩含分析60315!$A:$M,11,0)</f>
        <v>67</v>
      </c>
      <c r="F512" s="4">
        <f>VLOOKUP($A512,[1]彩含分析60315!$A:$M,12,0)</f>
        <v>67</v>
      </c>
      <c r="G512" s="4">
        <f>VLOOKUP($A512,[1]彩含分析60315!$A:$M,13,0)</f>
        <v>66</v>
      </c>
      <c r="H512" s="4" t="s">
        <v>39</v>
      </c>
      <c r="I512" s="3" t="s">
        <v>1005</v>
      </c>
    </row>
    <row r="513" customHeight="1" spans="1:9">
      <c r="A513" s="4" t="s">
        <v>1006</v>
      </c>
      <c r="B513" s="4">
        <f>VLOOKUP($A513,[1]彩含分析60315!$A:$M,8,0)</f>
        <v>51</v>
      </c>
      <c r="C513" s="4">
        <f>VLOOKUP($A513,[1]彩含分析60315!$A:$M,9,0)</f>
        <v>49</v>
      </c>
      <c r="D513" s="4">
        <f>VLOOKUP($A513,[1]彩含分析60315!$A:$M,10,0)</f>
        <v>47</v>
      </c>
      <c r="E513" s="4">
        <f>VLOOKUP($A513,[1]彩含分析60315!$A:$M,11,0)</f>
        <v>45</v>
      </c>
      <c r="F513" s="4">
        <f>VLOOKUP($A513,[1]彩含分析60315!$A:$M,12,0)</f>
        <v>44</v>
      </c>
      <c r="G513" s="4">
        <f>VLOOKUP($A513,[1]彩含分析60315!$A:$M,13,0)</f>
        <v>42</v>
      </c>
      <c r="H513" s="4" t="s">
        <v>10</v>
      </c>
      <c r="I513" s="3" t="s">
        <v>1007</v>
      </c>
    </row>
    <row r="514" customHeight="1" spans="1:9">
      <c r="A514" s="4" t="s">
        <v>1008</v>
      </c>
      <c r="B514" s="4">
        <f>VLOOKUP($A514,[1]彩含分析60315!$A:$M,8,0)</f>
        <v>76</v>
      </c>
      <c r="C514" s="4">
        <f>VLOOKUP($A514,[1]彩含分析60315!$A:$M,9,0)</f>
        <v>75</v>
      </c>
      <c r="D514" s="4">
        <f>VLOOKUP($A514,[1]彩含分析60315!$A:$M,10,0)</f>
        <v>73</v>
      </c>
      <c r="E514" s="4">
        <f>VLOOKUP($A514,[1]彩含分析60315!$A:$M,11,0)</f>
        <v>72</v>
      </c>
      <c r="F514" s="4">
        <f>VLOOKUP($A514,[1]彩含分析60315!$A:$M,12,0)</f>
        <v>71</v>
      </c>
      <c r="G514" s="4">
        <f>VLOOKUP($A514,[1]彩含分析60315!$A:$M,13,0)</f>
        <v>70</v>
      </c>
      <c r="H514" s="4" t="s">
        <v>39</v>
      </c>
      <c r="I514" s="3" t="s">
        <v>1009</v>
      </c>
    </row>
    <row r="515" customHeight="1" spans="1:9">
      <c r="A515" s="4" t="s">
        <v>1010</v>
      </c>
      <c r="B515" s="4">
        <f>VLOOKUP($A515,[1]彩含分析60315!$A:$M,8,0)</f>
        <v>89</v>
      </c>
      <c r="C515" s="4">
        <f>VLOOKUP($A515,[1]彩含分析60315!$A:$M,9,0)</f>
        <v>87</v>
      </c>
      <c r="D515" s="4">
        <f>VLOOKUP($A515,[1]彩含分析60315!$A:$M,10,0)</f>
        <v>86</v>
      </c>
      <c r="E515" s="4">
        <f>VLOOKUP($A515,[1]彩含分析60315!$A:$M,11,0)</f>
        <v>84</v>
      </c>
      <c r="F515" s="4">
        <f>VLOOKUP($A515,[1]彩含分析60315!$A:$M,12,0)</f>
        <v>84</v>
      </c>
      <c r="G515" s="4">
        <f>VLOOKUP($A515,[1]彩含分析60315!$A:$M,13,0)</f>
        <v>82</v>
      </c>
      <c r="H515" s="4" t="s">
        <v>39</v>
      </c>
      <c r="I515" s="3" t="s">
        <v>1011</v>
      </c>
    </row>
    <row r="516" customHeight="1" spans="1:9">
      <c r="A516" s="4" t="s">
        <v>1012</v>
      </c>
      <c r="B516" s="4">
        <f>VLOOKUP($A516,[1]彩含分析60315!$A:$M,8,0)</f>
        <v>51</v>
      </c>
      <c r="C516" s="4">
        <f>VLOOKUP($A516,[1]彩含分析60315!$A:$M,9,0)</f>
        <v>49</v>
      </c>
      <c r="D516" s="4">
        <f>VLOOKUP($A516,[1]彩含分析60315!$A:$M,10,0)</f>
        <v>47</v>
      </c>
      <c r="E516" s="4">
        <f>VLOOKUP($A516,[1]彩含分析60315!$A:$M,11,0)</f>
        <v>45</v>
      </c>
      <c r="F516" s="4">
        <f>VLOOKUP($A516,[1]彩含分析60315!$A:$M,12,0)</f>
        <v>43</v>
      </c>
      <c r="G516" s="4">
        <f>VLOOKUP($A516,[1]彩含分析60315!$A:$M,13,0)</f>
        <v>42</v>
      </c>
      <c r="H516" s="4" t="s">
        <v>10</v>
      </c>
      <c r="I516" s="3" t="s">
        <v>1013</v>
      </c>
    </row>
    <row r="517" customHeight="1" spans="1:9">
      <c r="A517" s="4" t="s">
        <v>1014</v>
      </c>
      <c r="B517" s="4">
        <f>VLOOKUP($A517,[1]彩含分析60315!$A:$M,8,0)</f>
        <v>48</v>
      </c>
      <c r="C517" s="4">
        <f>VLOOKUP($A517,[1]彩含分析60315!$A:$M,9,0)</f>
        <v>47</v>
      </c>
      <c r="D517" s="4">
        <f>VLOOKUP($A517,[1]彩含分析60315!$A:$M,10,0)</f>
        <v>47</v>
      </c>
      <c r="E517" s="4">
        <f>VLOOKUP($A517,[1]彩含分析60315!$A:$M,11,0)</f>
        <v>46</v>
      </c>
      <c r="F517" s="4">
        <f>VLOOKUP($A517,[1]彩含分析60315!$A:$M,12,0)</f>
        <v>45</v>
      </c>
      <c r="G517" s="4">
        <f>VLOOKUP($A517,[1]彩含分析60315!$A:$M,13,0)</f>
        <v>45</v>
      </c>
      <c r="H517" s="4" t="s">
        <v>39</v>
      </c>
      <c r="I517" s="3" t="s">
        <v>1015</v>
      </c>
    </row>
    <row r="518" customHeight="1" spans="1:9">
      <c r="A518" s="11" t="s">
        <v>1016</v>
      </c>
      <c r="B518" s="4">
        <f>VLOOKUP($A518,[1]彩含分析60315!$A:$M,8,0)</f>
        <v>28</v>
      </c>
      <c r="C518" s="4">
        <f>VLOOKUP($A518,[1]彩含分析60315!$A:$M,9,0)</f>
        <v>27</v>
      </c>
      <c r="D518" s="4">
        <f>VLOOKUP($A518,[1]彩含分析60315!$A:$M,10,0)</f>
        <v>26</v>
      </c>
      <c r="E518" s="4">
        <f>VLOOKUP($A518,[1]彩含分析60315!$A:$M,11,0)</f>
        <v>25</v>
      </c>
      <c r="F518" s="4">
        <f>VLOOKUP($A518,[1]彩含分析60315!$A:$M,12,0)</f>
        <v>24</v>
      </c>
      <c r="G518" s="4">
        <f>VLOOKUP($A518,[1]彩含分析60315!$A:$M,13,0)</f>
        <v>23</v>
      </c>
      <c r="H518" s="4" t="s">
        <v>10</v>
      </c>
      <c r="I518" s="3" t="s">
        <v>1017</v>
      </c>
    </row>
    <row r="519" customHeight="1" spans="1:9">
      <c r="A519" s="9" t="s">
        <v>1018</v>
      </c>
      <c r="B519" s="4">
        <f>VLOOKUP($A519,[1]彩含分析60315!$A:$M,8,0)</f>
        <v>37</v>
      </c>
      <c r="C519" s="4">
        <f>VLOOKUP($A519,[1]彩含分析60315!$A:$M,9,0)</f>
        <v>35</v>
      </c>
      <c r="D519" s="4">
        <f>VLOOKUP($A519,[1]彩含分析60315!$A:$M,10,0)</f>
        <v>34</v>
      </c>
      <c r="E519" s="4">
        <f>VLOOKUP($A519,[1]彩含分析60315!$A:$M,11,0)</f>
        <v>33</v>
      </c>
      <c r="F519" s="4">
        <f>VLOOKUP($A519,[1]彩含分析60315!$A:$M,12,0)</f>
        <v>31</v>
      </c>
      <c r="G519" s="4">
        <f>VLOOKUP($A519,[1]彩含分析60315!$A:$M,13,0)</f>
        <v>30</v>
      </c>
      <c r="H519" s="4" t="s">
        <v>10</v>
      </c>
      <c r="I519" s="3" t="s">
        <v>1019</v>
      </c>
    </row>
    <row r="520" customHeight="1" spans="1:9">
      <c r="A520" s="11" t="s">
        <v>1020</v>
      </c>
      <c r="B520" s="4">
        <f>VLOOKUP($A520,[1]彩含分析60315!$A:$M,8,0)</f>
        <v>66</v>
      </c>
      <c r="C520" s="4">
        <f>VLOOKUP($A520,[1]彩含分析60315!$A:$M,9,0)</f>
        <v>65</v>
      </c>
      <c r="D520" s="4">
        <f>VLOOKUP($A520,[1]彩含分析60315!$A:$M,10,0)</f>
        <v>64</v>
      </c>
      <c r="E520" s="4">
        <f>VLOOKUP($A520,[1]彩含分析60315!$A:$M,11,0)</f>
        <v>63</v>
      </c>
      <c r="F520" s="4">
        <f>VLOOKUP($A520,[1]彩含分析60315!$A:$M,12,0)</f>
        <v>62</v>
      </c>
      <c r="G520" s="4">
        <f>VLOOKUP($A520,[1]彩含分析60315!$A:$M,13,0)</f>
        <v>61</v>
      </c>
      <c r="H520" s="4" t="s">
        <v>39</v>
      </c>
      <c r="I520" s="3" t="s">
        <v>996</v>
      </c>
    </row>
    <row r="521" customHeight="1" spans="1:9">
      <c r="A521" s="11" t="s">
        <v>1021</v>
      </c>
      <c r="B521" s="4">
        <f>VLOOKUP($A521,[1]彩含分析60315!$A:$M,8,0)</f>
        <v>59</v>
      </c>
      <c r="C521" s="4">
        <f>VLOOKUP($A521,[1]彩含分析60315!$A:$M,9,0)</f>
        <v>57</v>
      </c>
      <c r="D521" s="4">
        <f>VLOOKUP($A521,[1]彩含分析60315!$A:$M,10,0)</f>
        <v>55</v>
      </c>
      <c r="E521" s="4">
        <f>VLOOKUP($A521,[1]彩含分析60315!$A:$M,11,0)</f>
        <v>53</v>
      </c>
      <c r="F521" s="4">
        <f>VLOOKUP($A521,[1]彩含分析60315!$A:$M,12,0)</f>
        <v>51</v>
      </c>
      <c r="G521" s="4">
        <f>VLOOKUP($A521,[1]彩含分析60315!$A:$M,13,0)</f>
        <v>48</v>
      </c>
      <c r="H521" s="4" t="s">
        <v>10</v>
      </c>
      <c r="I521" s="3" t="s">
        <v>1022</v>
      </c>
    </row>
    <row r="522" customHeight="1" spans="1:9">
      <c r="A522" s="11" t="s">
        <v>1023</v>
      </c>
      <c r="B522" s="4">
        <f>VLOOKUP($A522,[1]彩含分析60315!$A:$M,8,0)</f>
        <v>62</v>
      </c>
      <c r="C522" s="4">
        <f>VLOOKUP($A522,[1]彩含分析60315!$A:$M,9,0)</f>
        <v>61</v>
      </c>
      <c r="D522" s="4">
        <f>VLOOKUP($A522,[1]彩含分析60315!$A:$M,10,0)</f>
        <v>60</v>
      </c>
      <c r="E522" s="4">
        <f>VLOOKUP($A522,[1]彩含分析60315!$A:$M,11,0)</f>
        <v>59</v>
      </c>
      <c r="F522" s="4">
        <f>VLOOKUP($A522,[1]彩含分析60315!$A:$M,12,0)</f>
        <v>58</v>
      </c>
      <c r="G522" s="4">
        <f>VLOOKUP($A522,[1]彩含分析60315!$A:$M,13,0)</f>
        <v>57</v>
      </c>
      <c r="H522" s="4" t="s">
        <v>39</v>
      </c>
      <c r="I522" s="3" t="s">
        <v>1024</v>
      </c>
    </row>
    <row r="523" customHeight="1" spans="1:9">
      <c r="A523" s="11" t="s">
        <v>1025</v>
      </c>
      <c r="B523" s="4">
        <f>VLOOKUP($A523,[1]彩含分析60315!$A:$M,8,0)</f>
        <v>105</v>
      </c>
      <c r="C523" s="4">
        <f>VLOOKUP($A523,[1]彩含分析60315!$A:$M,9,0)</f>
        <v>103</v>
      </c>
      <c r="D523" s="4">
        <f>VLOOKUP($A523,[1]彩含分析60315!$A:$M,10,0)</f>
        <v>101</v>
      </c>
      <c r="E523" s="4">
        <f>VLOOKUP($A523,[1]彩含分析60315!$A:$M,11,0)</f>
        <v>99</v>
      </c>
      <c r="F523" s="4">
        <f>VLOOKUP($A523,[1]彩含分析60315!$A:$M,12,0)</f>
        <v>99</v>
      </c>
      <c r="G523" s="4">
        <f>VLOOKUP($A523,[1]彩含分析60315!$A:$M,13,0)</f>
        <v>97</v>
      </c>
      <c r="H523" s="4" t="s">
        <v>39</v>
      </c>
      <c r="I523" s="3" t="s">
        <v>1026</v>
      </c>
    </row>
    <row r="524" customHeight="1" spans="1:9">
      <c r="A524" s="9" t="s">
        <v>1027</v>
      </c>
      <c r="B524" s="4">
        <f>VLOOKUP($A524,[1]彩含分析60315!$A:$M,8,0)</f>
        <v>207</v>
      </c>
      <c r="C524" s="4">
        <f>VLOOKUP($A524,[1]彩含分析60315!$A:$M,9,0)</f>
        <v>203</v>
      </c>
      <c r="D524" s="4">
        <f>VLOOKUP($A524,[1]彩含分析60315!$A:$M,10,0)</f>
        <v>200</v>
      </c>
      <c r="E524" s="4">
        <f>VLOOKUP($A524,[1]彩含分析60315!$A:$M,11,0)</f>
        <v>196</v>
      </c>
      <c r="F524" s="4">
        <f>VLOOKUP($A524,[1]彩含分析60315!$A:$M,12,0)</f>
        <v>195</v>
      </c>
      <c r="G524" s="4">
        <f>VLOOKUP($A524,[1]彩含分析60315!$A:$M,13,0)</f>
        <v>191</v>
      </c>
      <c r="H524" s="4" t="s">
        <v>39</v>
      </c>
      <c r="I524" s="3" t="s">
        <v>1028</v>
      </c>
    </row>
    <row r="525" customHeight="1" spans="1:9">
      <c r="A525" s="9" t="s">
        <v>1029</v>
      </c>
      <c r="B525" s="4">
        <f>VLOOKUP($A525,[1]彩含分析60315!$A:$M,8,0)</f>
        <v>52</v>
      </c>
      <c r="C525" s="4">
        <f>VLOOKUP($A525,[1]彩含分析60315!$A:$M,9,0)</f>
        <v>50</v>
      </c>
      <c r="D525" s="4">
        <f>VLOOKUP($A525,[1]彩含分析60315!$A:$M,10,0)</f>
        <v>48</v>
      </c>
      <c r="E525" s="4">
        <f>VLOOKUP($A525,[1]彩含分析60315!$A:$M,11,0)</f>
        <v>46</v>
      </c>
      <c r="F525" s="4">
        <f>VLOOKUP($A525,[1]彩含分析60315!$A:$M,12,0)</f>
        <v>44</v>
      </c>
      <c r="G525" s="4">
        <f>VLOOKUP($A525,[1]彩含分析60315!$A:$M,13,0)</f>
        <v>42</v>
      </c>
      <c r="H525" s="4" t="s">
        <v>10</v>
      </c>
      <c r="I525" s="3" t="s">
        <v>1030</v>
      </c>
    </row>
    <row r="526" customHeight="1" spans="1:9">
      <c r="A526" s="11" t="s">
        <v>1031</v>
      </c>
      <c r="B526" s="4">
        <f>VLOOKUP($A526,[1]彩含分析60315!$A:$M,8,0)</f>
        <v>50</v>
      </c>
      <c r="C526" s="4">
        <f>VLOOKUP($A526,[1]彩含分析60315!$A:$M,9,0)</f>
        <v>48</v>
      </c>
      <c r="D526" s="4">
        <f>VLOOKUP($A526,[1]彩含分析60315!$A:$M,10,0)</f>
        <v>46</v>
      </c>
      <c r="E526" s="4">
        <f>VLOOKUP($A526,[1]彩含分析60315!$A:$M,11,0)</f>
        <v>44</v>
      </c>
      <c r="F526" s="4">
        <f>VLOOKUP($A526,[1]彩含分析60315!$A:$M,12,0)</f>
        <v>42</v>
      </c>
      <c r="G526" s="4">
        <f>VLOOKUP($A526,[1]彩含分析60315!$A:$M,13,0)</f>
        <v>41</v>
      </c>
      <c r="H526" s="4" t="s">
        <v>10</v>
      </c>
      <c r="I526" s="3" t="s">
        <v>1032</v>
      </c>
    </row>
    <row r="527" customHeight="1" spans="1:9">
      <c r="A527" s="11" t="s">
        <v>1033</v>
      </c>
      <c r="B527" s="4">
        <f>VLOOKUP($A527,[1]彩含分析60315!$A:$M,8,0)</f>
        <v>39</v>
      </c>
      <c r="C527" s="4">
        <f>VLOOKUP($A527,[1]彩含分析60315!$A:$M,9,0)</f>
        <v>38</v>
      </c>
      <c r="D527" s="4">
        <f>VLOOKUP($A527,[1]彩含分析60315!$A:$M,10,0)</f>
        <v>36</v>
      </c>
      <c r="E527" s="4">
        <f>VLOOKUP($A527,[1]彩含分析60315!$A:$M,11,0)</f>
        <v>35</v>
      </c>
      <c r="F527" s="4">
        <f>VLOOKUP($A527,[1]彩含分析60315!$A:$M,12,0)</f>
        <v>33</v>
      </c>
      <c r="G527" s="4">
        <f>VLOOKUP($A527,[1]彩含分析60315!$A:$M,13,0)</f>
        <v>32</v>
      </c>
      <c r="H527" s="4" t="s">
        <v>10</v>
      </c>
      <c r="I527" s="3" t="s">
        <v>1034</v>
      </c>
    </row>
    <row r="528" customHeight="1" spans="1:9">
      <c r="A528" s="9" t="s">
        <v>1035</v>
      </c>
      <c r="B528" s="4">
        <f>VLOOKUP($A528,[1]彩含分析60315!$A:$M,8,0)</f>
        <v>50</v>
      </c>
      <c r="C528" s="4">
        <f>VLOOKUP($A528,[1]彩含分析60315!$A:$M,9,0)</f>
        <v>49</v>
      </c>
      <c r="D528" s="4">
        <f>VLOOKUP($A528,[1]彩含分析60315!$A:$M,10,0)</f>
        <v>48</v>
      </c>
      <c r="E528" s="4">
        <f>VLOOKUP($A528,[1]彩含分析60315!$A:$M,11,0)</f>
        <v>47</v>
      </c>
      <c r="F528" s="4">
        <f>VLOOKUP($A528,[1]彩含分析60315!$A:$M,12,0)</f>
        <v>47</v>
      </c>
      <c r="G528" s="4">
        <f>VLOOKUP($A528,[1]彩含分析60315!$A:$M,13,0)</f>
        <v>46</v>
      </c>
      <c r="H528" s="4" t="s">
        <v>39</v>
      </c>
      <c r="I528" s="3" t="s">
        <v>748</v>
      </c>
    </row>
    <row r="529" customHeight="1" spans="1:9">
      <c r="A529" s="4" t="s">
        <v>1036</v>
      </c>
      <c r="B529" s="4">
        <f>VLOOKUP($A529,[1]彩含分析60315!$A:$M,8,0)</f>
        <v>50</v>
      </c>
      <c r="C529" s="4">
        <f>VLOOKUP($A529,[1]彩含分析60315!$A:$M,9,0)</f>
        <v>48</v>
      </c>
      <c r="D529" s="4">
        <f>VLOOKUP($A529,[1]彩含分析60315!$A:$M,10,0)</f>
        <v>47</v>
      </c>
      <c r="E529" s="4">
        <f>VLOOKUP($A529,[1]彩含分析60315!$A:$M,11,0)</f>
        <v>45</v>
      </c>
      <c r="F529" s="4">
        <f>VLOOKUP($A529,[1]彩含分析60315!$A:$M,12,0)</f>
        <v>43</v>
      </c>
      <c r="G529" s="4">
        <f>VLOOKUP($A529,[1]彩含分析60315!$A:$M,13,0)</f>
        <v>41</v>
      </c>
      <c r="H529" s="4" t="s">
        <v>10</v>
      </c>
      <c r="I529" s="3" t="s">
        <v>1037</v>
      </c>
    </row>
    <row r="530" customHeight="1" spans="1:9">
      <c r="A530" s="4" t="s">
        <v>1038</v>
      </c>
      <c r="B530" s="4">
        <f>VLOOKUP($A530,[1]彩含分析60315!$A:$M,8,0)</f>
        <v>56</v>
      </c>
      <c r="C530" s="4">
        <f>VLOOKUP($A530,[1]彩含分析60315!$A:$M,9,0)</f>
        <v>55</v>
      </c>
      <c r="D530" s="4">
        <f>VLOOKUP($A530,[1]彩含分析60315!$A:$M,10,0)</f>
        <v>54</v>
      </c>
      <c r="E530" s="4">
        <f>VLOOKUP($A530,[1]彩含分析60315!$A:$M,11,0)</f>
        <v>53</v>
      </c>
      <c r="F530" s="4">
        <f>VLOOKUP($A530,[1]彩含分析60315!$A:$M,12,0)</f>
        <v>53</v>
      </c>
      <c r="G530" s="4">
        <f>VLOOKUP($A530,[1]彩含分析60315!$A:$M,13,0)</f>
        <v>52</v>
      </c>
      <c r="H530" s="4" t="s">
        <v>39</v>
      </c>
      <c r="I530" s="3" t="s">
        <v>1039</v>
      </c>
    </row>
    <row r="531" customHeight="1" spans="1:9">
      <c r="A531" s="11" t="s">
        <v>1040</v>
      </c>
      <c r="B531" s="4">
        <f>VLOOKUP($A531,[1]彩含分析60315!$A:$M,8,0)</f>
        <v>46</v>
      </c>
      <c r="C531" s="4">
        <f>VLOOKUP($A531,[1]彩含分析60315!$A:$M,9,0)</f>
        <v>44</v>
      </c>
      <c r="D531" s="4">
        <f>VLOOKUP($A531,[1]彩含分析60315!$A:$M,10,0)</f>
        <v>42</v>
      </c>
      <c r="E531" s="4">
        <f>VLOOKUP($A531,[1]彩含分析60315!$A:$M,11,0)</f>
        <v>41</v>
      </c>
      <c r="F531" s="4">
        <f>VLOOKUP($A531,[1]彩含分析60315!$A:$M,12,0)</f>
        <v>39</v>
      </c>
      <c r="G531" s="4">
        <f>VLOOKUP($A531,[1]彩含分析60315!$A:$M,13,0)</f>
        <v>37</v>
      </c>
      <c r="H531" s="4" t="s">
        <v>10</v>
      </c>
      <c r="I531" s="3" t="s">
        <v>1041</v>
      </c>
    </row>
    <row r="532" customHeight="1" spans="1:9">
      <c r="A532" s="11" t="s">
        <v>1042</v>
      </c>
      <c r="B532" s="4">
        <f>VLOOKUP($A532,[1]彩含分析60315!$A:$M,8,0)</f>
        <v>56</v>
      </c>
      <c r="C532" s="4">
        <f>VLOOKUP($A532,[1]彩含分析60315!$A:$M,9,0)</f>
        <v>55</v>
      </c>
      <c r="D532" s="4">
        <f>VLOOKUP($A532,[1]彩含分析60315!$A:$M,10,0)</f>
        <v>54</v>
      </c>
      <c r="E532" s="4">
        <f>VLOOKUP($A532,[1]彩含分析60315!$A:$M,11,0)</f>
        <v>53</v>
      </c>
      <c r="F532" s="4">
        <f>VLOOKUP($A532,[1]彩含分析60315!$A:$M,12,0)</f>
        <v>53</v>
      </c>
      <c r="G532" s="4">
        <f>VLOOKUP($A532,[1]彩含分析60315!$A:$M,13,0)</f>
        <v>52</v>
      </c>
      <c r="H532" s="4" t="s">
        <v>39</v>
      </c>
      <c r="I532" s="3" t="s">
        <v>1043</v>
      </c>
    </row>
    <row r="533" customHeight="1" spans="1:9">
      <c r="A533" s="5" t="s">
        <v>1044</v>
      </c>
      <c r="B533" s="4">
        <f>VLOOKUP($A533,[1]彩含分析60315!$A:$M,8,0)</f>
        <v>87</v>
      </c>
      <c r="C533" s="4">
        <f>VLOOKUP($A533,[1]彩含分析60315!$A:$M,9,0)</f>
        <v>85</v>
      </c>
      <c r="D533" s="4">
        <f>VLOOKUP($A533,[1]彩含分析60315!$A:$M,10,0)</f>
        <v>84</v>
      </c>
      <c r="E533" s="4">
        <f>VLOOKUP($A533,[1]彩含分析60315!$A:$M,11,0)</f>
        <v>82</v>
      </c>
      <c r="F533" s="4">
        <f>VLOOKUP($A533,[1]彩含分析60315!$A:$M,12,0)</f>
        <v>82</v>
      </c>
      <c r="G533" s="4">
        <f>VLOOKUP($A533,[1]彩含分析60315!$A:$M,13,0)</f>
        <v>80</v>
      </c>
      <c r="H533" s="4" t="s">
        <v>39</v>
      </c>
      <c r="I533" s="3" t="s">
        <v>1045</v>
      </c>
    </row>
    <row r="534" customHeight="1" spans="1:9">
      <c r="A534" s="11" t="s">
        <v>1046</v>
      </c>
      <c r="B534" s="4">
        <f>VLOOKUP($A534,[1]彩含分析60315!$A:$M,8,0)</f>
        <v>87</v>
      </c>
      <c r="C534" s="4">
        <f>VLOOKUP($A534,[1]彩含分析60315!$A:$M,9,0)</f>
        <v>85</v>
      </c>
      <c r="D534" s="4">
        <f>VLOOKUP($A534,[1]彩含分析60315!$A:$M,10,0)</f>
        <v>84</v>
      </c>
      <c r="E534" s="4">
        <f>VLOOKUP($A534,[1]彩含分析60315!$A:$M,11,0)</f>
        <v>82</v>
      </c>
      <c r="F534" s="4">
        <f>VLOOKUP($A534,[1]彩含分析60315!$A:$M,12,0)</f>
        <v>82</v>
      </c>
      <c r="G534" s="4">
        <f>VLOOKUP($A534,[1]彩含分析60315!$A:$M,13,0)</f>
        <v>80</v>
      </c>
      <c r="H534" s="4" t="s">
        <v>39</v>
      </c>
      <c r="I534" s="3" t="s">
        <v>1047</v>
      </c>
    </row>
    <row r="535" customHeight="1" spans="1:9">
      <c r="A535" s="11" t="s">
        <v>1048</v>
      </c>
      <c r="B535" s="4">
        <f>VLOOKUP($A535,[1]彩含分析60315!$A:$M,8,0)</f>
        <v>46</v>
      </c>
      <c r="C535" s="4">
        <f>VLOOKUP($A535,[1]彩含分析60315!$A:$M,9,0)</f>
        <v>44</v>
      </c>
      <c r="D535" s="4">
        <f>VLOOKUP($A535,[1]彩含分析60315!$A:$M,10,0)</f>
        <v>42</v>
      </c>
      <c r="E535" s="4">
        <f>VLOOKUP($A535,[1]彩含分析60315!$A:$M,11,0)</f>
        <v>41</v>
      </c>
      <c r="F535" s="4">
        <f>VLOOKUP($A535,[1]彩含分析60315!$A:$M,12,0)</f>
        <v>39</v>
      </c>
      <c r="G535" s="4">
        <f>VLOOKUP($A535,[1]彩含分析60315!$A:$M,13,0)</f>
        <v>37</v>
      </c>
      <c r="H535" s="4" t="s">
        <v>10</v>
      </c>
      <c r="I535" s="3" t="s">
        <v>1049</v>
      </c>
    </row>
    <row r="536" customHeight="1" spans="1:9">
      <c r="A536" s="11" t="s">
        <v>1050</v>
      </c>
      <c r="B536" s="4">
        <f>VLOOKUP($A536,[1]彩含分析60315!$A:$M,8,0)</f>
        <v>31</v>
      </c>
      <c r="C536" s="4">
        <f>VLOOKUP($A536,[1]彩含分析60315!$A:$M,9,0)</f>
        <v>30</v>
      </c>
      <c r="D536" s="4">
        <f>VLOOKUP($A536,[1]彩含分析60315!$A:$M,10,0)</f>
        <v>29</v>
      </c>
      <c r="E536" s="4">
        <f>VLOOKUP($A536,[1]彩含分析60315!$A:$M,11,0)</f>
        <v>28</v>
      </c>
      <c r="F536" s="4">
        <f>VLOOKUP($A536,[1]彩含分析60315!$A:$M,12,0)</f>
        <v>27</v>
      </c>
      <c r="G536" s="4">
        <f>VLOOKUP($A536,[1]彩含分析60315!$A:$M,13,0)</f>
        <v>26</v>
      </c>
      <c r="H536" s="4" t="s">
        <v>10</v>
      </c>
      <c r="I536" s="3" t="s">
        <v>1051</v>
      </c>
    </row>
    <row r="537" customHeight="1" spans="1:9">
      <c r="A537" s="11" t="s">
        <v>1052</v>
      </c>
      <c r="B537" s="4">
        <f>VLOOKUP($A537,[1]彩含分析60315!$A:$M,8,0)</f>
        <v>47</v>
      </c>
      <c r="C537" s="4">
        <f>VLOOKUP($A537,[1]彩含分析60315!$A:$M,9,0)</f>
        <v>46</v>
      </c>
      <c r="D537" s="4">
        <f>VLOOKUP($A537,[1]彩含分析60315!$A:$M,10,0)</f>
        <v>44</v>
      </c>
      <c r="E537" s="4">
        <f>VLOOKUP($A537,[1]彩含分析60315!$A:$M,11,0)</f>
        <v>42</v>
      </c>
      <c r="F537" s="4">
        <f>VLOOKUP($A537,[1]彩含分析60315!$A:$M,12,0)</f>
        <v>40</v>
      </c>
      <c r="G537" s="4">
        <f>VLOOKUP($A537,[1]彩含分析60315!$A:$M,13,0)</f>
        <v>39</v>
      </c>
      <c r="H537" s="4" t="s">
        <v>10</v>
      </c>
      <c r="I537" s="3" t="s">
        <v>1053</v>
      </c>
    </row>
    <row r="538" customHeight="1" spans="1:9">
      <c r="A538" s="11" t="s">
        <v>1054</v>
      </c>
      <c r="B538" s="4">
        <f>VLOOKUP($A538,[1]彩含分析60315!$A:$M,8,0)</f>
        <v>34</v>
      </c>
      <c r="C538" s="4">
        <f>VLOOKUP($A538,[1]彩含分析60315!$A:$M,9,0)</f>
        <v>33</v>
      </c>
      <c r="D538" s="4">
        <f>VLOOKUP($A538,[1]彩含分析60315!$A:$M,10,0)</f>
        <v>32</v>
      </c>
      <c r="E538" s="4">
        <f>VLOOKUP($A538,[1]彩含分析60315!$A:$M,11,0)</f>
        <v>31</v>
      </c>
      <c r="F538" s="4">
        <f>VLOOKUP($A538,[1]彩含分析60315!$A:$M,12,0)</f>
        <v>29</v>
      </c>
      <c r="G538" s="4">
        <f>VLOOKUP($A538,[1]彩含分析60315!$A:$M,13,0)</f>
        <v>28</v>
      </c>
      <c r="H538" s="4" t="s">
        <v>10</v>
      </c>
      <c r="I538" s="3" t="s">
        <v>1055</v>
      </c>
    </row>
    <row r="539" customHeight="1" spans="1:9">
      <c r="A539" s="11" t="s">
        <v>1056</v>
      </c>
      <c r="B539" s="4">
        <f>VLOOKUP($A539,[1]彩含分析60315!$A:$M,8,0)</f>
        <v>46</v>
      </c>
      <c r="C539" s="4">
        <f>VLOOKUP($A539,[1]彩含分析60315!$A:$M,9,0)</f>
        <v>44</v>
      </c>
      <c r="D539" s="4">
        <f>VLOOKUP($A539,[1]彩含分析60315!$A:$M,10,0)</f>
        <v>42</v>
      </c>
      <c r="E539" s="4">
        <f>VLOOKUP($A539,[1]彩含分析60315!$A:$M,11,0)</f>
        <v>41</v>
      </c>
      <c r="F539" s="4">
        <f>VLOOKUP($A539,[1]彩含分析60315!$A:$M,12,0)</f>
        <v>39</v>
      </c>
      <c r="G539" s="4">
        <f>VLOOKUP($A539,[1]彩含分析60315!$A:$M,13,0)</f>
        <v>37</v>
      </c>
      <c r="H539" s="4" t="s">
        <v>10</v>
      </c>
      <c r="I539" s="3" t="s">
        <v>1057</v>
      </c>
    </row>
    <row r="540" customHeight="1" spans="1:9">
      <c r="A540" s="11" t="s">
        <v>1058</v>
      </c>
      <c r="B540" s="4">
        <f>VLOOKUP($A540,[1]彩含分析60315!$A:$M,8,0)</f>
        <v>63</v>
      </c>
      <c r="C540" s="4">
        <f>VLOOKUP($A540,[1]彩含分析60315!$A:$M,9,0)</f>
        <v>62</v>
      </c>
      <c r="D540" s="4">
        <f>VLOOKUP($A540,[1]彩含分析60315!$A:$M,10,0)</f>
        <v>61</v>
      </c>
      <c r="E540" s="4">
        <f>VLOOKUP($A540,[1]彩含分析60315!$A:$M,11,0)</f>
        <v>60</v>
      </c>
      <c r="F540" s="4">
        <f>VLOOKUP($A540,[1]彩含分析60315!$A:$M,12,0)</f>
        <v>60</v>
      </c>
      <c r="G540" s="4">
        <f>VLOOKUP($A540,[1]彩含分析60315!$A:$M,13,0)</f>
        <v>59</v>
      </c>
      <c r="H540" s="4" t="s">
        <v>39</v>
      </c>
      <c r="I540" s="3" t="s">
        <v>1059</v>
      </c>
    </row>
    <row r="541" customHeight="1" spans="1:9">
      <c r="A541" s="11" t="s">
        <v>1060</v>
      </c>
      <c r="B541" s="4">
        <f>VLOOKUP($A541,[1]彩含分析60315!$A:$M,8,0)</f>
        <v>49</v>
      </c>
      <c r="C541" s="4">
        <f>VLOOKUP($A541,[1]彩含分析60315!$A:$M,9,0)</f>
        <v>48</v>
      </c>
      <c r="D541" s="4">
        <f>VLOOKUP($A541,[1]彩含分析60315!$A:$M,10,0)</f>
        <v>47</v>
      </c>
      <c r="E541" s="4">
        <f>VLOOKUP($A541,[1]彩含分析60315!$A:$M,11,0)</f>
        <v>46</v>
      </c>
      <c r="F541" s="4">
        <f>VLOOKUP($A541,[1]彩含分析60315!$A:$M,12,0)</f>
        <v>46</v>
      </c>
      <c r="G541" s="4">
        <f>VLOOKUP($A541,[1]彩含分析60315!$A:$M,13,0)</f>
        <v>45</v>
      </c>
      <c r="H541" s="4" t="s">
        <v>39</v>
      </c>
      <c r="I541" s="3" t="s">
        <v>1061</v>
      </c>
    </row>
    <row r="542" customHeight="1" spans="1:9">
      <c r="A542" s="11" t="s">
        <v>1062</v>
      </c>
      <c r="B542" s="4">
        <f>VLOOKUP($A542,[1]彩含分析60315!$A:$M,8,0)</f>
        <v>53</v>
      </c>
      <c r="C542" s="4">
        <f>VLOOKUP($A542,[1]彩含分析60315!$A:$M,9,0)</f>
        <v>52</v>
      </c>
      <c r="D542" s="4">
        <f>VLOOKUP($A542,[1]彩含分析60315!$A:$M,10,0)</f>
        <v>51</v>
      </c>
      <c r="E542" s="4">
        <f>VLOOKUP($A542,[1]彩含分析60315!$A:$M,11,0)</f>
        <v>50</v>
      </c>
      <c r="F542" s="4">
        <f>VLOOKUP($A542,[1]彩含分析60315!$A:$M,12,0)</f>
        <v>50</v>
      </c>
      <c r="G542" s="4">
        <f>VLOOKUP($A542,[1]彩含分析60315!$A:$M,13,0)</f>
        <v>49</v>
      </c>
      <c r="H542" s="4" t="s">
        <v>39</v>
      </c>
      <c r="I542" s="3" t="s">
        <v>1063</v>
      </c>
    </row>
    <row r="543" customHeight="1" spans="1:9">
      <c r="A543" s="11" t="s">
        <v>1064</v>
      </c>
      <c r="B543" s="4">
        <f>VLOOKUP($A543,[1]彩含分析60315!$A:$M,8,0)</f>
        <v>59</v>
      </c>
      <c r="C543" s="4">
        <f>VLOOKUP($A543,[1]彩含分析60315!$A:$M,9,0)</f>
        <v>57</v>
      </c>
      <c r="D543" s="4">
        <f>VLOOKUP($A543,[1]彩含分析60315!$A:$M,10,0)</f>
        <v>55</v>
      </c>
      <c r="E543" s="4">
        <f>VLOOKUP($A543,[1]彩含分析60315!$A:$M,11,0)</f>
        <v>53</v>
      </c>
      <c r="F543" s="4">
        <f>VLOOKUP($A543,[1]彩含分析60315!$A:$M,12,0)</f>
        <v>50</v>
      </c>
      <c r="G543" s="4">
        <f>VLOOKUP($A543,[1]彩含分析60315!$A:$M,13,0)</f>
        <v>48</v>
      </c>
      <c r="H543" s="4" t="s">
        <v>10</v>
      </c>
      <c r="I543" s="3" t="s">
        <v>1065</v>
      </c>
    </row>
    <row r="544" customHeight="1" spans="1:9">
      <c r="A544" s="11" t="s">
        <v>1066</v>
      </c>
      <c r="B544" s="4">
        <f>VLOOKUP($A544,[1]彩含分析60315!$A:$M,8,0)</f>
        <v>40</v>
      </c>
      <c r="C544" s="4">
        <f>VLOOKUP($A544,[1]彩含分析60315!$A:$M,9,0)</f>
        <v>39</v>
      </c>
      <c r="D544" s="4">
        <f>VLOOKUP($A544,[1]彩含分析60315!$A:$M,10,0)</f>
        <v>39</v>
      </c>
      <c r="E544" s="4">
        <f>VLOOKUP($A544,[1]彩含分析60315!$A:$M,11,0)</f>
        <v>38</v>
      </c>
      <c r="F544" s="4">
        <f>VLOOKUP($A544,[1]彩含分析60315!$A:$M,12,0)</f>
        <v>38</v>
      </c>
      <c r="G544" s="4">
        <f>VLOOKUP($A544,[1]彩含分析60315!$A:$M,13,0)</f>
        <v>37</v>
      </c>
      <c r="H544" s="4" t="s">
        <v>39</v>
      </c>
      <c r="I544" s="3" t="s">
        <v>1067</v>
      </c>
    </row>
    <row r="545" customHeight="1" spans="1:9">
      <c r="A545" s="11" t="s">
        <v>1068</v>
      </c>
      <c r="B545" s="4">
        <f>VLOOKUP($A545,[1]彩含分析60315!$A:$M,8,0)</f>
        <v>49</v>
      </c>
      <c r="C545" s="4">
        <f>VLOOKUP($A545,[1]彩含分析60315!$A:$M,9,0)</f>
        <v>48</v>
      </c>
      <c r="D545" s="4">
        <f>VLOOKUP($A545,[1]彩含分析60315!$A:$M,10,0)</f>
        <v>47</v>
      </c>
      <c r="E545" s="4">
        <f>VLOOKUP($A545,[1]彩含分析60315!$A:$M,11,0)</f>
        <v>47</v>
      </c>
      <c r="F545" s="4">
        <f>VLOOKUP($A545,[1]彩含分析60315!$A:$M,12,0)</f>
        <v>46</v>
      </c>
      <c r="G545" s="4">
        <f>VLOOKUP($A545,[1]彩含分析60315!$A:$M,13,0)</f>
        <v>45</v>
      </c>
      <c r="H545" s="4" t="s">
        <v>39</v>
      </c>
      <c r="I545" s="3" t="s">
        <v>1069</v>
      </c>
    </row>
    <row r="546" customHeight="1" spans="1:9">
      <c r="A546" s="11" t="s">
        <v>1070</v>
      </c>
      <c r="B546" s="4">
        <f>VLOOKUP($A546,[1]彩含分析60315!$A:$M,8,0)</f>
        <v>50</v>
      </c>
      <c r="C546" s="4">
        <f>VLOOKUP($A546,[1]彩含分析60315!$A:$M,9,0)</f>
        <v>50</v>
      </c>
      <c r="D546" s="4">
        <f>VLOOKUP($A546,[1]彩含分析60315!$A:$M,10,0)</f>
        <v>49</v>
      </c>
      <c r="E546" s="4">
        <f>VLOOKUP($A546,[1]彩含分析60315!$A:$M,11,0)</f>
        <v>48</v>
      </c>
      <c r="F546" s="4">
        <f>VLOOKUP($A546,[1]彩含分析60315!$A:$M,12,0)</f>
        <v>47</v>
      </c>
      <c r="G546" s="4">
        <f>VLOOKUP($A546,[1]彩含分析60315!$A:$M,13,0)</f>
        <v>47</v>
      </c>
      <c r="H546" s="4" t="s">
        <v>39</v>
      </c>
      <c r="I546" s="3" t="s">
        <v>1071</v>
      </c>
    </row>
    <row r="547" customHeight="1" spans="1:9">
      <c r="A547" s="4" t="s">
        <v>1072</v>
      </c>
      <c r="B547" s="4">
        <f>VLOOKUP($A547,[1]彩含分析60315!$A:$M,8,0)</f>
        <v>67</v>
      </c>
      <c r="C547" s="4">
        <f>VLOOKUP($A547,[1]彩含分析60315!$A:$M,9,0)</f>
        <v>66</v>
      </c>
      <c r="D547" s="4">
        <f>VLOOKUP($A547,[1]彩含分析60315!$A:$M,10,0)</f>
        <v>65</v>
      </c>
      <c r="E547" s="4">
        <f>VLOOKUP($A547,[1]彩含分析60315!$A:$M,11,0)</f>
        <v>64</v>
      </c>
      <c r="F547" s="4">
        <f>VLOOKUP($A547,[1]彩含分析60315!$A:$M,12,0)</f>
        <v>63</v>
      </c>
      <c r="G547" s="4">
        <f>VLOOKUP($A547,[1]彩含分析60315!$A:$M,13,0)</f>
        <v>62</v>
      </c>
      <c r="H547" s="4" t="s">
        <v>39</v>
      </c>
      <c r="I547" s="3" t="s">
        <v>1073</v>
      </c>
    </row>
    <row r="548" customHeight="1" spans="1:9">
      <c r="A548" s="4" t="s">
        <v>1074</v>
      </c>
      <c r="B548" s="4">
        <f>VLOOKUP($A548,[1]彩含分析60315!$A:$M,8,0)</f>
        <v>63</v>
      </c>
      <c r="C548" s="4">
        <f>VLOOKUP($A548,[1]彩含分析60315!$A:$M,9,0)</f>
        <v>62</v>
      </c>
      <c r="D548" s="4">
        <f>VLOOKUP($A548,[1]彩含分析60315!$A:$M,10,0)</f>
        <v>61</v>
      </c>
      <c r="E548" s="4">
        <f>VLOOKUP($A548,[1]彩含分析60315!$A:$M,11,0)</f>
        <v>60</v>
      </c>
      <c r="F548" s="4">
        <f>VLOOKUP($A548,[1]彩含分析60315!$A:$M,12,0)</f>
        <v>60</v>
      </c>
      <c r="G548" s="4">
        <f>VLOOKUP($A548,[1]彩含分析60315!$A:$M,13,0)</f>
        <v>59</v>
      </c>
      <c r="H548" s="4" t="s">
        <v>39</v>
      </c>
      <c r="I548" s="3" t="s">
        <v>1075</v>
      </c>
    </row>
    <row r="549" customHeight="1" spans="1:9">
      <c r="A549" s="12" t="s">
        <v>1076</v>
      </c>
      <c r="B549" s="4">
        <f>VLOOKUP($A549,[1]彩含分析60315!$A:$M,8,0)</f>
        <v>48</v>
      </c>
      <c r="C549" s="4">
        <f>VLOOKUP($A549,[1]彩含分析60315!$A:$M,9,0)</f>
        <v>46</v>
      </c>
      <c r="D549" s="4">
        <f>VLOOKUP($A549,[1]彩含分析60315!$A:$M,10,0)</f>
        <v>44</v>
      </c>
      <c r="E549" s="4">
        <f>VLOOKUP($A549,[1]彩含分析60315!$A:$M,11,0)</f>
        <v>43</v>
      </c>
      <c r="F549" s="4">
        <f>VLOOKUP($A549,[1]彩含分析60315!$A:$M,12,0)</f>
        <v>41</v>
      </c>
      <c r="G549" s="4">
        <f>VLOOKUP($A549,[1]彩含分析60315!$A:$M,13,0)</f>
        <v>39</v>
      </c>
      <c r="H549" s="4" t="s">
        <v>10</v>
      </c>
      <c r="I549" s="3">
        <v>12713668</v>
      </c>
    </row>
    <row r="550" customHeight="1" spans="1:9">
      <c r="A550" s="13" t="s">
        <v>1077</v>
      </c>
      <c r="B550" s="4">
        <f>VLOOKUP($A550,[1]彩含分析60315!$A:$M,8,0)</f>
        <v>42</v>
      </c>
      <c r="C550" s="4">
        <f>VLOOKUP($A550,[1]彩含分析60315!$A:$M,9,0)</f>
        <v>41</v>
      </c>
      <c r="D550" s="4">
        <f>VLOOKUP($A550,[1]彩含分析60315!$A:$M,10,0)</f>
        <v>40</v>
      </c>
      <c r="E550" s="4">
        <f>VLOOKUP($A550,[1]彩含分析60315!$A:$M,11,0)</f>
        <v>40</v>
      </c>
      <c r="F550" s="4">
        <f>VLOOKUP($A550,[1]彩含分析60315!$A:$M,12,0)</f>
        <v>39</v>
      </c>
      <c r="G550" s="4">
        <f>VLOOKUP($A550,[1]彩含分析60315!$A:$M,13,0)</f>
        <v>39</v>
      </c>
      <c r="H550" s="4" t="s">
        <v>39</v>
      </c>
      <c r="I550" s="3" t="s">
        <v>1078</v>
      </c>
    </row>
    <row r="551" customHeight="1" spans="1:9">
      <c r="A551" s="13" t="s">
        <v>1079</v>
      </c>
      <c r="B551" s="4">
        <f>VLOOKUP($A551,[1]彩含分析60315!$A:$M,8,0)</f>
        <v>42</v>
      </c>
      <c r="C551" s="4">
        <f>VLOOKUP($A551,[1]彩含分析60315!$A:$M,9,0)</f>
        <v>42</v>
      </c>
      <c r="D551" s="4">
        <f>VLOOKUP($A551,[1]彩含分析60315!$A:$M,10,0)</f>
        <v>41</v>
      </c>
      <c r="E551" s="4">
        <f>VLOOKUP($A551,[1]彩含分析60315!$A:$M,11,0)</f>
        <v>40</v>
      </c>
      <c r="F551" s="4">
        <f>VLOOKUP($A551,[1]彩含分析60315!$A:$M,12,0)</f>
        <v>40</v>
      </c>
      <c r="G551" s="4">
        <f>VLOOKUP($A551,[1]彩含分析60315!$A:$M,13,0)</f>
        <v>39</v>
      </c>
      <c r="H551" s="4" t="s">
        <v>39</v>
      </c>
      <c r="I551" s="3" t="s">
        <v>1080</v>
      </c>
    </row>
    <row r="552" customHeight="1" spans="1:9">
      <c r="A552" s="13" t="s">
        <v>1081</v>
      </c>
      <c r="B552" s="4">
        <f>VLOOKUP($A552,[1]彩含分析60315!$A:$M,8,0)</f>
        <v>62</v>
      </c>
      <c r="C552" s="4">
        <f>VLOOKUP($A552,[1]彩含分析60315!$A:$M,9,0)</f>
        <v>61</v>
      </c>
      <c r="D552" s="4">
        <f>VLOOKUP($A552,[1]彩含分析60315!$A:$M,10,0)</f>
        <v>60</v>
      </c>
      <c r="E552" s="4">
        <f>VLOOKUP($A552,[1]彩含分析60315!$A:$M,11,0)</f>
        <v>59</v>
      </c>
      <c r="F552" s="4">
        <f>VLOOKUP($A552,[1]彩含分析60315!$A:$M,12,0)</f>
        <v>58</v>
      </c>
      <c r="G552" s="4">
        <f>VLOOKUP($A552,[1]彩含分析60315!$A:$M,13,0)</f>
        <v>57</v>
      </c>
      <c r="H552" s="4" t="s">
        <v>39</v>
      </c>
      <c r="I552" s="3" t="s">
        <v>1082</v>
      </c>
    </row>
    <row r="553" customHeight="1" spans="1:9">
      <c r="A553" s="14" t="s">
        <v>1083</v>
      </c>
      <c r="B553" s="4">
        <f>VLOOKUP($A553,[1]彩含分析60315!$A:$M,8,0)</f>
        <v>84</v>
      </c>
      <c r="C553" s="4">
        <f>VLOOKUP($A553,[1]彩含分析60315!$A:$M,9,0)</f>
        <v>82</v>
      </c>
      <c r="D553" s="4">
        <f>VLOOKUP($A553,[1]彩含分析60315!$A:$M,10,0)</f>
        <v>81</v>
      </c>
      <c r="E553" s="4">
        <f>VLOOKUP($A553,[1]彩含分析60315!$A:$M,11,0)</f>
        <v>80</v>
      </c>
      <c r="F553" s="4">
        <f>VLOOKUP($A553,[1]彩含分析60315!$A:$M,12,0)</f>
        <v>79</v>
      </c>
      <c r="G553" s="4">
        <f>VLOOKUP($A553,[1]彩含分析60315!$A:$M,13,0)</f>
        <v>78</v>
      </c>
      <c r="H553" s="4" t="s">
        <v>39</v>
      </c>
      <c r="I553" s="3" t="s">
        <v>1084</v>
      </c>
    </row>
    <row r="554" customHeight="1" spans="1:9">
      <c r="A554" s="13" t="s">
        <v>1085</v>
      </c>
      <c r="B554" s="4">
        <f>VLOOKUP($A554,[1]彩含分析60315!$A:$M,8,0)</f>
        <v>49</v>
      </c>
      <c r="C554" s="4">
        <f>VLOOKUP($A554,[1]彩含分析60315!$A:$M,9,0)</f>
        <v>48</v>
      </c>
      <c r="D554" s="4">
        <f>VLOOKUP($A554,[1]彩含分析60315!$A:$M,10,0)</f>
        <v>47</v>
      </c>
      <c r="E554" s="4">
        <f>VLOOKUP($A554,[1]彩含分析60315!$A:$M,11,0)</f>
        <v>47</v>
      </c>
      <c r="F554" s="4">
        <f>VLOOKUP($A554,[1]彩含分析60315!$A:$M,12,0)</f>
        <v>46</v>
      </c>
      <c r="G554" s="4">
        <f>VLOOKUP($A554,[1]彩含分析60315!$A:$M,13,0)</f>
        <v>45</v>
      </c>
      <c r="H554" s="4" t="s">
        <v>39</v>
      </c>
      <c r="I554" s="3" t="s">
        <v>1086</v>
      </c>
    </row>
    <row r="555" customHeight="1" spans="1:9">
      <c r="A555" s="15" t="s">
        <v>1087</v>
      </c>
      <c r="B555" s="4">
        <f>VLOOKUP($A555,[1]彩含分析60315!$A:$M,8,0)</f>
        <v>48</v>
      </c>
      <c r="C555" s="4">
        <f>VLOOKUP($A555,[1]彩含分析60315!$A:$M,9,0)</f>
        <v>46</v>
      </c>
      <c r="D555" s="4">
        <f>VLOOKUP($A555,[1]彩含分析60315!$A:$M,10,0)</f>
        <v>45</v>
      </c>
      <c r="E555" s="4">
        <f>VLOOKUP($A555,[1]彩含分析60315!$A:$M,11,0)</f>
        <v>43</v>
      </c>
      <c r="F555" s="4">
        <f>VLOOKUP($A555,[1]彩含分析60315!$A:$M,12,0)</f>
        <v>41</v>
      </c>
      <c r="G555" s="4">
        <f>VLOOKUP($A555,[1]彩含分析60315!$A:$M,13,0)</f>
        <v>39</v>
      </c>
      <c r="H555" s="4" t="s">
        <v>10</v>
      </c>
      <c r="I555" s="3" t="s">
        <v>1088</v>
      </c>
    </row>
    <row r="556" customHeight="1" spans="1:9">
      <c r="A556" s="16" t="s">
        <v>1089</v>
      </c>
      <c r="B556" s="4">
        <f>VLOOKUP($A556,[1]彩含分析60315!$A:$M,8,0)</f>
        <v>51</v>
      </c>
      <c r="C556" s="4">
        <f>VLOOKUP($A556,[1]彩含分析60315!$A:$M,9,0)</f>
        <v>49</v>
      </c>
      <c r="D556" s="4">
        <f>VLOOKUP($A556,[1]彩含分析60315!$A:$M,10,0)</f>
        <v>47</v>
      </c>
      <c r="E556" s="4">
        <f>VLOOKUP($A556,[1]彩含分析60315!$A:$M,11,0)</f>
        <v>46</v>
      </c>
      <c r="F556" s="4">
        <f>VLOOKUP($A556,[1]彩含分析60315!$A:$M,12,0)</f>
        <v>44</v>
      </c>
      <c r="G556" s="4">
        <f>VLOOKUP($A556,[1]彩含分析60315!$A:$M,13,0)</f>
        <v>42</v>
      </c>
      <c r="H556" s="4" t="s">
        <v>10</v>
      </c>
      <c r="I556" s="3" t="s">
        <v>1090</v>
      </c>
    </row>
    <row r="557" customHeight="1" spans="1:9">
      <c r="A557" s="16" t="s">
        <v>1091</v>
      </c>
      <c r="B557" s="4">
        <f>VLOOKUP($A557,[1]彩含分析60315!$A:$M,8,0)</f>
        <v>49</v>
      </c>
      <c r="C557" s="4">
        <f>VLOOKUP($A557,[1]彩含分析60315!$A:$M,9,0)</f>
        <v>48</v>
      </c>
      <c r="D557" s="4">
        <f>VLOOKUP($A557,[1]彩含分析60315!$A:$M,10,0)</f>
        <v>46</v>
      </c>
      <c r="E557" s="4">
        <f>VLOOKUP($A557,[1]彩含分析60315!$A:$M,11,0)</f>
        <v>44</v>
      </c>
      <c r="F557" s="4">
        <f>VLOOKUP($A557,[1]彩含分析60315!$A:$M,12,0)</f>
        <v>42</v>
      </c>
      <c r="G557" s="4">
        <f>VLOOKUP($A557,[1]彩含分析60315!$A:$M,13,0)</f>
        <v>40</v>
      </c>
      <c r="H557" s="4" t="s">
        <v>10</v>
      </c>
      <c r="I557" s="3" t="s">
        <v>1088</v>
      </c>
    </row>
    <row r="558" customHeight="1" spans="1:9">
      <c r="A558" s="13" t="s">
        <v>1092</v>
      </c>
      <c r="B558" s="4">
        <f>VLOOKUP($A558,[1]彩含分析60315!$A:$M,8,0)</f>
        <v>60</v>
      </c>
      <c r="C558" s="4">
        <f>VLOOKUP($A558,[1]彩含分析60315!$A:$M,9,0)</f>
        <v>59</v>
      </c>
      <c r="D558" s="4">
        <f>VLOOKUP($A558,[1]彩含分析60315!$A:$M,10,0)</f>
        <v>58</v>
      </c>
      <c r="E558" s="4">
        <f>VLOOKUP($A558,[1]彩含分析60315!$A:$M,11,0)</f>
        <v>57</v>
      </c>
      <c r="F558" s="4">
        <f>VLOOKUP($A558,[1]彩含分析60315!$A:$M,12,0)</f>
        <v>56</v>
      </c>
      <c r="G558" s="4">
        <f>VLOOKUP($A558,[1]彩含分析60315!$A:$M,13,0)</f>
        <v>55</v>
      </c>
      <c r="H558" s="4" t="s">
        <v>39</v>
      </c>
      <c r="I558" s="3" t="s">
        <v>1093</v>
      </c>
    </row>
    <row r="559" customHeight="1" spans="1:9">
      <c r="A559" s="13" t="s">
        <v>1094</v>
      </c>
      <c r="B559" s="4">
        <f>VLOOKUP($A559,[1]彩含分析60315!$A:$M,8,0)</f>
        <v>50</v>
      </c>
      <c r="C559" s="4">
        <f>VLOOKUP($A559,[1]彩含分析60315!$A:$M,9,0)</f>
        <v>49</v>
      </c>
      <c r="D559" s="4">
        <f>VLOOKUP($A559,[1]彩含分析60315!$A:$M,10,0)</f>
        <v>47</v>
      </c>
      <c r="E559" s="4">
        <f>VLOOKUP($A559,[1]彩含分析60315!$A:$M,11,0)</f>
        <v>45</v>
      </c>
      <c r="F559" s="4">
        <f>VLOOKUP($A559,[1]彩含分析60315!$A:$M,12,0)</f>
        <v>43</v>
      </c>
      <c r="G559" s="4">
        <f>VLOOKUP($A559,[1]彩含分析60315!$A:$M,13,0)</f>
        <v>41</v>
      </c>
      <c r="H559" s="4" t="s">
        <v>10</v>
      </c>
      <c r="I559" s="3" t="s">
        <v>1095</v>
      </c>
    </row>
    <row r="560" customHeight="1" spans="1:9">
      <c r="A560" s="5" t="s">
        <v>1096</v>
      </c>
      <c r="B560" s="4">
        <f>VLOOKUP($A560,[1]彩含分析60315!$A:$M,8,0)</f>
        <v>54</v>
      </c>
      <c r="C560" s="4">
        <f>VLOOKUP($A560,[1]彩含分析60315!$A:$M,9,0)</f>
        <v>52</v>
      </c>
      <c r="D560" s="4">
        <f>VLOOKUP($A560,[1]彩含分析60315!$A:$M,10,0)</f>
        <v>50</v>
      </c>
      <c r="E560" s="4">
        <f>VLOOKUP($A560,[1]彩含分析60315!$A:$M,11,0)</f>
        <v>48</v>
      </c>
      <c r="F560" s="4">
        <f>VLOOKUP($A560,[1]彩含分析60315!$A:$M,12,0)</f>
        <v>46</v>
      </c>
      <c r="G560" s="4">
        <f>VLOOKUP($A560,[1]彩含分析60315!$A:$M,13,0)</f>
        <v>44</v>
      </c>
      <c r="H560" s="4" t="s">
        <v>10</v>
      </c>
      <c r="I560" s="3" t="s">
        <v>1097</v>
      </c>
    </row>
    <row r="561" customHeight="1" spans="1:9">
      <c r="A561" s="13" t="s">
        <v>1098</v>
      </c>
      <c r="B561" s="4">
        <f>VLOOKUP($A561,[1]彩含分析60315!$A:$M,8,0)</f>
        <v>42</v>
      </c>
      <c r="C561" s="4">
        <f>VLOOKUP($A561,[1]彩含分析60315!$A:$M,9,0)</f>
        <v>40</v>
      </c>
      <c r="D561" s="4">
        <f>VLOOKUP($A561,[1]彩含分析60315!$A:$M,10,0)</f>
        <v>39</v>
      </c>
      <c r="E561" s="4">
        <f>VLOOKUP($A561,[1]彩含分析60315!$A:$M,11,0)</f>
        <v>37</v>
      </c>
      <c r="F561" s="4">
        <f>VLOOKUP($A561,[1]彩含分析60315!$A:$M,12,0)</f>
        <v>36</v>
      </c>
      <c r="G561" s="4">
        <f>VLOOKUP($A561,[1]彩含分析60315!$A:$M,13,0)</f>
        <v>34</v>
      </c>
      <c r="H561" s="4" t="s">
        <v>10</v>
      </c>
      <c r="I561" s="3" t="s">
        <v>1099</v>
      </c>
    </row>
    <row r="562" customHeight="1" spans="1:9">
      <c r="A562" s="14" t="s">
        <v>1100</v>
      </c>
      <c r="B562" s="4">
        <f>VLOOKUP($A562,[1]彩含分析60315!$A:$M,8,0)</f>
        <v>37</v>
      </c>
      <c r="C562" s="4">
        <f>VLOOKUP($A562,[1]彩含分析60315!$A:$M,9,0)</f>
        <v>36</v>
      </c>
      <c r="D562" s="4">
        <f>VLOOKUP($A562,[1]彩含分析60315!$A:$M,10,0)</f>
        <v>35</v>
      </c>
      <c r="E562" s="4">
        <f>VLOOKUP($A562,[1]彩含分析60315!$A:$M,11,0)</f>
        <v>33</v>
      </c>
      <c r="F562" s="4">
        <f>VLOOKUP($A562,[1]彩含分析60315!$A:$M,12,0)</f>
        <v>32</v>
      </c>
      <c r="G562" s="4">
        <f>VLOOKUP($A562,[1]彩含分析60315!$A:$M,13,0)</f>
        <v>30</v>
      </c>
      <c r="H562" s="4" t="s">
        <v>10</v>
      </c>
      <c r="I562" s="3" t="s">
        <v>1101</v>
      </c>
    </row>
    <row r="563" customHeight="1" spans="1:9">
      <c r="A563" s="17" t="s">
        <v>1102</v>
      </c>
      <c r="B563" s="4">
        <f>VLOOKUP($A563,[1]彩含分析60315!$A:$M,8,0)</f>
        <v>43</v>
      </c>
      <c r="C563" s="4">
        <f>VLOOKUP($A563,[1]彩含分析60315!$A:$M,9,0)</f>
        <v>41</v>
      </c>
      <c r="D563" s="4">
        <f>VLOOKUP($A563,[1]彩含分析60315!$A:$M,10,0)</f>
        <v>40</v>
      </c>
      <c r="E563" s="4">
        <f>VLOOKUP($A563,[1]彩含分析60315!$A:$M,11,0)</f>
        <v>38</v>
      </c>
      <c r="F563" s="4">
        <f>VLOOKUP($A563,[1]彩含分析60315!$A:$M,12,0)</f>
        <v>37</v>
      </c>
      <c r="G563" s="4">
        <f>VLOOKUP($A563,[1]彩含分析60315!$A:$M,13,0)</f>
        <v>35</v>
      </c>
      <c r="H563" s="4" t="s">
        <v>10</v>
      </c>
      <c r="I563" s="3" t="s">
        <v>1103</v>
      </c>
    </row>
    <row r="564" customHeight="1" spans="1:9">
      <c r="A564" s="14" t="s">
        <v>1104</v>
      </c>
      <c r="B564" s="4">
        <f>VLOOKUP($A564,[1]彩含分析60315!$A:$M,8,0)</f>
        <v>59</v>
      </c>
      <c r="C564" s="4">
        <f>VLOOKUP($A564,[1]彩含分析60315!$A:$M,9,0)</f>
        <v>58</v>
      </c>
      <c r="D564" s="4">
        <f>VLOOKUP($A564,[1]彩含分析60315!$A:$M,10,0)</f>
        <v>57</v>
      </c>
      <c r="E564" s="4">
        <f>VLOOKUP($A564,[1]彩含分析60315!$A:$M,11,0)</f>
        <v>56</v>
      </c>
      <c r="F564" s="4">
        <f>VLOOKUP($A564,[1]彩含分析60315!$A:$M,12,0)</f>
        <v>56</v>
      </c>
      <c r="G564" s="4">
        <f>VLOOKUP($A564,[1]彩含分析60315!$A:$M,13,0)</f>
        <v>55</v>
      </c>
      <c r="H564" s="4" t="s">
        <v>39</v>
      </c>
      <c r="I564" s="3" t="s">
        <v>1105</v>
      </c>
    </row>
    <row r="565" customHeight="1" spans="1:9">
      <c r="A565" s="14" t="s">
        <v>1106</v>
      </c>
      <c r="B565" s="4">
        <f>VLOOKUP($A565,[1]彩含分析60315!$A:$M,8,0)</f>
        <v>45</v>
      </c>
      <c r="C565" s="4">
        <f>VLOOKUP($A565,[1]彩含分析60315!$A:$M,9,0)</f>
        <v>44</v>
      </c>
      <c r="D565" s="4">
        <f>VLOOKUP($A565,[1]彩含分析60315!$A:$M,10,0)</f>
        <v>43</v>
      </c>
      <c r="E565" s="4">
        <f>VLOOKUP($A565,[1]彩含分析60315!$A:$M,11,0)</f>
        <v>43</v>
      </c>
      <c r="F565" s="4">
        <f>VLOOKUP($A565,[1]彩含分析60315!$A:$M,12,0)</f>
        <v>42</v>
      </c>
      <c r="G565" s="4">
        <f>VLOOKUP($A565,[1]彩含分析60315!$A:$M,13,0)</f>
        <v>42</v>
      </c>
      <c r="H565" s="4" t="s">
        <v>39</v>
      </c>
      <c r="I565" s="3" t="s">
        <v>1107</v>
      </c>
    </row>
    <row r="566" customHeight="1" spans="1:9">
      <c r="A566" s="14" t="s">
        <v>1108</v>
      </c>
      <c r="B566" s="4">
        <f>VLOOKUP($A566,[1]彩含分析60315!$A:$M,8,0)</f>
        <v>49</v>
      </c>
      <c r="C566" s="4">
        <f>VLOOKUP($A566,[1]彩含分析60315!$A:$M,9,0)</f>
        <v>48</v>
      </c>
      <c r="D566" s="4">
        <f>VLOOKUP($A566,[1]彩含分析60315!$A:$M,10,0)</f>
        <v>47</v>
      </c>
      <c r="E566" s="4">
        <f>VLOOKUP($A566,[1]彩含分析60315!$A:$M,11,0)</f>
        <v>46</v>
      </c>
      <c r="F566" s="4">
        <f>VLOOKUP($A566,[1]彩含分析60315!$A:$M,12,0)</f>
        <v>46</v>
      </c>
      <c r="G566" s="4">
        <f>VLOOKUP($A566,[1]彩含分析60315!$A:$M,13,0)</f>
        <v>45</v>
      </c>
      <c r="H566" s="4" t="s">
        <v>39</v>
      </c>
      <c r="I566" s="3" t="s">
        <v>1109</v>
      </c>
    </row>
    <row r="567" customHeight="1" spans="1:9">
      <c r="A567" s="14" t="s">
        <v>1110</v>
      </c>
      <c r="B567" s="4">
        <f>VLOOKUP($A567,[1]彩含分析60315!$A:$M,8,0)</f>
        <v>59</v>
      </c>
      <c r="C567" s="4">
        <f>VLOOKUP($A567,[1]彩含分析60315!$A:$M,9,0)</f>
        <v>58</v>
      </c>
      <c r="D567" s="4">
        <f>VLOOKUP($A567,[1]彩含分析60315!$A:$M,10,0)</f>
        <v>57</v>
      </c>
      <c r="E567" s="4">
        <f>VLOOKUP($A567,[1]彩含分析60315!$A:$M,11,0)</f>
        <v>56</v>
      </c>
      <c r="F567" s="4">
        <f>VLOOKUP($A567,[1]彩含分析60315!$A:$M,12,0)</f>
        <v>56</v>
      </c>
      <c r="G567" s="4">
        <f>VLOOKUP($A567,[1]彩含分析60315!$A:$M,13,0)</f>
        <v>55</v>
      </c>
      <c r="H567" s="4" t="s">
        <v>39</v>
      </c>
      <c r="I567" s="3" t="s">
        <v>1111</v>
      </c>
    </row>
    <row r="568" customHeight="1" spans="1:9">
      <c r="A568" s="14" t="s">
        <v>1112</v>
      </c>
      <c r="B568" s="4">
        <f>VLOOKUP($A568,[1]彩含分析60315!$A:$M,8,0)</f>
        <v>55</v>
      </c>
      <c r="C568" s="4">
        <f>VLOOKUP($A568,[1]彩含分析60315!$A:$M,9,0)</f>
        <v>54</v>
      </c>
      <c r="D568" s="4">
        <f>VLOOKUP($A568,[1]彩含分析60315!$A:$M,10,0)</f>
        <v>54</v>
      </c>
      <c r="E568" s="4">
        <f>VLOOKUP($A568,[1]彩含分析60315!$A:$M,11,0)</f>
        <v>53</v>
      </c>
      <c r="F568" s="4">
        <f>VLOOKUP($A568,[1]彩含分析60315!$A:$M,12,0)</f>
        <v>52</v>
      </c>
      <c r="G568" s="4">
        <f>VLOOKUP($A568,[1]彩含分析60315!$A:$M,13,0)</f>
        <v>51</v>
      </c>
      <c r="H568" s="4" t="s">
        <v>39</v>
      </c>
      <c r="I568" s="3" t="s">
        <v>1113</v>
      </c>
    </row>
    <row r="569" customHeight="1" spans="1:9">
      <c r="A569" s="17" t="s">
        <v>1114</v>
      </c>
      <c r="B569" s="4">
        <f>VLOOKUP($A569,[1]彩含分析60315!$A:$M,8,0)</f>
        <v>31</v>
      </c>
      <c r="C569" s="4">
        <f>VLOOKUP($A569,[1]彩含分析60315!$A:$M,9,0)</f>
        <v>30</v>
      </c>
      <c r="D569" s="4">
        <f>VLOOKUP($A569,[1]彩含分析60315!$A:$M,10,0)</f>
        <v>29</v>
      </c>
      <c r="E569" s="4">
        <f>VLOOKUP($A569,[1]彩含分析60315!$A:$M,11,0)</f>
        <v>27</v>
      </c>
      <c r="F569" s="4">
        <f>VLOOKUP($A569,[1]彩含分析60315!$A:$M,12,0)</f>
        <v>26</v>
      </c>
      <c r="G569" s="4">
        <f>VLOOKUP($A569,[1]彩含分析60315!$A:$M,13,0)</f>
        <v>25</v>
      </c>
      <c r="H569" s="4" t="s">
        <v>10</v>
      </c>
      <c r="I569" s="3" t="s">
        <v>1115</v>
      </c>
    </row>
    <row r="570" customHeight="1" spans="1:9">
      <c r="A570" s="17" t="s">
        <v>1116</v>
      </c>
      <c r="B570" s="4">
        <f>VLOOKUP($A570,[1]彩含分析60315!$A:$M,8,0)</f>
        <v>51</v>
      </c>
      <c r="C570" s="4">
        <f>VLOOKUP($A570,[1]彩含分析60315!$A:$M,9,0)</f>
        <v>49</v>
      </c>
      <c r="D570" s="4">
        <f>VLOOKUP($A570,[1]彩含分析60315!$A:$M,10,0)</f>
        <v>47</v>
      </c>
      <c r="E570" s="4">
        <f>VLOOKUP($A570,[1]彩含分析60315!$A:$M,11,0)</f>
        <v>46</v>
      </c>
      <c r="F570" s="4">
        <f>VLOOKUP($A570,[1]彩含分析60315!$A:$M,12,0)</f>
        <v>44</v>
      </c>
      <c r="G570" s="4">
        <f>VLOOKUP($A570,[1]彩含分析60315!$A:$M,13,0)</f>
        <v>42</v>
      </c>
      <c r="H570" s="4" t="s">
        <v>10</v>
      </c>
      <c r="I570" s="3" t="s">
        <v>1117</v>
      </c>
    </row>
    <row r="571" customHeight="1" spans="1:9">
      <c r="A571" s="13" t="s">
        <v>1118</v>
      </c>
      <c r="B571" s="4">
        <f>VLOOKUP($A571,[1]彩含分析60315!$A:$M,8,0)</f>
        <v>69</v>
      </c>
      <c r="C571" s="4">
        <f>VLOOKUP($A571,[1]彩含分析60315!$A:$M,9,0)</f>
        <v>68</v>
      </c>
      <c r="D571" s="4">
        <f>VLOOKUP($A571,[1]彩含分析60315!$A:$M,10,0)</f>
        <v>67</v>
      </c>
      <c r="E571" s="4">
        <f>VLOOKUP($A571,[1]彩含分析60315!$A:$M,11,0)</f>
        <v>65</v>
      </c>
      <c r="F571" s="4">
        <f>VLOOKUP($A571,[1]彩含分析60315!$A:$M,12,0)</f>
        <v>65</v>
      </c>
      <c r="G571" s="4">
        <f>VLOOKUP($A571,[1]彩含分析60315!$A:$M,13,0)</f>
        <v>64</v>
      </c>
      <c r="H571" s="4" t="s">
        <v>39</v>
      </c>
      <c r="I571" s="3" t="s">
        <v>1119</v>
      </c>
    </row>
    <row r="572" customHeight="1" spans="1:9">
      <c r="A572" s="4" t="s">
        <v>1120</v>
      </c>
      <c r="B572" s="4">
        <f>VLOOKUP($A572,[1]彩含分析60315!$A:$M,8,0)</f>
        <v>46</v>
      </c>
      <c r="C572" s="4">
        <f>VLOOKUP($A572,[1]彩含分析60315!$A:$M,9,0)</f>
        <v>44</v>
      </c>
      <c r="D572" s="4">
        <f>VLOOKUP($A572,[1]彩含分析60315!$A:$M,10,0)</f>
        <v>42</v>
      </c>
      <c r="E572" s="4">
        <f>VLOOKUP($A572,[1]彩含分析60315!$A:$M,11,0)</f>
        <v>41</v>
      </c>
      <c r="F572" s="4">
        <f>VLOOKUP($A572,[1]彩含分析60315!$A:$M,12,0)</f>
        <v>39</v>
      </c>
      <c r="G572" s="4">
        <f>VLOOKUP($A572,[1]彩含分析60315!$A:$M,13,0)</f>
        <v>37</v>
      </c>
      <c r="H572" s="4" t="s">
        <v>10</v>
      </c>
      <c r="I572" s="3" t="s">
        <v>1121</v>
      </c>
    </row>
    <row r="573" customHeight="1" spans="1:9">
      <c r="A573" s="4" t="s">
        <v>1122</v>
      </c>
      <c r="B573" s="4">
        <f>VLOOKUP($A573,[1]彩含分析60315!$A:$M,8,0)</f>
        <v>44</v>
      </c>
      <c r="C573" s="4">
        <f>VLOOKUP($A573,[1]彩含分析60315!$A:$M,9,0)</f>
        <v>43</v>
      </c>
      <c r="D573" s="4">
        <f>VLOOKUP($A573,[1]彩含分析60315!$A:$M,10,0)</f>
        <v>42</v>
      </c>
      <c r="E573" s="4">
        <f>VLOOKUP($A573,[1]彩含分析60315!$A:$M,11,0)</f>
        <v>41</v>
      </c>
      <c r="F573" s="4">
        <f>VLOOKUP($A573,[1]彩含分析60315!$A:$M,12,0)</f>
        <v>41</v>
      </c>
      <c r="G573" s="4">
        <f>VLOOKUP($A573,[1]彩含分析60315!$A:$M,13,0)</f>
        <v>40</v>
      </c>
      <c r="H573" s="4" t="s">
        <v>39</v>
      </c>
      <c r="I573" s="3" t="s">
        <v>1123</v>
      </c>
    </row>
    <row r="574" customHeight="1" spans="1:9">
      <c r="A574" s="11" t="s">
        <v>1124</v>
      </c>
      <c r="B574" s="4">
        <f>VLOOKUP($A574,[1]彩含分析60315!$A:$M,8,0)</f>
        <v>59</v>
      </c>
      <c r="C574" s="4">
        <f>VLOOKUP($A574,[1]彩含分析60315!$A:$M,9,0)</f>
        <v>58</v>
      </c>
      <c r="D574" s="4">
        <f>VLOOKUP($A574,[1]彩含分析60315!$A:$M,10,0)</f>
        <v>57</v>
      </c>
      <c r="E574" s="4">
        <f>VLOOKUP($A574,[1]彩含分析60315!$A:$M,11,0)</f>
        <v>56</v>
      </c>
      <c r="F574" s="4">
        <f>VLOOKUP($A574,[1]彩含分析60315!$A:$M,12,0)</f>
        <v>56</v>
      </c>
      <c r="G574" s="4">
        <f>VLOOKUP($A574,[1]彩含分析60315!$A:$M,13,0)</f>
        <v>55</v>
      </c>
      <c r="H574" s="4" t="s">
        <v>39</v>
      </c>
      <c r="I574" s="3" t="s">
        <v>1125</v>
      </c>
    </row>
    <row r="575" customHeight="1" spans="1:9">
      <c r="A575" s="11" t="s">
        <v>1126</v>
      </c>
      <c r="B575" s="4">
        <f>VLOOKUP($A575,[1]彩含分析60315!$A:$M,8,0)</f>
        <v>66</v>
      </c>
      <c r="C575" s="4">
        <f>VLOOKUP($A575,[1]彩含分析60315!$A:$M,9,0)</f>
        <v>65</v>
      </c>
      <c r="D575" s="4">
        <f>VLOOKUP($A575,[1]彩含分析60315!$A:$M,10,0)</f>
        <v>64</v>
      </c>
      <c r="E575" s="4">
        <f>VLOOKUP($A575,[1]彩含分析60315!$A:$M,11,0)</f>
        <v>63</v>
      </c>
      <c r="F575" s="4">
        <f>VLOOKUP($A575,[1]彩含分析60315!$A:$M,12,0)</f>
        <v>62</v>
      </c>
      <c r="G575" s="4">
        <f>VLOOKUP($A575,[1]彩含分析60315!$A:$M,13,0)</f>
        <v>61</v>
      </c>
      <c r="H575" s="4" t="s">
        <v>39</v>
      </c>
      <c r="I575" s="3" t="s">
        <v>1127</v>
      </c>
    </row>
    <row r="576" customHeight="1" spans="1:9">
      <c r="A576" s="4" t="s">
        <v>1128</v>
      </c>
      <c r="B576" s="4">
        <f>VLOOKUP($A576,[1]彩含分析60315!$A:$M,8,0)</f>
        <v>36</v>
      </c>
      <c r="C576" s="4">
        <f>VLOOKUP($A576,[1]彩含分析60315!$A:$M,9,0)</f>
        <v>34</v>
      </c>
      <c r="D576" s="4">
        <f>VLOOKUP($A576,[1]彩含分析60315!$A:$M,10,0)</f>
        <v>33</v>
      </c>
      <c r="E576" s="4">
        <f>VLOOKUP($A576,[1]彩含分析60315!$A:$M,11,0)</f>
        <v>32</v>
      </c>
      <c r="F576" s="4">
        <f>VLOOKUP($A576,[1]彩含分析60315!$A:$M,12,0)</f>
        <v>30</v>
      </c>
      <c r="G576" s="4">
        <f>VLOOKUP($A576,[1]彩含分析60315!$A:$M,13,0)</f>
        <v>29</v>
      </c>
      <c r="H576" s="4" t="s">
        <v>10</v>
      </c>
      <c r="I576" s="3" t="s">
        <v>1129</v>
      </c>
    </row>
    <row r="577" customHeight="1" spans="1:9">
      <c r="A577" s="4" t="s">
        <v>1130</v>
      </c>
      <c r="B577" s="4">
        <f>VLOOKUP($A577,[1]彩含分析60315!$A:$M,8,0)</f>
        <v>52</v>
      </c>
      <c r="C577" s="4">
        <f>VLOOKUP($A577,[1]彩含分析60315!$A:$M,9,0)</f>
        <v>50</v>
      </c>
      <c r="D577" s="4">
        <f>VLOOKUP($A577,[1]彩含分析60315!$A:$M,10,0)</f>
        <v>48</v>
      </c>
      <c r="E577" s="4">
        <f>VLOOKUP($A577,[1]彩含分析60315!$A:$M,11,0)</f>
        <v>46</v>
      </c>
      <c r="F577" s="4">
        <f>VLOOKUP($A577,[1]彩含分析60315!$A:$M,12,0)</f>
        <v>44</v>
      </c>
      <c r="G577" s="4">
        <f>VLOOKUP($A577,[1]彩含分析60315!$A:$M,13,0)</f>
        <v>42</v>
      </c>
      <c r="H577" s="4" t="s">
        <v>10</v>
      </c>
      <c r="I577" s="3" t="s">
        <v>1131</v>
      </c>
    </row>
  </sheetData>
  <autoFilter xmlns:etc="http://www.wps.cn/officeDocument/2017/etCustomData" ref="A1:G577" etc:filterBottomFollowUsedRange="0">
    <extLst/>
  </autoFilter>
  <conditionalFormatting sqref="A552">
    <cfRule type="duplicateValues" dxfId="0" priority="65"/>
  </conditionalFormatting>
  <conditionalFormatting sqref="B552">
    <cfRule type="duplicateValues" dxfId="0" priority="15"/>
  </conditionalFormatting>
  <conditionalFormatting sqref="C552">
    <cfRule type="duplicateValues" dxfId="0" priority="14"/>
  </conditionalFormatting>
  <conditionalFormatting sqref="D552">
    <cfRule type="duplicateValues" dxfId="0" priority="13"/>
  </conditionalFormatting>
  <conditionalFormatting sqref="E552">
    <cfRule type="duplicateValues" dxfId="0" priority="30"/>
  </conditionalFormatting>
  <conditionalFormatting sqref="F552">
    <cfRule type="duplicateValues" dxfId="0" priority="29"/>
  </conditionalFormatting>
  <conditionalFormatting sqref="G552">
    <cfRule type="duplicateValues" dxfId="0" priority="28"/>
  </conditionalFormatting>
  <conditionalFormatting sqref="A572">
    <cfRule type="duplicateValues" dxfId="0" priority="64"/>
  </conditionalFormatting>
  <conditionalFormatting sqref="B572">
    <cfRule type="duplicateValues" dxfId="0" priority="12"/>
  </conditionalFormatting>
  <conditionalFormatting sqref="C572">
    <cfRule type="duplicateValues" dxfId="0" priority="11"/>
  </conditionalFormatting>
  <conditionalFormatting sqref="D572">
    <cfRule type="duplicateValues" dxfId="0" priority="10"/>
  </conditionalFormatting>
  <conditionalFormatting sqref="E572">
    <cfRule type="duplicateValues" dxfId="0" priority="27"/>
  </conditionalFormatting>
  <conditionalFormatting sqref="F572">
    <cfRule type="duplicateValues" dxfId="0" priority="26"/>
  </conditionalFormatting>
  <conditionalFormatting sqref="G572">
    <cfRule type="duplicateValues" dxfId="0" priority="25"/>
  </conditionalFormatting>
  <conditionalFormatting sqref="A573">
    <cfRule type="duplicateValues" dxfId="0" priority="63"/>
  </conditionalFormatting>
  <conditionalFormatting sqref="B573">
    <cfRule type="duplicateValues" dxfId="0" priority="9"/>
  </conditionalFormatting>
  <conditionalFormatting sqref="C573">
    <cfRule type="duplicateValues" dxfId="0" priority="8"/>
  </conditionalFormatting>
  <conditionalFormatting sqref="D573">
    <cfRule type="duplicateValues" dxfId="0" priority="7"/>
  </conditionalFormatting>
  <conditionalFormatting sqref="E573">
    <cfRule type="duplicateValues" dxfId="0" priority="24"/>
  </conditionalFormatting>
  <conditionalFormatting sqref="F573">
    <cfRule type="duplicateValues" dxfId="0" priority="23"/>
  </conditionalFormatting>
  <conditionalFormatting sqref="G573">
    <cfRule type="duplicateValues" dxfId="0" priority="22"/>
  </conditionalFormatting>
  <conditionalFormatting sqref="A574:A575">
    <cfRule type="duplicateValues" dxfId="0" priority="61"/>
    <cfRule type="duplicateValues" dxfId="1" priority="62"/>
  </conditionalFormatting>
  <conditionalFormatting sqref="B574:B575">
    <cfRule type="duplicateValues" dxfId="0" priority="3"/>
    <cfRule type="duplicateValues" dxfId="1" priority="6"/>
  </conditionalFormatting>
  <conditionalFormatting sqref="C574:C575">
    <cfRule type="duplicateValues" dxfId="0" priority="2"/>
    <cfRule type="duplicateValues" dxfId="1" priority="5"/>
  </conditionalFormatting>
  <conditionalFormatting sqref="D574:D575">
    <cfRule type="duplicateValues" dxfId="0" priority="1"/>
    <cfRule type="duplicateValues" dxfId="1" priority="4"/>
  </conditionalFormatting>
  <conditionalFormatting sqref="E574:E575">
    <cfRule type="duplicateValues" dxfId="0" priority="18"/>
    <cfRule type="duplicateValues" dxfId="1" priority="21"/>
  </conditionalFormatting>
  <conditionalFormatting sqref="F574:F575">
    <cfRule type="duplicateValues" dxfId="0" priority="17"/>
    <cfRule type="duplicateValues" dxfId="1" priority="20"/>
  </conditionalFormatting>
  <conditionalFormatting sqref="G574:G575">
    <cfRule type="duplicateValues" dxfId="0" priority="16"/>
    <cfRule type="duplicateValues" dxfId="1" priority="19"/>
  </conditionalFormatting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7"/>
  <sheetViews>
    <sheetView workbookViewId="0">
      <pane ySplit="1" topLeftCell="A17" activePane="bottomLeft" state="frozen"/>
      <selection/>
      <selection pane="bottomLeft" activeCell="A18" sqref="$A18:$XFD18"/>
    </sheetView>
  </sheetViews>
  <sheetFormatPr defaultColWidth="8.89423076923077" defaultRowHeight="18" customHeight="1"/>
  <cols>
    <col min="1" max="1" width="10.3942307692308" style="1" customWidth="1"/>
    <col min="2" max="2" width="9.14423076923077" style="1" customWidth="1"/>
    <col min="3" max="3" width="9.61538461538461" style="1" customWidth="1"/>
    <col min="4" max="4" width="10.3942307692308" style="1" customWidth="1"/>
    <col min="5" max="5" width="9.38461538461539" style="1" customWidth="1"/>
    <col min="6" max="6" width="8.54807692307692" style="1" customWidth="1"/>
    <col min="7" max="7" width="8.375" style="1" customWidth="1"/>
    <col min="9" max="9" width="47.375" customWidth="1"/>
  </cols>
  <sheetData>
    <row r="1" ht="35" customHeight="1" spans="1:9">
      <c r="A1" s="2" t="s">
        <v>0</v>
      </c>
      <c r="B1" s="2" t="s">
        <v>1132</v>
      </c>
      <c r="C1" s="2" t="s">
        <v>1133</v>
      </c>
      <c r="D1" s="2" t="s">
        <v>1134</v>
      </c>
      <c r="E1" s="2" t="s">
        <v>1135</v>
      </c>
      <c r="F1" s="2" t="s">
        <v>1136</v>
      </c>
      <c r="G1" s="2" t="s">
        <v>1137</v>
      </c>
      <c r="H1" s="3" t="s">
        <v>7</v>
      </c>
      <c r="I1" s="3" t="s">
        <v>8</v>
      </c>
    </row>
    <row r="2" customHeight="1" spans="1:9">
      <c r="A2" s="4" t="s">
        <v>9</v>
      </c>
      <c r="B2" s="4">
        <f>VLOOKUP($A2,[1]彩未分析60315!$A:$M,8,0)</f>
        <v>35</v>
      </c>
      <c r="C2" s="4">
        <f>VLOOKUP($A2,[1]彩未分析60315!$A:$M,9,0)</f>
        <v>34</v>
      </c>
      <c r="D2" s="4">
        <f>VLOOKUP($A2,[1]彩未分析60315!$A:$M,10,0)</f>
        <v>32</v>
      </c>
      <c r="E2" s="4">
        <f>VLOOKUP($A2,[1]彩未分析60315!$A:$M,11,0)</f>
        <v>31</v>
      </c>
      <c r="F2" s="4">
        <f>VLOOKUP($A2,[1]彩未分析60315!$A:$M,12,0)</f>
        <v>30</v>
      </c>
      <c r="G2" s="4">
        <f>VLOOKUP($A2,[1]彩未分析60315!$A:$M,13,0)</f>
        <v>29</v>
      </c>
      <c r="H2" s="3" t="s">
        <v>10</v>
      </c>
      <c r="I2" s="3" t="s">
        <v>11</v>
      </c>
    </row>
    <row r="3" customHeight="1" spans="1:9">
      <c r="A3" s="4" t="s">
        <v>12</v>
      </c>
      <c r="B3" s="4">
        <f>VLOOKUP($A3,[1]彩未分析60315!$A:$M,8,0)</f>
        <v>22</v>
      </c>
      <c r="C3" s="4">
        <f>VLOOKUP($A3,[1]彩未分析60315!$A:$M,9,0)</f>
        <v>21</v>
      </c>
      <c r="D3" s="4">
        <f>VLOOKUP($A3,[1]彩未分析60315!$A:$M,10,0)</f>
        <v>20</v>
      </c>
      <c r="E3" s="4">
        <f>VLOOKUP($A3,[1]彩未分析60315!$A:$M,11,0)</f>
        <v>19</v>
      </c>
      <c r="F3" s="4">
        <f>VLOOKUP($A3,[1]彩未分析60315!$A:$M,12,0)</f>
        <v>19</v>
      </c>
      <c r="G3" s="4">
        <f>VLOOKUP($A3,[1]彩未分析60315!$A:$M,13,0)</f>
        <v>18</v>
      </c>
      <c r="H3" s="3" t="s">
        <v>10</v>
      </c>
      <c r="I3" s="3" t="s">
        <v>13</v>
      </c>
    </row>
    <row r="4" customHeight="1" spans="1:9">
      <c r="A4" s="4" t="s">
        <v>14</v>
      </c>
      <c r="B4" s="4">
        <f>VLOOKUP($A4,[1]彩未分析60315!$A:$M,8,0)</f>
        <v>37</v>
      </c>
      <c r="C4" s="4">
        <f>VLOOKUP($A4,[1]彩未分析60315!$A:$M,9,0)</f>
        <v>36</v>
      </c>
      <c r="D4" s="4">
        <f>VLOOKUP($A4,[1]彩未分析60315!$A:$M,10,0)</f>
        <v>35</v>
      </c>
      <c r="E4" s="4">
        <f>VLOOKUP($A4,[1]彩未分析60315!$A:$M,11,0)</f>
        <v>33</v>
      </c>
      <c r="F4" s="4">
        <f>VLOOKUP($A4,[1]彩未分析60315!$A:$M,12,0)</f>
        <v>32</v>
      </c>
      <c r="G4" s="4">
        <f>VLOOKUP($A4,[1]彩未分析60315!$A:$M,13,0)</f>
        <v>31</v>
      </c>
      <c r="H4" s="3" t="s">
        <v>10</v>
      </c>
      <c r="I4" s="3" t="s">
        <v>15</v>
      </c>
    </row>
    <row r="5" customHeight="1" spans="1:9">
      <c r="A5" s="4" t="s">
        <v>16</v>
      </c>
      <c r="B5" s="4">
        <f>VLOOKUP($A5,[1]彩未分析60315!$A:$M,8,0)</f>
        <v>40</v>
      </c>
      <c r="C5" s="4">
        <f>VLOOKUP($A5,[1]彩未分析60315!$A:$M,9,0)</f>
        <v>38</v>
      </c>
      <c r="D5" s="4">
        <f>VLOOKUP($A5,[1]彩未分析60315!$A:$M,10,0)</f>
        <v>37</v>
      </c>
      <c r="E5" s="4">
        <f>VLOOKUP($A5,[1]彩未分析60315!$A:$M,11,0)</f>
        <v>36</v>
      </c>
      <c r="F5" s="4">
        <f>VLOOKUP($A5,[1]彩未分析60315!$A:$M,12,0)</f>
        <v>34</v>
      </c>
      <c r="G5" s="4">
        <f>VLOOKUP($A5,[1]彩未分析60315!$A:$M,13,0)</f>
        <v>33</v>
      </c>
      <c r="H5" s="3" t="s">
        <v>10</v>
      </c>
      <c r="I5" s="3" t="s">
        <v>17</v>
      </c>
    </row>
    <row r="6" customHeight="1" spans="1:9">
      <c r="A6" s="4" t="s">
        <v>18</v>
      </c>
      <c r="B6" s="4">
        <f>VLOOKUP($A6,[1]彩未分析60315!$A:$M,8,0)</f>
        <v>22</v>
      </c>
      <c r="C6" s="4">
        <f>VLOOKUP($A6,[1]彩未分析60315!$A:$M,9,0)</f>
        <v>21</v>
      </c>
      <c r="D6" s="4">
        <f>VLOOKUP($A6,[1]彩未分析60315!$A:$M,10,0)</f>
        <v>20</v>
      </c>
      <c r="E6" s="4">
        <f>VLOOKUP($A6,[1]彩未分析60315!$A:$M,11,0)</f>
        <v>20</v>
      </c>
      <c r="F6" s="4">
        <f>VLOOKUP($A6,[1]彩未分析60315!$A:$M,12,0)</f>
        <v>19</v>
      </c>
      <c r="G6" s="4">
        <f>VLOOKUP($A6,[1]彩未分析60315!$A:$M,13,0)</f>
        <v>18</v>
      </c>
      <c r="H6" s="3" t="s">
        <v>10</v>
      </c>
      <c r="I6" s="3" t="s">
        <v>19</v>
      </c>
    </row>
    <row r="7" customHeight="1" spans="1:9">
      <c r="A7" s="4" t="s">
        <v>20</v>
      </c>
      <c r="B7" s="4">
        <f>VLOOKUP($A7,[1]彩未分析60315!$A:$M,8,0)</f>
        <v>23</v>
      </c>
      <c r="C7" s="4">
        <f>VLOOKUP($A7,[1]彩未分析60315!$A:$M,9,0)</f>
        <v>22</v>
      </c>
      <c r="D7" s="4">
        <f>VLOOKUP($A7,[1]彩未分析60315!$A:$M,10,0)</f>
        <v>21</v>
      </c>
      <c r="E7" s="4">
        <f>VLOOKUP($A7,[1]彩未分析60315!$A:$M,11,0)</f>
        <v>20</v>
      </c>
      <c r="F7" s="4">
        <f>VLOOKUP($A7,[1]彩未分析60315!$A:$M,12,0)</f>
        <v>20</v>
      </c>
      <c r="G7" s="4">
        <f>VLOOKUP($A7,[1]彩未分析60315!$A:$M,13,0)</f>
        <v>19</v>
      </c>
      <c r="H7" s="3" t="s">
        <v>10</v>
      </c>
      <c r="I7" s="3" t="s">
        <v>21</v>
      </c>
    </row>
    <row r="8" customHeight="1" spans="1:9">
      <c r="A8" s="4" t="s">
        <v>22</v>
      </c>
      <c r="B8" s="4">
        <f>VLOOKUP($A8,[1]彩未分析60315!$A:$M,8,0)</f>
        <v>40</v>
      </c>
      <c r="C8" s="4">
        <f>VLOOKUP($A8,[1]彩未分析60315!$A:$M,9,0)</f>
        <v>38</v>
      </c>
      <c r="D8" s="4">
        <f>VLOOKUP($A8,[1]彩未分析60315!$A:$M,10,0)</f>
        <v>37</v>
      </c>
      <c r="E8" s="4">
        <f>VLOOKUP($A8,[1]彩未分析60315!$A:$M,11,0)</f>
        <v>36</v>
      </c>
      <c r="F8" s="4">
        <f>VLOOKUP($A8,[1]彩未分析60315!$A:$M,12,0)</f>
        <v>34</v>
      </c>
      <c r="G8" s="4">
        <f>VLOOKUP($A8,[1]彩未分析60315!$A:$M,13,0)</f>
        <v>33</v>
      </c>
      <c r="H8" s="3" t="s">
        <v>10</v>
      </c>
      <c r="I8" s="3" t="s">
        <v>23</v>
      </c>
    </row>
    <row r="9" customHeight="1" spans="1:9">
      <c r="A9" s="4" t="s">
        <v>24</v>
      </c>
      <c r="B9" s="4">
        <f>VLOOKUP($A9,[1]彩未分析60315!$A:$M,8,0)</f>
        <v>27</v>
      </c>
      <c r="C9" s="4">
        <f>VLOOKUP($A9,[1]彩未分析60315!$A:$M,9,0)</f>
        <v>26</v>
      </c>
      <c r="D9" s="4">
        <f>VLOOKUP($A9,[1]彩未分析60315!$A:$M,10,0)</f>
        <v>25</v>
      </c>
      <c r="E9" s="4">
        <f>VLOOKUP($A9,[1]彩未分析60315!$A:$M,11,0)</f>
        <v>24</v>
      </c>
      <c r="F9" s="4">
        <f>VLOOKUP($A9,[1]彩未分析60315!$A:$M,12,0)</f>
        <v>23</v>
      </c>
      <c r="G9" s="4">
        <f>VLOOKUP($A9,[1]彩未分析60315!$A:$M,13,0)</f>
        <v>22</v>
      </c>
      <c r="H9" s="3" t="s">
        <v>10</v>
      </c>
      <c r="I9" s="3" t="s">
        <v>25</v>
      </c>
    </row>
    <row r="10" customHeight="1" spans="1:9">
      <c r="A10" s="4" t="s">
        <v>26</v>
      </c>
      <c r="B10" s="4">
        <f>VLOOKUP($A10,[1]彩未分析60315!$A:$M,8,0)</f>
        <v>39</v>
      </c>
      <c r="C10" s="4">
        <f>VLOOKUP($A10,[1]彩未分析60315!$A:$M,9,0)</f>
        <v>38</v>
      </c>
      <c r="D10" s="4">
        <f>VLOOKUP($A10,[1]彩未分析60315!$A:$M,10,0)</f>
        <v>37</v>
      </c>
      <c r="E10" s="4">
        <f>VLOOKUP($A10,[1]彩未分析60315!$A:$M,11,0)</f>
        <v>35</v>
      </c>
      <c r="F10" s="4">
        <f>VLOOKUP($A10,[1]彩未分析60315!$A:$M,12,0)</f>
        <v>34</v>
      </c>
      <c r="G10" s="4">
        <f>VLOOKUP($A10,[1]彩未分析60315!$A:$M,13,0)</f>
        <v>32</v>
      </c>
      <c r="H10" s="3" t="s">
        <v>10</v>
      </c>
      <c r="I10" s="3" t="s">
        <v>27</v>
      </c>
    </row>
    <row r="11" customHeight="1" spans="1:9">
      <c r="A11" s="4" t="s">
        <v>28</v>
      </c>
      <c r="B11" s="4">
        <f>VLOOKUP($A11,[1]彩未分析60315!$A:$M,8,0)</f>
        <v>33</v>
      </c>
      <c r="C11" s="4">
        <f>VLOOKUP($A11,[1]彩未分析60315!$A:$M,9,0)</f>
        <v>32</v>
      </c>
      <c r="D11" s="4">
        <f>VLOOKUP($A11,[1]彩未分析60315!$A:$M,10,0)</f>
        <v>31</v>
      </c>
      <c r="E11" s="4">
        <f>VLOOKUP($A11,[1]彩未分析60315!$A:$M,11,0)</f>
        <v>30</v>
      </c>
      <c r="F11" s="4">
        <f>VLOOKUP($A11,[1]彩未分析60315!$A:$M,12,0)</f>
        <v>29</v>
      </c>
      <c r="G11" s="4">
        <f>VLOOKUP($A11,[1]彩未分析60315!$A:$M,13,0)</f>
        <v>27</v>
      </c>
      <c r="H11" s="3" t="s">
        <v>10</v>
      </c>
      <c r="I11" s="3" t="s">
        <v>29</v>
      </c>
    </row>
    <row r="12" customHeight="1" spans="1:9">
      <c r="A12" s="4" t="s">
        <v>30</v>
      </c>
      <c r="B12" s="4">
        <f>VLOOKUP($A12,[1]彩未分析60315!$A:$M,8,0)</f>
        <v>33</v>
      </c>
      <c r="C12" s="4">
        <f>VLOOKUP($A12,[1]彩未分析60315!$A:$M,9,0)</f>
        <v>32</v>
      </c>
      <c r="D12" s="4">
        <f>VLOOKUP($A12,[1]彩未分析60315!$A:$M,10,0)</f>
        <v>31</v>
      </c>
      <c r="E12" s="4">
        <f>VLOOKUP($A12,[1]彩未分析60315!$A:$M,11,0)</f>
        <v>29</v>
      </c>
      <c r="F12" s="4">
        <f>VLOOKUP($A12,[1]彩未分析60315!$A:$M,12,0)</f>
        <v>28</v>
      </c>
      <c r="G12" s="4">
        <f>VLOOKUP($A12,[1]彩未分析60315!$A:$M,13,0)</f>
        <v>27</v>
      </c>
      <c r="H12" s="3" t="s">
        <v>10</v>
      </c>
      <c r="I12" s="3" t="s">
        <v>31</v>
      </c>
    </row>
    <row r="13" customHeight="1" spans="1:9">
      <c r="A13" s="4" t="s">
        <v>32</v>
      </c>
      <c r="B13" s="4">
        <f>VLOOKUP($A13,[1]彩未分析60315!$A:$M,8,0)</f>
        <v>39</v>
      </c>
      <c r="C13" s="4">
        <f>VLOOKUP($A13,[1]彩未分析60315!$A:$M,9,0)</f>
        <v>38</v>
      </c>
      <c r="D13" s="4">
        <f>VLOOKUP($A13,[1]彩未分析60315!$A:$M,10,0)</f>
        <v>37</v>
      </c>
      <c r="E13" s="4">
        <f>VLOOKUP($A13,[1]彩未分析60315!$A:$M,11,0)</f>
        <v>35</v>
      </c>
      <c r="F13" s="4">
        <f>VLOOKUP($A13,[1]彩未分析60315!$A:$M,12,0)</f>
        <v>34</v>
      </c>
      <c r="G13" s="4">
        <f>VLOOKUP($A13,[1]彩未分析60315!$A:$M,13,0)</f>
        <v>32</v>
      </c>
      <c r="H13" s="3" t="s">
        <v>10</v>
      </c>
      <c r="I13" s="3" t="s">
        <v>33</v>
      </c>
    </row>
    <row r="14" customHeight="1" spans="1:9">
      <c r="A14" s="4" t="s">
        <v>34</v>
      </c>
      <c r="B14" s="4">
        <f>VLOOKUP($A14,[1]彩未分析60315!$A:$M,8,0)</f>
        <v>40</v>
      </c>
      <c r="C14" s="4">
        <f>VLOOKUP($A14,[1]彩未分析60315!$A:$M,9,0)</f>
        <v>39</v>
      </c>
      <c r="D14" s="4">
        <f>VLOOKUP($A14,[1]彩未分析60315!$A:$M,10,0)</f>
        <v>37</v>
      </c>
      <c r="E14" s="4">
        <f>VLOOKUP($A14,[1]彩未分析60315!$A:$M,11,0)</f>
        <v>36</v>
      </c>
      <c r="F14" s="4">
        <f>VLOOKUP($A14,[1]彩未分析60315!$A:$M,12,0)</f>
        <v>34</v>
      </c>
      <c r="G14" s="4">
        <f>VLOOKUP($A14,[1]彩未分析60315!$A:$M,13,0)</f>
        <v>33</v>
      </c>
      <c r="H14" s="3" t="s">
        <v>10</v>
      </c>
      <c r="I14" s="3" t="s">
        <v>35</v>
      </c>
    </row>
    <row r="15" customHeight="1" spans="1:9">
      <c r="A15" s="4" t="s">
        <v>36</v>
      </c>
      <c r="B15" s="4">
        <f>VLOOKUP($A15,[1]彩未分析60315!$A:$M,8,0)</f>
        <v>25</v>
      </c>
      <c r="C15" s="4">
        <f>VLOOKUP($A15,[1]彩未分析60315!$A:$M,9,0)</f>
        <v>24</v>
      </c>
      <c r="D15" s="4">
        <f>VLOOKUP($A15,[1]彩未分析60315!$A:$M,10,0)</f>
        <v>23</v>
      </c>
      <c r="E15" s="4">
        <f>VLOOKUP($A15,[1]彩未分析60315!$A:$M,11,0)</f>
        <v>22</v>
      </c>
      <c r="F15" s="4">
        <f>VLOOKUP($A15,[1]彩未分析60315!$A:$M,12,0)</f>
        <v>21</v>
      </c>
      <c r="G15" s="4">
        <f>VLOOKUP($A15,[1]彩未分析60315!$A:$M,13,0)</f>
        <v>20</v>
      </c>
      <c r="H15" s="3" t="s">
        <v>10</v>
      </c>
      <c r="I15" s="3" t="s">
        <v>37</v>
      </c>
    </row>
    <row r="16" customHeight="1" spans="1:9">
      <c r="A16" s="4" t="s">
        <v>38</v>
      </c>
      <c r="B16" s="4">
        <f>VLOOKUP($A16,[1]彩未分析60315!$A:$M,8,0)</f>
        <v>126</v>
      </c>
      <c r="C16" s="4">
        <f>VLOOKUP($A16,[1]彩未分析60315!$A:$M,9,0)</f>
        <v>123</v>
      </c>
      <c r="D16" s="4">
        <f>VLOOKUP($A16,[1]彩未分析60315!$A:$M,10,0)</f>
        <v>121</v>
      </c>
      <c r="E16" s="4">
        <f>VLOOKUP($A16,[1]彩未分析60315!$A:$M,11,0)</f>
        <v>119</v>
      </c>
      <c r="F16" s="4">
        <f>VLOOKUP($A16,[1]彩未分析60315!$A:$M,12,0)</f>
        <v>118</v>
      </c>
      <c r="G16" s="4">
        <f>VLOOKUP($A16,[1]彩未分析60315!$A:$M,13,0)</f>
        <v>116</v>
      </c>
      <c r="H16" s="3" t="s">
        <v>39</v>
      </c>
      <c r="I16" s="3" t="s">
        <v>40</v>
      </c>
    </row>
    <row r="17" customHeight="1" spans="1:9">
      <c r="A17" s="4" t="s">
        <v>41</v>
      </c>
      <c r="B17" s="4">
        <f>VLOOKUP($A17,[1]彩未分析60315!$A:$M,8,0)</f>
        <v>37</v>
      </c>
      <c r="C17" s="4">
        <f>VLOOKUP($A17,[1]彩未分析60315!$A:$M,9,0)</f>
        <v>35</v>
      </c>
      <c r="D17" s="4">
        <f>VLOOKUP($A17,[1]彩未分析60315!$A:$M,10,0)</f>
        <v>34</v>
      </c>
      <c r="E17" s="4">
        <f>VLOOKUP($A17,[1]彩未分析60315!$A:$M,11,0)</f>
        <v>33</v>
      </c>
      <c r="F17" s="4">
        <f>VLOOKUP($A17,[1]彩未分析60315!$A:$M,12,0)</f>
        <v>31</v>
      </c>
      <c r="G17" s="4">
        <f>VLOOKUP($A17,[1]彩未分析60315!$A:$M,13,0)</f>
        <v>30</v>
      </c>
      <c r="H17" s="3" t="s">
        <v>10</v>
      </c>
      <c r="I17" s="3" t="s">
        <v>42</v>
      </c>
    </row>
    <row r="18" customHeight="1" spans="1:9">
      <c r="A18" s="4" t="s">
        <v>43</v>
      </c>
      <c r="B18" s="4">
        <f>VLOOKUP($A18,[1]彩未分析60315!$A:$M,8,0)</f>
        <v>36</v>
      </c>
      <c r="C18" s="4">
        <f>VLOOKUP($A18,[1]彩未分析60315!$A:$M,9,0)</f>
        <v>34</v>
      </c>
      <c r="D18" s="4">
        <f>VLOOKUP($A18,[1]彩未分析60315!$A:$M,10,0)</f>
        <v>33</v>
      </c>
      <c r="E18" s="4">
        <f>VLOOKUP($A18,[1]彩未分析60315!$A:$M,11,0)</f>
        <v>32</v>
      </c>
      <c r="F18" s="4">
        <f>VLOOKUP($A18,[1]彩未分析60315!$A:$M,12,0)</f>
        <v>30</v>
      </c>
      <c r="G18" s="4">
        <f>VLOOKUP($A18,[1]彩未分析60315!$A:$M,13,0)</f>
        <v>29</v>
      </c>
      <c r="H18" s="3" t="s">
        <v>10</v>
      </c>
      <c r="I18" s="3" t="s">
        <v>44</v>
      </c>
    </row>
    <row r="19" customHeight="1" spans="1:9">
      <c r="A19" s="4" t="s">
        <v>45</v>
      </c>
      <c r="B19" s="4">
        <f>VLOOKUP($A19,[1]彩未分析60315!$A:$M,8,0)</f>
        <v>29</v>
      </c>
      <c r="C19" s="4">
        <f>VLOOKUP($A19,[1]彩未分析60315!$A:$M,9,0)</f>
        <v>28</v>
      </c>
      <c r="D19" s="4">
        <f>VLOOKUP($A19,[1]彩未分析60315!$A:$M,10,0)</f>
        <v>27</v>
      </c>
      <c r="E19" s="4">
        <f>VLOOKUP($A19,[1]彩未分析60315!$A:$M,11,0)</f>
        <v>26</v>
      </c>
      <c r="F19" s="4">
        <f>VLOOKUP($A19,[1]彩未分析60315!$A:$M,12,0)</f>
        <v>25</v>
      </c>
      <c r="G19" s="4">
        <f>VLOOKUP($A19,[1]彩未分析60315!$A:$M,13,0)</f>
        <v>24</v>
      </c>
      <c r="H19" s="3" t="s">
        <v>10</v>
      </c>
      <c r="I19" s="3" t="s">
        <v>46</v>
      </c>
    </row>
    <row r="20" customHeight="1" spans="1:9">
      <c r="A20" s="4" t="s">
        <v>47</v>
      </c>
      <c r="B20" s="4">
        <f>VLOOKUP($A20,[1]彩未分析60315!$A:$M,8,0)</f>
        <v>30</v>
      </c>
      <c r="C20" s="4">
        <f>VLOOKUP($A20,[1]彩未分析60315!$A:$M,9,0)</f>
        <v>29</v>
      </c>
      <c r="D20" s="4">
        <f>VLOOKUP($A20,[1]彩未分析60315!$A:$M,10,0)</f>
        <v>28</v>
      </c>
      <c r="E20" s="4">
        <f>VLOOKUP($A20,[1]彩未分析60315!$A:$M,11,0)</f>
        <v>27</v>
      </c>
      <c r="F20" s="4">
        <f>VLOOKUP($A20,[1]彩未分析60315!$A:$M,12,0)</f>
        <v>26</v>
      </c>
      <c r="G20" s="4">
        <f>VLOOKUP($A20,[1]彩未分析60315!$A:$M,13,0)</f>
        <v>25</v>
      </c>
      <c r="H20" s="3" t="s">
        <v>10</v>
      </c>
      <c r="I20" s="3" t="s">
        <v>48</v>
      </c>
    </row>
    <row r="21" customHeight="1" spans="1:9">
      <c r="A21" s="4" t="s">
        <v>49</v>
      </c>
      <c r="B21" s="4">
        <f>VLOOKUP($A21,[1]彩未分析60315!$A:$M,8,0)</f>
        <v>34</v>
      </c>
      <c r="C21" s="4">
        <f>VLOOKUP($A21,[1]彩未分析60315!$A:$M,9,0)</f>
        <v>33</v>
      </c>
      <c r="D21" s="4">
        <f>VLOOKUP($A21,[1]彩未分析60315!$A:$M,10,0)</f>
        <v>32</v>
      </c>
      <c r="E21" s="4">
        <f>VLOOKUP($A21,[1]彩未分析60315!$A:$M,11,0)</f>
        <v>30</v>
      </c>
      <c r="F21" s="4">
        <f>VLOOKUP($A21,[1]彩未分析60315!$A:$M,12,0)</f>
        <v>29</v>
      </c>
      <c r="G21" s="4">
        <f>VLOOKUP($A21,[1]彩未分析60315!$A:$M,13,0)</f>
        <v>28</v>
      </c>
      <c r="H21" s="3" t="s">
        <v>10</v>
      </c>
      <c r="I21" s="3" t="s">
        <v>31</v>
      </c>
    </row>
    <row r="22" customHeight="1" spans="1:9">
      <c r="A22" s="4" t="s">
        <v>50</v>
      </c>
      <c r="B22" s="4">
        <f>VLOOKUP($A22,[1]彩未分析60315!$A:$M,8,0)</f>
        <v>89</v>
      </c>
      <c r="C22" s="4">
        <f>VLOOKUP($A22,[1]彩未分析60315!$A:$M,9,0)</f>
        <v>86</v>
      </c>
      <c r="D22" s="4">
        <f>VLOOKUP($A22,[1]彩未分析60315!$A:$M,10,0)</f>
        <v>83</v>
      </c>
      <c r="E22" s="4">
        <f>VLOOKUP($A22,[1]彩未分析60315!$A:$M,11,0)</f>
        <v>79</v>
      </c>
      <c r="F22" s="4">
        <f>VLOOKUP($A22,[1]彩未分析60315!$A:$M,12,0)</f>
        <v>76</v>
      </c>
      <c r="G22" s="4">
        <f>VLOOKUP($A22,[1]彩未分析60315!$A:$M,13,0)</f>
        <v>73</v>
      </c>
      <c r="H22" s="3" t="s">
        <v>10</v>
      </c>
      <c r="I22" s="3" t="s">
        <v>51</v>
      </c>
    </row>
    <row r="23" customHeight="1" spans="1:9">
      <c r="A23" s="4" t="s">
        <v>52</v>
      </c>
      <c r="B23" s="4">
        <f>VLOOKUP($A23,[1]彩未分析60315!$A:$M,8,0)</f>
        <v>56</v>
      </c>
      <c r="C23" s="4">
        <f>VLOOKUP($A23,[1]彩未分析60315!$A:$M,9,0)</f>
        <v>54</v>
      </c>
      <c r="D23" s="4">
        <f>VLOOKUP($A23,[1]彩未分析60315!$A:$M,10,0)</f>
        <v>52</v>
      </c>
      <c r="E23" s="4">
        <f>VLOOKUP($A23,[1]彩未分析60315!$A:$M,11,0)</f>
        <v>50</v>
      </c>
      <c r="F23" s="4">
        <f>VLOOKUP($A23,[1]彩未分析60315!$A:$M,12,0)</f>
        <v>48</v>
      </c>
      <c r="G23" s="4">
        <f>VLOOKUP($A23,[1]彩未分析60315!$A:$M,13,0)</f>
        <v>45</v>
      </c>
      <c r="H23" s="3" t="s">
        <v>10</v>
      </c>
      <c r="I23" s="3" t="s">
        <v>53</v>
      </c>
    </row>
    <row r="24" customHeight="1" spans="1:9">
      <c r="A24" s="4" t="s">
        <v>54</v>
      </c>
      <c r="B24" s="4">
        <f>VLOOKUP($A24,[1]彩未分析60315!$A:$M,8,0)</f>
        <v>34</v>
      </c>
      <c r="C24" s="4">
        <f>VLOOKUP($A24,[1]彩未分析60315!$A:$M,9,0)</f>
        <v>32</v>
      </c>
      <c r="D24" s="4">
        <f>VLOOKUP($A24,[1]彩未分析60315!$A:$M,10,0)</f>
        <v>31</v>
      </c>
      <c r="E24" s="4">
        <f>VLOOKUP($A24,[1]彩未分析60315!$A:$M,11,0)</f>
        <v>30</v>
      </c>
      <c r="F24" s="4">
        <f>VLOOKUP($A24,[1]彩未分析60315!$A:$M,12,0)</f>
        <v>29</v>
      </c>
      <c r="G24" s="4">
        <f>VLOOKUP($A24,[1]彩未分析60315!$A:$M,13,0)</f>
        <v>27</v>
      </c>
      <c r="H24" s="3" t="s">
        <v>10</v>
      </c>
      <c r="I24" s="3" t="s">
        <v>55</v>
      </c>
    </row>
    <row r="25" customHeight="1" spans="1:9">
      <c r="A25" s="4" t="s">
        <v>56</v>
      </c>
      <c r="B25" s="4">
        <f>VLOOKUP($A25,[1]彩未分析60315!$A:$M,8,0)</f>
        <v>25</v>
      </c>
      <c r="C25" s="4">
        <f>VLOOKUP($A25,[1]彩未分析60315!$A:$M,9,0)</f>
        <v>24</v>
      </c>
      <c r="D25" s="4">
        <f>VLOOKUP($A25,[1]彩未分析60315!$A:$M,10,0)</f>
        <v>23</v>
      </c>
      <c r="E25" s="4">
        <f>VLOOKUP($A25,[1]彩未分析60315!$A:$M,11,0)</f>
        <v>22</v>
      </c>
      <c r="F25" s="4">
        <f>VLOOKUP($A25,[1]彩未分析60315!$A:$M,12,0)</f>
        <v>21</v>
      </c>
      <c r="G25" s="4">
        <f>VLOOKUP($A25,[1]彩未分析60315!$A:$M,13,0)</f>
        <v>20</v>
      </c>
      <c r="H25" s="3" t="s">
        <v>10</v>
      </c>
      <c r="I25" s="3" t="s">
        <v>57</v>
      </c>
    </row>
    <row r="26" customHeight="1" spans="1:9">
      <c r="A26" s="4" t="s">
        <v>58</v>
      </c>
      <c r="B26" s="4">
        <f>VLOOKUP($A26,[1]彩未分析60315!$A:$M,8,0)</f>
        <v>30</v>
      </c>
      <c r="C26" s="4">
        <f>VLOOKUP($A26,[1]彩未分析60315!$A:$M,9,0)</f>
        <v>29</v>
      </c>
      <c r="D26" s="4">
        <f>VLOOKUP($A26,[1]彩未分析60315!$A:$M,10,0)</f>
        <v>28</v>
      </c>
      <c r="E26" s="4">
        <f>VLOOKUP($A26,[1]彩未分析60315!$A:$M,11,0)</f>
        <v>27</v>
      </c>
      <c r="F26" s="4">
        <f>VLOOKUP($A26,[1]彩未分析60315!$A:$M,12,0)</f>
        <v>26</v>
      </c>
      <c r="G26" s="4">
        <f>VLOOKUP($A26,[1]彩未分析60315!$A:$M,13,0)</f>
        <v>25</v>
      </c>
      <c r="H26" s="3" t="s">
        <v>10</v>
      </c>
      <c r="I26" s="3" t="s">
        <v>59</v>
      </c>
    </row>
    <row r="27" customHeight="1" spans="1:9">
      <c r="A27" s="4" t="s">
        <v>60</v>
      </c>
      <c r="B27" s="4">
        <f>VLOOKUP($A27,[1]彩未分析60315!$A:$M,8,0)</f>
        <v>44</v>
      </c>
      <c r="C27" s="4">
        <f>VLOOKUP($A27,[1]彩未分析60315!$A:$M,9,0)</f>
        <v>43</v>
      </c>
      <c r="D27" s="4">
        <f>VLOOKUP($A27,[1]彩未分析60315!$A:$M,10,0)</f>
        <v>41</v>
      </c>
      <c r="E27" s="4">
        <f>VLOOKUP($A27,[1]彩未分析60315!$A:$M,11,0)</f>
        <v>39</v>
      </c>
      <c r="F27" s="4">
        <f>VLOOKUP($A27,[1]彩未分析60315!$A:$M,12,0)</f>
        <v>38</v>
      </c>
      <c r="G27" s="4">
        <f>VLOOKUP($A27,[1]彩未分析60315!$A:$M,13,0)</f>
        <v>36</v>
      </c>
      <c r="H27" s="3" t="s">
        <v>10</v>
      </c>
      <c r="I27" s="3" t="s">
        <v>61</v>
      </c>
    </row>
    <row r="28" customHeight="1" spans="1:9">
      <c r="A28" s="4" t="s">
        <v>62</v>
      </c>
      <c r="B28" s="4">
        <f>VLOOKUP($A28,[1]彩未分析60315!$A:$M,8,0)</f>
        <v>21</v>
      </c>
      <c r="C28" s="4">
        <f>VLOOKUP($A28,[1]彩未分析60315!$A:$M,9,0)</f>
        <v>20</v>
      </c>
      <c r="D28" s="4">
        <f>VLOOKUP($A28,[1]彩未分析60315!$A:$M,10,0)</f>
        <v>20</v>
      </c>
      <c r="E28" s="4">
        <f>VLOOKUP($A28,[1]彩未分析60315!$A:$M,11,0)</f>
        <v>19</v>
      </c>
      <c r="F28" s="4">
        <f>VLOOKUP($A28,[1]彩未分析60315!$A:$M,12,0)</f>
        <v>18</v>
      </c>
      <c r="G28" s="4">
        <f>VLOOKUP($A28,[1]彩未分析60315!$A:$M,13,0)</f>
        <v>17</v>
      </c>
      <c r="H28" s="3" t="s">
        <v>10</v>
      </c>
      <c r="I28" s="3" t="s">
        <v>63</v>
      </c>
    </row>
    <row r="29" customHeight="1" spans="1:9">
      <c r="A29" s="4" t="s">
        <v>64</v>
      </c>
      <c r="B29" s="4">
        <f>VLOOKUP($A29,[1]彩未分析60315!$A:$M,8,0)</f>
        <v>29</v>
      </c>
      <c r="C29" s="4">
        <f>VLOOKUP($A29,[1]彩未分析60315!$A:$M,9,0)</f>
        <v>28</v>
      </c>
      <c r="D29" s="4">
        <f>VLOOKUP($A29,[1]彩未分析60315!$A:$M,10,0)</f>
        <v>27</v>
      </c>
      <c r="E29" s="4">
        <f>VLOOKUP($A29,[1]彩未分析60315!$A:$M,11,0)</f>
        <v>26</v>
      </c>
      <c r="F29" s="4">
        <f>VLOOKUP($A29,[1]彩未分析60315!$A:$M,12,0)</f>
        <v>25</v>
      </c>
      <c r="G29" s="4">
        <f>VLOOKUP($A29,[1]彩未分析60315!$A:$M,13,0)</f>
        <v>24</v>
      </c>
      <c r="H29" s="3" t="s">
        <v>10</v>
      </c>
      <c r="I29" s="3" t="s">
        <v>65</v>
      </c>
    </row>
    <row r="30" customHeight="1" spans="1:9">
      <c r="A30" s="4" t="s">
        <v>66</v>
      </c>
      <c r="B30" s="4">
        <f>VLOOKUP($A30,[1]彩未分析60315!$A:$M,8,0)</f>
        <v>103</v>
      </c>
      <c r="C30" s="4">
        <f>VLOOKUP($A30,[1]彩未分析60315!$A:$M,9,0)</f>
        <v>99</v>
      </c>
      <c r="D30" s="4">
        <f>VLOOKUP($A30,[1]彩未分析60315!$A:$M,10,0)</f>
        <v>96</v>
      </c>
      <c r="E30" s="4">
        <f>VLOOKUP($A30,[1]彩未分析60315!$A:$M,11,0)</f>
        <v>92</v>
      </c>
      <c r="F30" s="4">
        <f>VLOOKUP($A30,[1]彩未分析60315!$A:$M,12,0)</f>
        <v>88</v>
      </c>
      <c r="G30" s="4">
        <f>VLOOKUP($A30,[1]彩未分析60315!$A:$M,13,0)</f>
        <v>84</v>
      </c>
      <c r="H30" s="3" t="s">
        <v>10</v>
      </c>
      <c r="I30" s="3" t="s">
        <v>67</v>
      </c>
    </row>
    <row r="31" customHeight="1" spans="1:9">
      <c r="A31" s="4" t="s">
        <v>68</v>
      </c>
      <c r="B31" s="4">
        <f>VLOOKUP($A31,[1]彩未分析60315!$A:$M,8,0)</f>
        <v>34</v>
      </c>
      <c r="C31" s="4">
        <f>VLOOKUP($A31,[1]彩未分析60315!$A:$M,9,0)</f>
        <v>33</v>
      </c>
      <c r="D31" s="4">
        <f>VLOOKUP($A31,[1]彩未分析60315!$A:$M,10,0)</f>
        <v>31</v>
      </c>
      <c r="E31" s="4">
        <f>VLOOKUP($A31,[1]彩未分析60315!$A:$M,11,0)</f>
        <v>30</v>
      </c>
      <c r="F31" s="4">
        <f>VLOOKUP($A31,[1]彩未分析60315!$A:$M,12,0)</f>
        <v>29</v>
      </c>
      <c r="G31" s="4">
        <f>VLOOKUP($A31,[1]彩未分析60315!$A:$M,13,0)</f>
        <v>28</v>
      </c>
      <c r="H31" s="3" t="s">
        <v>10</v>
      </c>
      <c r="I31" s="3" t="s">
        <v>69</v>
      </c>
    </row>
    <row r="32" customHeight="1" spans="1:9">
      <c r="A32" s="4" t="s">
        <v>70</v>
      </c>
      <c r="B32" s="4">
        <f>VLOOKUP($A32,[1]彩未分析60315!$A:$M,8,0)</f>
        <v>42</v>
      </c>
      <c r="C32" s="4">
        <f>VLOOKUP($A32,[1]彩未分析60315!$A:$M,9,0)</f>
        <v>40</v>
      </c>
      <c r="D32" s="4">
        <f>VLOOKUP($A32,[1]彩未分析60315!$A:$M,10,0)</f>
        <v>39</v>
      </c>
      <c r="E32" s="4">
        <f>VLOOKUP($A32,[1]彩未分析60315!$A:$M,11,0)</f>
        <v>37</v>
      </c>
      <c r="F32" s="4">
        <f>VLOOKUP($A32,[1]彩未分析60315!$A:$M,12,0)</f>
        <v>36</v>
      </c>
      <c r="G32" s="4">
        <f>VLOOKUP($A32,[1]彩未分析60315!$A:$M,13,0)</f>
        <v>34</v>
      </c>
      <c r="H32" s="3" t="s">
        <v>10</v>
      </c>
      <c r="I32" s="3" t="s">
        <v>71</v>
      </c>
    </row>
    <row r="33" customHeight="1" spans="1:9">
      <c r="A33" s="4" t="s">
        <v>72</v>
      </c>
      <c r="B33" s="4">
        <f>VLOOKUP($A33,[1]彩未分析60315!$A:$M,8,0)</f>
        <v>30</v>
      </c>
      <c r="C33" s="4">
        <f>VLOOKUP($A33,[1]彩未分析60315!$A:$M,9,0)</f>
        <v>29</v>
      </c>
      <c r="D33" s="4">
        <f>VLOOKUP($A33,[1]彩未分析60315!$A:$M,10,0)</f>
        <v>28</v>
      </c>
      <c r="E33" s="4">
        <f>VLOOKUP($A33,[1]彩未分析60315!$A:$M,11,0)</f>
        <v>26</v>
      </c>
      <c r="F33" s="4">
        <f>VLOOKUP($A33,[1]彩未分析60315!$A:$M,12,0)</f>
        <v>25</v>
      </c>
      <c r="G33" s="4">
        <f>VLOOKUP($A33,[1]彩未分析60315!$A:$M,13,0)</f>
        <v>24</v>
      </c>
      <c r="H33" s="3" t="s">
        <v>10</v>
      </c>
      <c r="I33" s="3" t="s">
        <v>73</v>
      </c>
    </row>
    <row r="34" customHeight="1" spans="1:9">
      <c r="A34" s="4" t="s">
        <v>74</v>
      </c>
      <c r="B34" s="4">
        <f>VLOOKUP($A34,[1]彩未分析60315!$A:$M,8,0)</f>
        <v>30</v>
      </c>
      <c r="C34" s="4">
        <f>VLOOKUP($A34,[1]彩未分析60315!$A:$M,9,0)</f>
        <v>29</v>
      </c>
      <c r="D34" s="4">
        <f>VLOOKUP($A34,[1]彩未分析60315!$A:$M,10,0)</f>
        <v>28</v>
      </c>
      <c r="E34" s="4">
        <f>VLOOKUP($A34,[1]彩未分析60315!$A:$M,11,0)</f>
        <v>27</v>
      </c>
      <c r="F34" s="4">
        <f>VLOOKUP($A34,[1]彩未分析60315!$A:$M,12,0)</f>
        <v>26</v>
      </c>
      <c r="G34" s="4">
        <f>VLOOKUP($A34,[1]彩未分析60315!$A:$M,13,0)</f>
        <v>25</v>
      </c>
      <c r="H34" s="3" t="s">
        <v>10</v>
      </c>
      <c r="I34" s="3" t="s">
        <v>75</v>
      </c>
    </row>
    <row r="35" customHeight="1" spans="1:9">
      <c r="A35" s="4" t="s">
        <v>76</v>
      </c>
      <c r="B35" s="4">
        <f>VLOOKUP($A35,[1]彩未分析60315!$A:$M,8,0)</f>
        <v>37</v>
      </c>
      <c r="C35" s="4">
        <f>VLOOKUP($A35,[1]彩未分析60315!$A:$M,9,0)</f>
        <v>36</v>
      </c>
      <c r="D35" s="4">
        <f>VLOOKUP($A35,[1]彩未分析60315!$A:$M,10,0)</f>
        <v>34</v>
      </c>
      <c r="E35" s="4">
        <f>VLOOKUP($A35,[1]彩未分析60315!$A:$M,11,0)</f>
        <v>33</v>
      </c>
      <c r="F35" s="4">
        <f>VLOOKUP($A35,[1]彩未分析60315!$A:$M,12,0)</f>
        <v>32</v>
      </c>
      <c r="G35" s="4">
        <f>VLOOKUP($A35,[1]彩未分析60315!$A:$M,13,0)</f>
        <v>30</v>
      </c>
      <c r="H35" s="3" t="s">
        <v>10</v>
      </c>
      <c r="I35" s="3" t="s">
        <v>77</v>
      </c>
    </row>
    <row r="36" customHeight="1" spans="1:9">
      <c r="A36" s="4" t="s">
        <v>78</v>
      </c>
      <c r="B36" s="4">
        <f>VLOOKUP($A36,[1]彩未分析60315!$A:$M,8,0)</f>
        <v>34</v>
      </c>
      <c r="C36" s="4">
        <f>VLOOKUP($A36,[1]彩未分析60315!$A:$M,9,0)</f>
        <v>33</v>
      </c>
      <c r="D36" s="4">
        <f>VLOOKUP($A36,[1]彩未分析60315!$A:$M,10,0)</f>
        <v>32</v>
      </c>
      <c r="E36" s="4">
        <f>VLOOKUP($A36,[1]彩未分析60315!$A:$M,11,0)</f>
        <v>30</v>
      </c>
      <c r="F36" s="4">
        <f>VLOOKUP($A36,[1]彩未分析60315!$A:$M,12,0)</f>
        <v>29</v>
      </c>
      <c r="G36" s="4">
        <f>VLOOKUP($A36,[1]彩未分析60315!$A:$M,13,0)</f>
        <v>28</v>
      </c>
      <c r="H36" s="3" t="s">
        <v>10</v>
      </c>
      <c r="I36" s="3" t="s">
        <v>79</v>
      </c>
    </row>
    <row r="37" customHeight="1" spans="1:9">
      <c r="A37" s="4" t="s">
        <v>80</v>
      </c>
      <c r="B37" s="4">
        <f>VLOOKUP($A37,[1]彩未分析60315!$A:$M,8,0)</f>
        <v>24</v>
      </c>
      <c r="C37" s="4">
        <f>VLOOKUP($A37,[1]彩未分析60315!$A:$M,9,0)</f>
        <v>23</v>
      </c>
      <c r="D37" s="4">
        <f>VLOOKUP($A37,[1]彩未分析60315!$A:$M,10,0)</f>
        <v>23</v>
      </c>
      <c r="E37" s="4">
        <f>VLOOKUP($A37,[1]彩未分析60315!$A:$M,11,0)</f>
        <v>22</v>
      </c>
      <c r="F37" s="4">
        <f>VLOOKUP($A37,[1]彩未分析60315!$A:$M,12,0)</f>
        <v>21</v>
      </c>
      <c r="G37" s="4">
        <f>VLOOKUP($A37,[1]彩未分析60315!$A:$M,13,0)</f>
        <v>20</v>
      </c>
      <c r="H37" s="3" t="s">
        <v>10</v>
      </c>
      <c r="I37" s="3" t="s">
        <v>81</v>
      </c>
    </row>
    <row r="38" customHeight="1" spans="1:9">
      <c r="A38" s="4" t="s">
        <v>82</v>
      </c>
      <c r="B38" s="4">
        <f>VLOOKUP($A38,[1]彩未分析60315!$A:$M,8,0)</f>
        <v>28</v>
      </c>
      <c r="C38" s="4">
        <f>VLOOKUP($A38,[1]彩未分析60315!$A:$M,9,0)</f>
        <v>27</v>
      </c>
      <c r="D38" s="4">
        <f>VLOOKUP($A38,[1]彩未分析60315!$A:$M,10,0)</f>
        <v>26</v>
      </c>
      <c r="E38" s="4">
        <f>VLOOKUP($A38,[1]彩未分析60315!$A:$M,11,0)</f>
        <v>25</v>
      </c>
      <c r="F38" s="4">
        <f>VLOOKUP($A38,[1]彩未分析60315!$A:$M,12,0)</f>
        <v>24</v>
      </c>
      <c r="G38" s="4">
        <f>VLOOKUP($A38,[1]彩未分析60315!$A:$M,13,0)</f>
        <v>23</v>
      </c>
      <c r="H38" s="3" t="s">
        <v>10</v>
      </c>
      <c r="I38" s="3" t="s">
        <v>83</v>
      </c>
    </row>
    <row r="39" customHeight="1" spans="1:9">
      <c r="A39" s="4" t="s">
        <v>84</v>
      </c>
      <c r="B39" s="4">
        <f>VLOOKUP($A39,[1]彩未分析60315!$A:$M,8,0)</f>
        <v>29</v>
      </c>
      <c r="C39" s="4">
        <f>VLOOKUP($A39,[1]彩未分析60315!$A:$M,9,0)</f>
        <v>28</v>
      </c>
      <c r="D39" s="4">
        <f>VLOOKUP($A39,[1]彩未分析60315!$A:$M,10,0)</f>
        <v>27</v>
      </c>
      <c r="E39" s="4">
        <f>VLOOKUP($A39,[1]彩未分析60315!$A:$M,11,0)</f>
        <v>26</v>
      </c>
      <c r="F39" s="4">
        <f>VLOOKUP($A39,[1]彩未分析60315!$A:$M,12,0)</f>
        <v>25</v>
      </c>
      <c r="G39" s="4">
        <f>VLOOKUP($A39,[1]彩未分析60315!$A:$M,13,0)</f>
        <v>24</v>
      </c>
      <c r="H39" s="3" t="s">
        <v>10</v>
      </c>
      <c r="I39" s="3" t="s">
        <v>85</v>
      </c>
    </row>
    <row r="40" customHeight="1" spans="1:9">
      <c r="A40" s="4" t="s">
        <v>86</v>
      </c>
      <c r="B40" s="4">
        <f>VLOOKUP($A40,[1]彩未分析60315!$A:$M,8,0)</f>
        <v>28</v>
      </c>
      <c r="C40" s="4">
        <f>VLOOKUP($A40,[1]彩未分析60315!$A:$M,9,0)</f>
        <v>27</v>
      </c>
      <c r="D40" s="4">
        <f>VLOOKUP($A40,[1]彩未分析60315!$A:$M,10,0)</f>
        <v>26</v>
      </c>
      <c r="E40" s="4">
        <f>VLOOKUP($A40,[1]彩未分析60315!$A:$M,11,0)</f>
        <v>25</v>
      </c>
      <c r="F40" s="4">
        <f>VLOOKUP($A40,[1]彩未分析60315!$A:$M,12,0)</f>
        <v>24</v>
      </c>
      <c r="G40" s="4">
        <f>VLOOKUP($A40,[1]彩未分析60315!$A:$M,13,0)</f>
        <v>23</v>
      </c>
      <c r="H40" s="3" t="s">
        <v>10</v>
      </c>
      <c r="I40" s="3" t="s">
        <v>87</v>
      </c>
    </row>
    <row r="41" customHeight="1" spans="1:9">
      <c r="A41" s="4" t="s">
        <v>88</v>
      </c>
      <c r="B41" s="4">
        <f>VLOOKUP($A41,[1]彩未分析60315!$A:$M,8,0)</f>
        <v>41</v>
      </c>
      <c r="C41" s="4">
        <f>VLOOKUP($A41,[1]彩未分析60315!$A:$M,9,0)</f>
        <v>40</v>
      </c>
      <c r="D41" s="4">
        <f>VLOOKUP($A41,[1]彩未分析60315!$A:$M,10,0)</f>
        <v>38</v>
      </c>
      <c r="E41" s="4">
        <f>VLOOKUP($A41,[1]彩未分析60315!$A:$M,11,0)</f>
        <v>37</v>
      </c>
      <c r="F41" s="4">
        <f>VLOOKUP($A41,[1]彩未分析60315!$A:$M,12,0)</f>
        <v>35</v>
      </c>
      <c r="G41" s="4">
        <f>VLOOKUP($A41,[1]彩未分析60315!$A:$M,13,0)</f>
        <v>34</v>
      </c>
      <c r="H41" s="3" t="s">
        <v>10</v>
      </c>
      <c r="I41" s="3" t="s">
        <v>89</v>
      </c>
    </row>
    <row r="42" customHeight="1" spans="1:9">
      <c r="A42" s="4" t="s">
        <v>90</v>
      </c>
      <c r="B42" s="4">
        <f>VLOOKUP($A42,[1]彩未分析60315!$A:$M,8,0)</f>
        <v>33</v>
      </c>
      <c r="C42" s="4">
        <f>VLOOKUP($A42,[1]彩未分析60315!$A:$M,9,0)</f>
        <v>32</v>
      </c>
      <c r="D42" s="4">
        <f>VLOOKUP($A42,[1]彩未分析60315!$A:$M,10,0)</f>
        <v>31</v>
      </c>
      <c r="E42" s="4">
        <f>VLOOKUP($A42,[1]彩未分析60315!$A:$M,11,0)</f>
        <v>29</v>
      </c>
      <c r="F42" s="4">
        <f>VLOOKUP($A42,[1]彩未分析60315!$A:$M,12,0)</f>
        <v>28</v>
      </c>
      <c r="G42" s="4">
        <f>VLOOKUP($A42,[1]彩未分析60315!$A:$M,13,0)</f>
        <v>27</v>
      </c>
      <c r="H42" s="3" t="s">
        <v>10</v>
      </c>
      <c r="I42" s="3" t="s">
        <v>91</v>
      </c>
    </row>
    <row r="43" customHeight="1" spans="1:9">
      <c r="A43" s="4" t="s">
        <v>92</v>
      </c>
      <c r="B43" s="4">
        <f>VLOOKUP($A43,[1]彩未分析60315!$A:$M,8,0)</f>
        <v>36</v>
      </c>
      <c r="C43" s="4">
        <f>VLOOKUP($A43,[1]彩未分析60315!$A:$M,9,0)</f>
        <v>35</v>
      </c>
      <c r="D43" s="4">
        <f>VLOOKUP($A43,[1]彩未分析60315!$A:$M,10,0)</f>
        <v>34</v>
      </c>
      <c r="E43" s="4">
        <f>VLOOKUP($A43,[1]彩未分析60315!$A:$M,11,0)</f>
        <v>32</v>
      </c>
      <c r="F43" s="4">
        <f>VLOOKUP($A43,[1]彩未分析60315!$A:$M,12,0)</f>
        <v>31</v>
      </c>
      <c r="G43" s="4">
        <f>VLOOKUP($A43,[1]彩未分析60315!$A:$M,13,0)</f>
        <v>30</v>
      </c>
      <c r="H43" s="3" t="s">
        <v>10</v>
      </c>
      <c r="I43" s="3" t="s">
        <v>93</v>
      </c>
    </row>
    <row r="44" customHeight="1" spans="1:9">
      <c r="A44" s="4" t="s">
        <v>94</v>
      </c>
      <c r="B44" s="4">
        <f>VLOOKUP($A44,[1]彩未分析60315!$A:$M,8,0)</f>
        <v>31</v>
      </c>
      <c r="C44" s="4">
        <f>VLOOKUP($A44,[1]彩未分析60315!$A:$M,9,0)</f>
        <v>30</v>
      </c>
      <c r="D44" s="4">
        <f>VLOOKUP($A44,[1]彩未分析60315!$A:$M,10,0)</f>
        <v>29</v>
      </c>
      <c r="E44" s="4">
        <f>VLOOKUP($A44,[1]彩未分析60315!$A:$M,11,0)</f>
        <v>28</v>
      </c>
      <c r="F44" s="4">
        <f>VLOOKUP($A44,[1]彩未分析60315!$A:$M,12,0)</f>
        <v>27</v>
      </c>
      <c r="G44" s="4">
        <f>VLOOKUP($A44,[1]彩未分析60315!$A:$M,13,0)</f>
        <v>25</v>
      </c>
      <c r="H44" s="3" t="s">
        <v>10</v>
      </c>
      <c r="I44" s="3" t="s">
        <v>95</v>
      </c>
    </row>
    <row r="45" customHeight="1" spans="1:9">
      <c r="A45" s="4" t="s">
        <v>96</v>
      </c>
      <c r="B45" s="4">
        <f>VLOOKUP($A45,[1]彩未分析60315!$A:$M,8,0)</f>
        <v>42</v>
      </c>
      <c r="C45" s="4">
        <f>VLOOKUP($A45,[1]彩未分析60315!$A:$M,9,0)</f>
        <v>41</v>
      </c>
      <c r="D45" s="4">
        <f>VLOOKUP($A45,[1]彩未分析60315!$A:$M,10,0)</f>
        <v>39</v>
      </c>
      <c r="E45" s="4">
        <f>VLOOKUP($A45,[1]彩未分析60315!$A:$M,11,0)</f>
        <v>38</v>
      </c>
      <c r="F45" s="4">
        <f>VLOOKUP($A45,[1]彩未分析60315!$A:$M,12,0)</f>
        <v>36</v>
      </c>
      <c r="G45" s="4">
        <f>VLOOKUP($A45,[1]彩未分析60315!$A:$M,13,0)</f>
        <v>34</v>
      </c>
      <c r="H45" s="3" t="s">
        <v>10</v>
      </c>
      <c r="I45" s="3" t="s">
        <v>97</v>
      </c>
    </row>
    <row r="46" customHeight="1" spans="1:9">
      <c r="A46" s="4" t="s">
        <v>98</v>
      </c>
      <c r="B46" s="4">
        <f>VLOOKUP($A46,[1]彩未分析60315!$A:$M,8,0)</f>
        <v>40</v>
      </c>
      <c r="C46" s="4">
        <f>VLOOKUP($A46,[1]彩未分析60315!$A:$M,9,0)</f>
        <v>39</v>
      </c>
      <c r="D46" s="4">
        <f>VLOOKUP($A46,[1]彩未分析60315!$A:$M,10,0)</f>
        <v>37</v>
      </c>
      <c r="E46" s="4">
        <f>VLOOKUP($A46,[1]彩未分析60315!$A:$M,11,0)</f>
        <v>36</v>
      </c>
      <c r="F46" s="4">
        <f>VLOOKUP($A46,[1]彩未分析60315!$A:$M,12,0)</f>
        <v>34</v>
      </c>
      <c r="G46" s="4">
        <f>VLOOKUP($A46,[1]彩未分析60315!$A:$M,13,0)</f>
        <v>33</v>
      </c>
      <c r="H46" s="3" t="s">
        <v>10</v>
      </c>
      <c r="I46" s="3" t="s">
        <v>99</v>
      </c>
    </row>
    <row r="47" customHeight="1" spans="1:9">
      <c r="A47" s="4" t="s">
        <v>100</v>
      </c>
      <c r="B47" s="4">
        <f>VLOOKUP($A47,[1]彩未分析60315!$A:$M,8,0)</f>
        <v>93</v>
      </c>
      <c r="C47" s="4">
        <f>VLOOKUP($A47,[1]彩未分析60315!$A:$M,9,0)</f>
        <v>92</v>
      </c>
      <c r="D47" s="4">
        <f>VLOOKUP($A47,[1]彩未分析60315!$A:$M,10,0)</f>
        <v>90</v>
      </c>
      <c r="E47" s="4">
        <f>VLOOKUP($A47,[1]彩未分析60315!$A:$M,11,0)</f>
        <v>89</v>
      </c>
      <c r="F47" s="4">
        <f>VLOOKUP($A47,[1]彩未分析60315!$A:$M,12,0)</f>
        <v>88</v>
      </c>
      <c r="G47" s="4">
        <f>VLOOKUP($A47,[1]彩未分析60315!$A:$M,13,0)</f>
        <v>86</v>
      </c>
      <c r="H47" s="3" t="s">
        <v>39</v>
      </c>
      <c r="I47" s="3" t="s">
        <v>101</v>
      </c>
    </row>
    <row r="48" customHeight="1" spans="1:9">
      <c r="A48" s="4" t="s">
        <v>102</v>
      </c>
      <c r="B48" s="4">
        <f>VLOOKUP($A48,[1]彩未分析60315!$A:$M,8,0)</f>
        <v>41</v>
      </c>
      <c r="C48" s="4">
        <f>VLOOKUP($A48,[1]彩未分析60315!$A:$M,9,0)</f>
        <v>40</v>
      </c>
      <c r="D48" s="4">
        <f>VLOOKUP($A48,[1]彩未分析60315!$A:$M,10,0)</f>
        <v>38</v>
      </c>
      <c r="E48" s="4">
        <f>VLOOKUP($A48,[1]彩未分析60315!$A:$M,11,0)</f>
        <v>37</v>
      </c>
      <c r="F48" s="4">
        <f>VLOOKUP($A48,[1]彩未分析60315!$A:$M,12,0)</f>
        <v>35</v>
      </c>
      <c r="G48" s="4">
        <f>VLOOKUP($A48,[1]彩未分析60315!$A:$M,13,0)</f>
        <v>34</v>
      </c>
      <c r="H48" s="3" t="s">
        <v>10</v>
      </c>
      <c r="I48" s="3" t="s">
        <v>103</v>
      </c>
    </row>
    <row r="49" customHeight="1" spans="1:9">
      <c r="A49" s="4" t="s">
        <v>104</v>
      </c>
      <c r="B49" s="4">
        <f>VLOOKUP($A49,[1]彩未分析60315!$A:$M,8,0)</f>
        <v>46</v>
      </c>
      <c r="C49" s="4">
        <f>VLOOKUP($A49,[1]彩未分析60315!$A:$M,9,0)</f>
        <v>45</v>
      </c>
      <c r="D49" s="4">
        <f>VLOOKUP($A49,[1]彩未分析60315!$A:$M,10,0)</f>
        <v>43</v>
      </c>
      <c r="E49" s="4">
        <f>VLOOKUP($A49,[1]彩未分析60315!$A:$M,11,0)</f>
        <v>41</v>
      </c>
      <c r="F49" s="4">
        <f>VLOOKUP($A49,[1]彩未分析60315!$A:$M,12,0)</f>
        <v>40</v>
      </c>
      <c r="G49" s="4">
        <f>VLOOKUP($A49,[1]彩未分析60315!$A:$M,13,0)</f>
        <v>38</v>
      </c>
      <c r="H49" s="3" t="s">
        <v>10</v>
      </c>
      <c r="I49" s="3" t="s">
        <v>105</v>
      </c>
    </row>
    <row r="50" customHeight="1" spans="1:9">
      <c r="A50" s="4" t="s">
        <v>106</v>
      </c>
      <c r="B50" s="4">
        <f>VLOOKUP($A50,[1]彩未分析60315!$A:$M,8,0)</f>
        <v>39</v>
      </c>
      <c r="C50" s="4">
        <f>VLOOKUP($A50,[1]彩未分析60315!$A:$M,9,0)</f>
        <v>38</v>
      </c>
      <c r="D50" s="4">
        <f>VLOOKUP($A50,[1]彩未分析60315!$A:$M,10,0)</f>
        <v>38</v>
      </c>
      <c r="E50" s="4">
        <f>VLOOKUP($A50,[1]彩未分析60315!$A:$M,11,0)</f>
        <v>37</v>
      </c>
      <c r="F50" s="4">
        <f>VLOOKUP($A50,[1]彩未分析60315!$A:$M,12,0)</f>
        <v>37</v>
      </c>
      <c r="G50" s="4">
        <f>VLOOKUP($A50,[1]彩未分析60315!$A:$M,13,0)</f>
        <v>36</v>
      </c>
      <c r="H50" s="3" t="s">
        <v>39</v>
      </c>
      <c r="I50" s="3" t="s">
        <v>107</v>
      </c>
    </row>
    <row r="51" customHeight="1" spans="1:9">
      <c r="A51" s="4" t="s">
        <v>108</v>
      </c>
      <c r="B51" s="4">
        <f>VLOOKUP($A51,[1]彩未分析60315!$A:$M,8,0)</f>
        <v>33</v>
      </c>
      <c r="C51" s="4">
        <f>VLOOKUP($A51,[1]彩未分析60315!$A:$M,9,0)</f>
        <v>32</v>
      </c>
      <c r="D51" s="4">
        <f>VLOOKUP($A51,[1]彩未分析60315!$A:$M,10,0)</f>
        <v>31</v>
      </c>
      <c r="E51" s="4">
        <f>VLOOKUP($A51,[1]彩未分析60315!$A:$M,11,0)</f>
        <v>30</v>
      </c>
      <c r="F51" s="4">
        <f>VLOOKUP($A51,[1]彩未分析60315!$A:$M,12,0)</f>
        <v>29</v>
      </c>
      <c r="G51" s="4">
        <f>VLOOKUP($A51,[1]彩未分析60315!$A:$M,13,0)</f>
        <v>27</v>
      </c>
      <c r="H51" s="3" t="s">
        <v>10</v>
      </c>
      <c r="I51" s="3" t="s">
        <v>109</v>
      </c>
    </row>
    <row r="52" customHeight="1" spans="1:9">
      <c r="A52" s="4" t="s">
        <v>110</v>
      </c>
      <c r="B52" s="4">
        <f>VLOOKUP($A52,[1]彩未分析60315!$A:$M,8,0)</f>
        <v>30</v>
      </c>
      <c r="C52" s="4">
        <f>VLOOKUP($A52,[1]彩未分析60315!$A:$M,9,0)</f>
        <v>29</v>
      </c>
      <c r="D52" s="4">
        <f>VLOOKUP($A52,[1]彩未分析60315!$A:$M,10,0)</f>
        <v>28</v>
      </c>
      <c r="E52" s="4">
        <f>VLOOKUP($A52,[1]彩未分析60315!$A:$M,11,0)</f>
        <v>27</v>
      </c>
      <c r="F52" s="4">
        <f>VLOOKUP($A52,[1]彩未分析60315!$A:$M,12,0)</f>
        <v>25</v>
      </c>
      <c r="G52" s="4">
        <f>VLOOKUP($A52,[1]彩未分析60315!$A:$M,13,0)</f>
        <v>24</v>
      </c>
      <c r="H52" s="3" t="s">
        <v>10</v>
      </c>
      <c r="I52" s="3" t="s">
        <v>111</v>
      </c>
    </row>
    <row r="53" customHeight="1" spans="1:9">
      <c r="A53" s="4" t="s">
        <v>112</v>
      </c>
      <c r="B53" s="4">
        <f>VLOOKUP($A53,[1]彩未分析60315!$A:$M,8,0)</f>
        <v>23</v>
      </c>
      <c r="C53" s="4">
        <f>VLOOKUP($A53,[1]彩未分析60315!$A:$M,9,0)</f>
        <v>22</v>
      </c>
      <c r="D53" s="4">
        <f>VLOOKUP($A53,[1]彩未分析60315!$A:$M,10,0)</f>
        <v>22</v>
      </c>
      <c r="E53" s="4">
        <f>VLOOKUP($A53,[1]彩未分析60315!$A:$M,11,0)</f>
        <v>21</v>
      </c>
      <c r="F53" s="4">
        <f>VLOOKUP($A53,[1]彩未分析60315!$A:$M,12,0)</f>
        <v>20</v>
      </c>
      <c r="G53" s="4">
        <f>VLOOKUP($A53,[1]彩未分析60315!$A:$M,13,0)</f>
        <v>19</v>
      </c>
      <c r="H53" s="3" t="s">
        <v>10</v>
      </c>
      <c r="I53" s="3" t="s">
        <v>113</v>
      </c>
    </row>
    <row r="54" customHeight="1" spans="1:9">
      <c r="A54" s="4" t="s">
        <v>114</v>
      </c>
      <c r="B54" s="4">
        <f>VLOOKUP($A54,[1]彩未分析60315!$A:$M,8,0)</f>
        <v>24</v>
      </c>
      <c r="C54" s="4">
        <f>VLOOKUP($A54,[1]彩未分析60315!$A:$M,9,0)</f>
        <v>23</v>
      </c>
      <c r="D54" s="4">
        <f>VLOOKUP($A54,[1]彩未分析60315!$A:$M,10,0)</f>
        <v>22</v>
      </c>
      <c r="E54" s="4">
        <f>VLOOKUP($A54,[1]彩未分析60315!$A:$M,11,0)</f>
        <v>21</v>
      </c>
      <c r="F54" s="4">
        <f>VLOOKUP($A54,[1]彩未分析60315!$A:$M,12,0)</f>
        <v>20</v>
      </c>
      <c r="G54" s="4">
        <f>VLOOKUP($A54,[1]彩未分析60315!$A:$M,13,0)</f>
        <v>19</v>
      </c>
      <c r="H54" s="3" t="s">
        <v>10</v>
      </c>
      <c r="I54" s="3" t="s">
        <v>115</v>
      </c>
    </row>
    <row r="55" customHeight="1" spans="1:9">
      <c r="A55" s="4" t="s">
        <v>116</v>
      </c>
      <c r="B55" s="4">
        <f>VLOOKUP($A55,[1]彩未分析60315!$A:$M,8,0)</f>
        <v>33</v>
      </c>
      <c r="C55" s="4">
        <f>VLOOKUP($A55,[1]彩未分析60315!$A:$M,9,0)</f>
        <v>32</v>
      </c>
      <c r="D55" s="4">
        <f>VLOOKUP($A55,[1]彩未分析60315!$A:$M,10,0)</f>
        <v>31</v>
      </c>
      <c r="E55" s="4">
        <f>VLOOKUP($A55,[1]彩未分析60315!$A:$M,11,0)</f>
        <v>30</v>
      </c>
      <c r="F55" s="4">
        <f>VLOOKUP($A55,[1]彩未分析60315!$A:$M,12,0)</f>
        <v>29</v>
      </c>
      <c r="G55" s="4">
        <f>VLOOKUP($A55,[1]彩未分析60315!$A:$M,13,0)</f>
        <v>27</v>
      </c>
      <c r="H55" s="3" t="s">
        <v>10</v>
      </c>
      <c r="I55" s="3" t="s">
        <v>117</v>
      </c>
    </row>
    <row r="56" customHeight="1" spans="1:9">
      <c r="A56" s="4" t="s">
        <v>118</v>
      </c>
      <c r="B56" s="4">
        <f>VLOOKUP($A56,[1]彩未分析60315!$A:$M,8,0)</f>
        <v>42</v>
      </c>
      <c r="C56" s="4">
        <f>VLOOKUP($A56,[1]彩未分析60315!$A:$M,9,0)</f>
        <v>41</v>
      </c>
      <c r="D56" s="4">
        <f>VLOOKUP($A56,[1]彩未分析60315!$A:$M,10,0)</f>
        <v>39</v>
      </c>
      <c r="E56" s="4">
        <f>VLOOKUP($A56,[1]彩未分析60315!$A:$M,11,0)</f>
        <v>37</v>
      </c>
      <c r="F56" s="4">
        <f>VLOOKUP($A56,[1]彩未分析60315!$A:$M,12,0)</f>
        <v>36</v>
      </c>
      <c r="G56" s="4">
        <f>VLOOKUP($A56,[1]彩未分析60315!$A:$M,13,0)</f>
        <v>34</v>
      </c>
      <c r="H56" s="3" t="s">
        <v>10</v>
      </c>
      <c r="I56" s="3" t="s">
        <v>119</v>
      </c>
    </row>
    <row r="57" customHeight="1" spans="1:9">
      <c r="A57" s="4" t="s">
        <v>120</v>
      </c>
      <c r="B57" s="4">
        <f>VLOOKUP($A57,[1]彩未分析60315!$A:$M,8,0)</f>
        <v>38</v>
      </c>
      <c r="C57" s="4">
        <f>VLOOKUP($A57,[1]彩未分析60315!$A:$M,9,0)</f>
        <v>36</v>
      </c>
      <c r="D57" s="4">
        <f>VLOOKUP($A57,[1]彩未分析60315!$A:$M,10,0)</f>
        <v>35</v>
      </c>
      <c r="E57" s="4">
        <f>VLOOKUP($A57,[1]彩未分析60315!$A:$M,11,0)</f>
        <v>33</v>
      </c>
      <c r="F57" s="4">
        <f>VLOOKUP($A57,[1]彩未分析60315!$A:$M,12,0)</f>
        <v>32</v>
      </c>
      <c r="G57" s="4">
        <f>VLOOKUP($A57,[1]彩未分析60315!$A:$M,13,0)</f>
        <v>31</v>
      </c>
      <c r="H57" s="3" t="s">
        <v>10</v>
      </c>
      <c r="I57" s="3" t="s">
        <v>121</v>
      </c>
    </row>
    <row r="58" customHeight="1" spans="1:9">
      <c r="A58" s="4" t="s">
        <v>122</v>
      </c>
      <c r="B58" s="4">
        <f>VLOOKUP($A58,[1]彩未分析60315!$A:$M,8,0)</f>
        <v>31</v>
      </c>
      <c r="C58" s="4">
        <f>VLOOKUP($A58,[1]彩未分析60315!$A:$M,9,0)</f>
        <v>30</v>
      </c>
      <c r="D58" s="4">
        <f>VLOOKUP($A58,[1]彩未分析60315!$A:$M,10,0)</f>
        <v>29</v>
      </c>
      <c r="E58" s="4">
        <f>VLOOKUP($A58,[1]彩未分析60315!$A:$M,11,0)</f>
        <v>27</v>
      </c>
      <c r="F58" s="4">
        <f>VLOOKUP($A58,[1]彩未分析60315!$A:$M,12,0)</f>
        <v>26</v>
      </c>
      <c r="G58" s="4">
        <f>VLOOKUP($A58,[1]彩未分析60315!$A:$M,13,0)</f>
        <v>25</v>
      </c>
      <c r="H58" s="3" t="s">
        <v>10</v>
      </c>
      <c r="I58" s="3" t="s">
        <v>123</v>
      </c>
    </row>
    <row r="59" customHeight="1" spans="1:9">
      <c r="A59" s="4" t="s">
        <v>124</v>
      </c>
      <c r="B59" s="4">
        <f>VLOOKUP($A59,[1]彩未分析60315!$A:$M,8,0)</f>
        <v>37</v>
      </c>
      <c r="C59" s="4">
        <f>VLOOKUP($A59,[1]彩未分析60315!$A:$M,9,0)</f>
        <v>36</v>
      </c>
      <c r="D59" s="4">
        <f>VLOOKUP($A59,[1]彩未分析60315!$A:$M,10,0)</f>
        <v>34</v>
      </c>
      <c r="E59" s="4">
        <f>VLOOKUP($A59,[1]彩未分析60315!$A:$M,11,0)</f>
        <v>33</v>
      </c>
      <c r="F59" s="4">
        <f>VLOOKUP($A59,[1]彩未分析60315!$A:$M,12,0)</f>
        <v>32</v>
      </c>
      <c r="G59" s="4">
        <f>VLOOKUP($A59,[1]彩未分析60315!$A:$M,13,0)</f>
        <v>30</v>
      </c>
      <c r="H59" s="3" t="s">
        <v>10</v>
      </c>
      <c r="I59" s="3" t="s">
        <v>125</v>
      </c>
    </row>
    <row r="60" customHeight="1" spans="1:9">
      <c r="A60" s="4" t="s">
        <v>126</v>
      </c>
      <c r="B60" s="4">
        <f>VLOOKUP($A60,[1]彩未分析60315!$A:$M,8,0)</f>
        <v>44</v>
      </c>
      <c r="C60" s="4">
        <f>VLOOKUP($A60,[1]彩未分析60315!$A:$M,9,0)</f>
        <v>42</v>
      </c>
      <c r="D60" s="4">
        <f>VLOOKUP($A60,[1]彩未分析60315!$A:$M,10,0)</f>
        <v>40</v>
      </c>
      <c r="E60" s="4">
        <f>VLOOKUP($A60,[1]彩未分析60315!$A:$M,11,0)</f>
        <v>39</v>
      </c>
      <c r="F60" s="4">
        <f>VLOOKUP($A60,[1]彩未分析60315!$A:$M,12,0)</f>
        <v>37</v>
      </c>
      <c r="G60" s="4">
        <f>VLOOKUP($A60,[1]彩未分析60315!$A:$M,13,0)</f>
        <v>36</v>
      </c>
      <c r="H60" s="3" t="s">
        <v>10</v>
      </c>
      <c r="I60" s="3" t="s">
        <v>127</v>
      </c>
    </row>
    <row r="61" customHeight="1" spans="1:9">
      <c r="A61" s="4" t="s">
        <v>128</v>
      </c>
      <c r="B61" s="4">
        <f>VLOOKUP($A61,[1]彩未分析60315!$A:$M,8,0)</f>
        <v>37</v>
      </c>
      <c r="C61" s="4">
        <f>VLOOKUP($A61,[1]彩未分析60315!$A:$M,9,0)</f>
        <v>36</v>
      </c>
      <c r="D61" s="4">
        <f>VLOOKUP($A61,[1]彩未分析60315!$A:$M,10,0)</f>
        <v>35</v>
      </c>
      <c r="E61" s="4">
        <f>VLOOKUP($A61,[1]彩未分析60315!$A:$M,11,0)</f>
        <v>33</v>
      </c>
      <c r="F61" s="4">
        <f>VLOOKUP($A61,[1]彩未分析60315!$A:$M,12,0)</f>
        <v>32</v>
      </c>
      <c r="G61" s="4">
        <f>VLOOKUP($A61,[1]彩未分析60315!$A:$M,13,0)</f>
        <v>31</v>
      </c>
      <c r="H61" s="3" t="s">
        <v>10</v>
      </c>
      <c r="I61" s="3" t="s">
        <v>129</v>
      </c>
    </row>
    <row r="62" customHeight="1" spans="1:9">
      <c r="A62" s="4" t="s">
        <v>130</v>
      </c>
      <c r="B62" s="4">
        <f>VLOOKUP($A62,[1]彩未分析60315!$A:$M,8,0)</f>
        <v>47</v>
      </c>
      <c r="C62" s="4">
        <f>VLOOKUP($A62,[1]彩未分析60315!$A:$M,9,0)</f>
        <v>45</v>
      </c>
      <c r="D62" s="4">
        <f>VLOOKUP($A62,[1]彩未分析60315!$A:$M,10,0)</f>
        <v>44</v>
      </c>
      <c r="E62" s="4">
        <f>VLOOKUP($A62,[1]彩未分析60315!$A:$M,11,0)</f>
        <v>42</v>
      </c>
      <c r="F62" s="4">
        <f>VLOOKUP($A62,[1]彩未分析60315!$A:$M,12,0)</f>
        <v>40</v>
      </c>
      <c r="G62" s="4">
        <f>VLOOKUP($A62,[1]彩未分析60315!$A:$M,13,0)</f>
        <v>38</v>
      </c>
      <c r="H62" s="3" t="s">
        <v>10</v>
      </c>
      <c r="I62" s="3" t="s">
        <v>131</v>
      </c>
    </row>
    <row r="63" customHeight="1" spans="1:9">
      <c r="A63" s="4" t="s">
        <v>132</v>
      </c>
      <c r="B63" s="4">
        <f>VLOOKUP($A63,[1]彩未分析60315!$A:$M,8,0)</f>
        <v>41</v>
      </c>
      <c r="C63" s="4">
        <f>VLOOKUP($A63,[1]彩未分析60315!$A:$M,9,0)</f>
        <v>40</v>
      </c>
      <c r="D63" s="4">
        <f>VLOOKUP($A63,[1]彩未分析60315!$A:$M,10,0)</f>
        <v>38</v>
      </c>
      <c r="E63" s="4">
        <f>VLOOKUP($A63,[1]彩未分析60315!$A:$M,11,0)</f>
        <v>37</v>
      </c>
      <c r="F63" s="4">
        <f>VLOOKUP($A63,[1]彩未分析60315!$A:$M,12,0)</f>
        <v>35</v>
      </c>
      <c r="G63" s="4">
        <f>VLOOKUP($A63,[1]彩未分析60315!$A:$M,13,0)</f>
        <v>34</v>
      </c>
      <c r="H63" s="3" t="s">
        <v>10</v>
      </c>
      <c r="I63" s="3" t="s">
        <v>133</v>
      </c>
    </row>
    <row r="64" customHeight="1" spans="1:9">
      <c r="A64" s="4" t="s">
        <v>134</v>
      </c>
      <c r="B64" s="4">
        <f>VLOOKUP($A64,[1]彩未分析60315!$A:$M,8,0)</f>
        <v>33</v>
      </c>
      <c r="C64" s="4">
        <f>VLOOKUP($A64,[1]彩未分析60315!$A:$M,9,0)</f>
        <v>32</v>
      </c>
      <c r="D64" s="4">
        <f>VLOOKUP($A64,[1]彩未分析60315!$A:$M,10,0)</f>
        <v>30</v>
      </c>
      <c r="E64" s="4">
        <f>VLOOKUP($A64,[1]彩未分析60315!$A:$M,11,0)</f>
        <v>29</v>
      </c>
      <c r="F64" s="4">
        <f>VLOOKUP($A64,[1]彩未分析60315!$A:$M,12,0)</f>
        <v>28</v>
      </c>
      <c r="G64" s="4">
        <f>VLOOKUP($A64,[1]彩未分析60315!$A:$M,13,0)</f>
        <v>27</v>
      </c>
      <c r="H64" s="3" t="s">
        <v>10</v>
      </c>
      <c r="I64" s="3" t="s">
        <v>135</v>
      </c>
    </row>
    <row r="65" customHeight="1" spans="1:9">
      <c r="A65" s="4" t="s">
        <v>136</v>
      </c>
      <c r="B65" s="4">
        <f>VLOOKUP($A65,[1]彩未分析60315!$A:$M,8,0)</f>
        <v>25</v>
      </c>
      <c r="C65" s="4">
        <f>VLOOKUP($A65,[1]彩未分析60315!$A:$M,9,0)</f>
        <v>24</v>
      </c>
      <c r="D65" s="4">
        <f>VLOOKUP($A65,[1]彩未分析60315!$A:$M,10,0)</f>
        <v>23</v>
      </c>
      <c r="E65" s="4">
        <f>VLOOKUP($A65,[1]彩未分析60315!$A:$M,11,0)</f>
        <v>22</v>
      </c>
      <c r="F65" s="4">
        <f>VLOOKUP($A65,[1]彩未分析60315!$A:$M,12,0)</f>
        <v>21</v>
      </c>
      <c r="G65" s="4">
        <f>VLOOKUP($A65,[1]彩未分析60315!$A:$M,13,0)</f>
        <v>20</v>
      </c>
      <c r="H65" s="3" t="s">
        <v>10</v>
      </c>
      <c r="I65" s="3" t="s">
        <v>137</v>
      </c>
    </row>
    <row r="66" customHeight="1" spans="1:9">
      <c r="A66" s="4" t="s">
        <v>138</v>
      </c>
      <c r="B66" s="4">
        <f>VLOOKUP($A66,[1]彩未分析60315!$A:$M,8,0)</f>
        <v>32</v>
      </c>
      <c r="C66" s="4">
        <f>VLOOKUP($A66,[1]彩未分析60315!$A:$M,9,0)</f>
        <v>31</v>
      </c>
      <c r="D66" s="4">
        <f>VLOOKUP($A66,[1]彩未分析60315!$A:$M,10,0)</f>
        <v>30</v>
      </c>
      <c r="E66" s="4">
        <f>VLOOKUP($A66,[1]彩未分析60315!$A:$M,11,0)</f>
        <v>29</v>
      </c>
      <c r="F66" s="4">
        <f>VLOOKUP($A66,[1]彩未分析60315!$A:$M,12,0)</f>
        <v>27</v>
      </c>
      <c r="G66" s="4">
        <f>VLOOKUP($A66,[1]彩未分析60315!$A:$M,13,0)</f>
        <v>26</v>
      </c>
      <c r="H66" s="3" t="s">
        <v>10</v>
      </c>
      <c r="I66" s="3" t="s">
        <v>139</v>
      </c>
    </row>
    <row r="67" customHeight="1" spans="1:9">
      <c r="A67" s="4" t="s">
        <v>140</v>
      </c>
      <c r="B67" s="4">
        <f>VLOOKUP($A67,[1]彩未分析60315!$A:$M,8,0)</f>
        <v>36</v>
      </c>
      <c r="C67" s="4">
        <f>VLOOKUP($A67,[1]彩未分析60315!$A:$M,9,0)</f>
        <v>35</v>
      </c>
      <c r="D67" s="4">
        <f>VLOOKUP($A67,[1]彩未分析60315!$A:$M,10,0)</f>
        <v>34</v>
      </c>
      <c r="E67" s="4">
        <f>VLOOKUP($A67,[1]彩未分析60315!$A:$M,11,0)</f>
        <v>32</v>
      </c>
      <c r="F67" s="4">
        <f>VLOOKUP($A67,[1]彩未分析60315!$A:$M,12,0)</f>
        <v>31</v>
      </c>
      <c r="G67" s="4">
        <f>VLOOKUP($A67,[1]彩未分析60315!$A:$M,13,0)</f>
        <v>30</v>
      </c>
      <c r="H67" s="3" t="s">
        <v>10</v>
      </c>
      <c r="I67" s="3" t="s">
        <v>141</v>
      </c>
    </row>
    <row r="68" customHeight="1" spans="1:9">
      <c r="A68" s="4" t="s">
        <v>142</v>
      </c>
      <c r="B68" s="4">
        <f>VLOOKUP($A68,[1]彩未分析60315!$A:$M,8,0)</f>
        <v>44</v>
      </c>
      <c r="C68" s="4">
        <f>VLOOKUP($A68,[1]彩未分析60315!$A:$M,9,0)</f>
        <v>42</v>
      </c>
      <c r="D68" s="4">
        <f>VLOOKUP($A68,[1]彩未分析60315!$A:$M,10,0)</f>
        <v>41</v>
      </c>
      <c r="E68" s="4">
        <f>VLOOKUP($A68,[1]彩未分析60315!$A:$M,11,0)</f>
        <v>39</v>
      </c>
      <c r="F68" s="4">
        <f>VLOOKUP($A68,[1]彩未分析60315!$A:$M,12,0)</f>
        <v>38</v>
      </c>
      <c r="G68" s="4">
        <f>VLOOKUP($A68,[1]彩未分析60315!$A:$M,13,0)</f>
        <v>36</v>
      </c>
      <c r="H68" s="3" t="s">
        <v>10</v>
      </c>
      <c r="I68" s="3" t="s">
        <v>143</v>
      </c>
    </row>
    <row r="69" customHeight="1" spans="1:9">
      <c r="A69" s="4" t="s">
        <v>144</v>
      </c>
      <c r="B69" s="4">
        <f>VLOOKUP($A69,[1]彩未分析60315!$A:$M,8,0)</f>
        <v>29</v>
      </c>
      <c r="C69" s="4">
        <f>VLOOKUP($A69,[1]彩未分析60315!$A:$M,9,0)</f>
        <v>28</v>
      </c>
      <c r="D69" s="4">
        <f>VLOOKUP($A69,[1]彩未分析60315!$A:$M,10,0)</f>
        <v>26</v>
      </c>
      <c r="E69" s="4">
        <f>VLOOKUP($A69,[1]彩未分析60315!$A:$M,11,0)</f>
        <v>25</v>
      </c>
      <c r="F69" s="4">
        <f>VLOOKUP($A69,[1]彩未分析60315!$A:$M,12,0)</f>
        <v>24</v>
      </c>
      <c r="G69" s="4">
        <f>VLOOKUP($A69,[1]彩未分析60315!$A:$M,13,0)</f>
        <v>23</v>
      </c>
      <c r="H69" s="3" t="s">
        <v>10</v>
      </c>
      <c r="I69" s="3" t="s">
        <v>145</v>
      </c>
    </row>
    <row r="70" customHeight="1" spans="1:9">
      <c r="A70" s="4" t="s">
        <v>146</v>
      </c>
      <c r="B70" s="4">
        <f>VLOOKUP($A70,[1]彩未分析60315!$A:$M,8,0)</f>
        <v>36</v>
      </c>
      <c r="C70" s="4">
        <f>VLOOKUP($A70,[1]彩未分析60315!$A:$M,9,0)</f>
        <v>35</v>
      </c>
      <c r="D70" s="4">
        <f>VLOOKUP($A70,[1]彩未分析60315!$A:$M,10,0)</f>
        <v>33</v>
      </c>
      <c r="E70" s="4">
        <f>VLOOKUP($A70,[1]彩未分析60315!$A:$M,11,0)</f>
        <v>32</v>
      </c>
      <c r="F70" s="4">
        <f>VLOOKUP($A70,[1]彩未分析60315!$A:$M,12,0)</f>
        <v>31</v>
      </c>
      <c r="G70" s="4">
        <f>VLOOKUP($A70,[1]彩未分析60315!$A:$M,13,0)</f>
        <v>30</v>
      </c>
      <c r="H70" s="3" t="s">
        <v>10</v>
      </c>
      <c r="I70" s="3" t="s">
        <v>147</v>
      </c>
    </row>
    <row r="71" customHeight="1" spans="1:9">
      <c r="A71" s="4" t="s">
        <v>148</v>
      </c>
      <c r="B71" s="4">
        <f>VLOOKUP($A71,[1]彩未分析60315!$A:$M,8,0)</f>
        <v>27</v>
      </c>
      <c r="C71" s="4">
        <f>VLOOKUP($A71,[1]彩未分析60315!$A:$M,9,0)</f>
        <v>26</v>
      </c>
      <c r="D71" s="4">
        <f>VLOOKUP($A71,[1]彩未分析60315!$A:$M,10,0)</f>
        <v>25</v>
      </c>
      <c r="E71" s="4">
        <f>VLOOKUP($A71,[1]彩未分析60315!$A:$M,11,0)</f>
        <v>24</v>
      </c>
      <c r="F71" s="4">
        <f>VLOOKUP($A71,[1]彩未分析60315!$A:$M,12,0)</f>
        <v>23</v>
      </c>
      <c r="G71" s="4">
        <f>VLOOKUP($A71,[1]彩未分析60315!$A:$M,13,0)</f>
        <v>22</v>
      </c>
      <c r="H71" s="3" t="s">
        <v>10</v>
      </c>
      <c r="I71" s="3" t="s">
        <v>149</v>
      </c>
    </row>
    <row r="72" customHeight="1" spans="1:9">
      <c r="A72" s="4" t="s">
        <v>150</v>
      </c>
      <c r="B72" s="4">
        <f>VLOOKUP($A72,[1]彩未分析60315!$A:$M,8,0)</f>
        <v>49</v>
      </c>
      <c r="C72" s="4">
        <f>VLOOKUP($A72,[1]彩未分析60315!$A:$M,9,0)</f>
        <v>47</v>
      </c>
      <c r="D72" s="4">
        <f>VLOOKUP($A72,[1]彩未分析60315!$A:$M,10,0)</f>
        <v>45</v>
      </c>
      <c r="E72" s="4">
        <f>VLOOKUP($A72,[1]彩未分析60315!$A:$M,11,0)</f>
        <v>43</v>
      </c>
      <c r="F72" s="4">
        <f>VLOOKUP($A72,[1]彩未分析60315!$A:$M,12,0)</f>
        <v>42</v>
      </c>
      <c r="G72" s="4">
        <f>VLOOKUP($A72,[1]彩未分析60315!$A:$M,13,0)</f>
        <v>40</v>
      </c>
      <c r="H72" s="3" t="s">
        <v>10</v>
      </c>
      <c r="I72" s="3" t="s">
        <v>151</v>
      </c>
    </row>
    <row r="73" customHeight="1" spans="1:9">
      <c r="A73" s="4" t="s">
        <v>152</v>
      </c>
      <c r="B73" s="4">
        <f>VLOOKUP($A73,[1]彩未分析60315!$A:$M,8,0)</f>
        <v>35</v>
      </c>
      <c r="C73" s="4">
        <f>VLOOKUP($A73,[1]彩未分析60315!$A:$M,9,0)</f>
        <v>33</v>
      </c>
      <c r="D73" s="4">
        <f>VLOOKUP($A73,[1]彩未分析60315!$A:$M,10,0)</f>
        <v>32</v>
      </c>
      <c r="E73" s="4">
        <f>VLOOKUP($A73,[1]彩未分析60315!$A:$M,11,0)</f>
        <v>31</v>
      </c>
      <c r="F73" s="4">
        <f>VLOOKUP($A73,[1]彩未分析60315!$A:$M,12,0)</f>
        <v>30</v>
      </c>
      <c r="G73" s="4">
        <f>VLOOKUP($A73,[1]彩未分析60315!$A:$M,13,0)</f>
        <v>28</v>
      </c>
      <c r="H73" s="3" t="s">
        <v>10</v>
      </c>
      <c r="I73" s="3" t="s">
        <v>153</v>
      </c>
    </row>
    <row r="74" customHeight="1" spans="1:9">
      <c r="A74" s="4" t="s">
        <v>154</v>
      </c>
      <c r="B74" s="4">
        <f>VLOOKUP($A74,[1]彩未分析60315!$A:$M,8,0)</f>
        <v>31</v>
      </c>
      <c r="C74" s="4">
        <f>VLOOKUP($A74,[1]彩未分析60315!$A:$M,9,0)</f>
        <v>30</v>
      </c>
      <c r="D74" s="4">
        <f>VLOOKUP($A74,[1]彩未分析60315!$A:$M,10,0)</f>
        <v>29</v>
      </c>
      <c r="E74" s="4">
        <f>VLOOKUP($A74,[1]彩未分析60315!$A:$M,11,0)</f>
        <v>28</v>
      </c>
      <c r="F74" s="4">
        <f>VLOOKUP($A74,[1]彩未分析60315!$A:$M,12,0)</f>
        <v>27</v>
      </c>
      <c r="G74" s="4">
        <f>VLOOKUP($A74,[1]彩未分析60315!$A:$M,13,0)</f>
        <v>26</v>
      </c>
      <c r="H74" s="3" t="s">
        <v>10</v>
      </c>
      <c r="I74" s="3" t="s">
        <v>155</v>
      </c>
    </row>
    <row r="75" customHeight="1" spans="1:9">
      <c r="A75" s="4" t="s">
        <v>156</v>
      </c>
      <c r="B75" s="4">
        <f>VLOOKUP($A75,[1]彩未分析60315!$A:$M,8,0)</f>
        <v>49</v>
      </c>
      <c r="C75" s="4">
        <f>VLOOKUP($A75,[1]彩未分析60315!$A:$M,9,0)</f>
        <v>48</v>
      </c>
      <c r="D75" s="4">
        <f>VLOOKUP($A75,[1]彩未分析60315!$A:$M,10,0)</f>
        <v>46</v>
      </c>
      <c r="E75" s="4">
        <f>VLOOKUP($A75,[1]彩未分析60315!$A:$M,11,0)</f>
        <v>44</v>
      </c>
      <c r="F75" s="4">
        <f>VLOOKUP($A75,[1]彩未分析60315!$A:$M,12,0)</f>
        <v>42</v>
      </c>
      <c r="G75" s="4">
        <f>VLOOKUP($A75,[1]彩未分析60315!$A:$M,13,0)</f>
        <v>40</v>
      </c>
      <c r="H75" s="3" t="s">
        <v>10</v>
      </c>
      <c r="I75" s="3" t="s">
        <v>157</v>
      </c>
    </row>
    <row r="76" customHeight="1" spans="1:9">
      <c r="A76" s="4" t="s">
        <v>158</v>
      </c>
      <c r="B76" s="4">
        <f>VLOOKUP($A76,[1]彩未分析60315!$A:$M,8,0)</f>
        <v>36</v>
      </c>
      <c r="C76" s="4">
        <f>VLOOKUP($A76,[1]彩未分析60315!$A:$M,9,0)</f>
        <v>34</v>
      </c>
      <c r="D76" s="4">
        <f>VLOOKUP($A76,[1]彩未分析60315!$A:$M,10,0)</f>
        <v>33</v>
      </c>
      <c r="E76" s="4">
        <f>VLOOKUP($A76,[1]彩未分析60315!$A:$M,11,0)</f>
        <v>32</v>
      </c>
      <c r="F76" s="4">
        <f>VLOOKUP($A76,[1]彩未分析60315!$A:$M,12,0)</f>
        <v>31</v>
      </c>
      <c r="G76" s="4">
        <f>VLOOKUP($A76,[1]彩未分析60315!$A:$M,13,0)</f>
        <v>29</v>
      </c>
      <c r="H76" s="3" t="s">
        <v>10</v>
      </c>
      <c r="I76" s="3" t="s">
        <v>159</v>
      </c>
    </row>
    <row r="77" customHeight="1" spans="1:9">
      <c r="A77" s="4" t="s">
        <v>160</v>
      </c>
      <c r="B77" s="4">
        <f>VLOOKUP($A77,[1]彩未分析60315!$A:$M,8,0)</f>
        <v>27</v>
      </c>
      <c r="C77" s="4">
        <f>VLOOKUP($A77,[1]彩未分析60315!$A:$M,9,0)</f>
        <v>26</v>
      </c>
      <c r="D77" s="4">
        <f>VLOOKUP($A77,[1]彩未分析60315!$A:$M,10,0)</f>
        <v>25</v>
      </c>
      <c r="E77" s="4">
        <f>VLOOKUP($A77,[1]彩未分析60315!$A:$M,11,0)</f>
        <v>24</v>
      </c>
      <c r="F77" s="4">
        <f>VLOOKUP($A77,[1]彩未分析60315!$A:$M,12,0)</f>
        <v>23</v>
      </c>
      <c r="G77" s="4">
        <f>VLOOKUP($A77,[1]彩未分析60315!$A:$M,13,0)</f>
        <v>22</v>
      </c>
      <c r="H77" s="3" t="s">
        <v>10</v>
      </c>
      <c r="I77" s="3" t="s">
        <v>161</v>
      </c>
    </row>
    <row r="78" customHeight="1" spans="1:9">
      <c r="A78" s="4" t="s">
        <v>162</v>
      </c>
      <c r="B78" s="4">
        <f>VLOOKUP($A78,[1]彩未分析60315!$A:$M,8,0)</f>
        <v>29</v>
      </c>
      <c r="C78" s="4">
        <f>VLOOKUP($A78,[1]彩未分析60315!$A:$M,9,0)</f>
        <v>28</v>
      </c>
      <c r="D78" s="4">
        <f>VLOOKUP($A78,[1]彩未分析60315!$A:$M,10,0)</f>
        <v>27</v>
      </c>
      <c r="E78" s="4">
        <f>VLOOKUP($A78,[1]彩未分析60315!$A:$M,11,0)</f>
        <v>26</v>
      </c>
      <c r="F78" s="4">
        <f>VLOOKUP($A78,[1]彩未分析60315!$A:$M,12,0)</f>
        <v>25</v>
      </c>
      <c r="G78" s="4">
        <f>VLOOKUP($A78,[1]彩未分析60315!$A:$M,13,0)</f>
        <v>24</v>
      </c>
      <c r="H78" s="3" t="s">
        <v>10</v>
      </c>
      <c r="I78" s="3" t="s">
        <v>163</v>
      </c>
    </row>
    <row r="79" customHeight="1" spans="1:9">
      <c r="A79" s="4" t="s">
        <v>164</v>
      </c>
      <c r="B79" s="4">
        <f>VLOOKUP($A79,[1]彩未分析60315!$A:$M,8,0)</f>
        <v>136</v>
      </c>
      <c r="C79" s="4">
        <f>VLOOKUP($A79,[1]彩未分析60315!$A:$M,9,0)</f>
        <v>131</v>
      </c>
      <c r="D79" s="4">
        <f>VLOOKUP($A79,[1]彩未分析60315!$A:$M,10,0)</f>
        <v>126</v>
      </c>
      <c r="E79" s="4">
        <f>VLOOKUP($A79,[1]彩未分析60315!$A:$M,11,0)</f>
        <v>121</v>
      </c>
      <c r="F79" s="4">
        <f>VLOOKUP($A79,[1]彩未分析60315!$A:$M,12,0)</f>
        <v>116</v>
      </c>
      <c r="G79" s="4">
        <f>VLOOKUP($A79,[1]彩未分析60315!$A:$M,13,0)</f>
        <v>111</v>
      </c>
      <c r="H79" s="3" t="s">
        <v>10</v>
      </c>
      <c r="I79" s="3" t="s">
        <v>165</v>
      </c>
    </row>
    <row r="80" customHeight="1" spans="1:9">
      <c r="A80" s="4" t="s">
        <v>166</v>
      </c>
      <c r="B80" s="4">
        <f>VLOOKUP($A80,[1]彩未分析60315!$A:$M,8,0)</f>
        <v>30</v>
      </c>
      <c r="C80" s="4">
        <f>VLOOKUP($A80,[1]彩未分析60315!$A:$M,9,0)</f>
        <v>29</v>
      </c>
      <c r="D80" s="4">
        <f>VLOOKUP($A80,[1]彩未分析60315!$A:$M,10,0)</f>
        <v>28</v>
      </c>
      <c r="E80" s="4">
        <f>VLOOKUP($A80,[1]彩未分析60315!$A:$M,11,0)</f>
        <v>27</v>
      </c>
      <c r="F80" s="4">
        <f>VLOOKUP($A80,[1]彩未分析60315!$A:$M,12,0)</f>
        <v>25</v>
      </c>
      <c r="G80" s="4">
        <f>VLOOKUP($A80,[1]彩未分析60315!$A:$M,13,0)</f>
        <v>24</v>
      </c>
      <c r="H80" s="3" t="s">
        <v>10</v>
      </c>
      <c r="I80" s="3" t="s">
        <v>167</v>
      </c>
    </row>
    <row r="81" customHeight="1" spans="1:9">
      <c r="A81" s="4" t="s">
        <v>168</v>
      </c>
      <c r="B81" s="4">
        <f>VLOOKUP($A81,[1]彩未分析60315!$A:$M,8,0)</f>
        <v>36</v>
      </c>
      <c r="C81" s="4">
        <f>VLOOKUP($A81,[1]彩未分析60315!$A:$M,9,0)</f>
        <v>35</v>
      </c>
      <c r="D81" s="4">
        <f>VLOOKUP($A81,[1]彩未分析60315!$A:$M,10,0)</f>
        <v>33</v>
      </c>
      <c r="E81" s="4">
        <f>VLOOKUP($A81,[1]彩未分析60315!$A:$M,11,0)</f>
        <v>32</v>
      </c>
      <c r="F81" s="4">
        <f>VLOOKUP($A81,[1]彩未分析60315!$A:$M,12,0)</f>
        <v>31</v>
      </c>
      <c r="G81" s="4">
        <f>VLOOKUP($A81,[1]彩未分析60315!$A:$M,13,0)</f>
        <v>30</v>
      </c>
      <c r="H81" s="3" t="s">
        <v>10</v>
      </c>
      <c r="I81" s="3" t="s">
        <v>169</v>
      </c>
    </row>
    <row r="82" customHeight="1" spans="1:9">
      <c r="A82" s="4" t="s">
        <v>170</v>
      </c>
      <c r="B82" s="4">
        <f>VLOOKUP($A82,[1]彩未分析60315!$A:$M,8,0)</f>
        <v>46</v>
      </c>
      <c r="C82" s="4">
        <f>VLOOKUP($A82,[1]彩未分析60315!$A:$M,9,0)</f>
        <v>46</v>
      </c>
      <c r="D82" s="4">
        <f>VLOOKUP($A82,[1]彩未分析60315!$A:$M,10,0)</f>
        <v>45</v>
      </c>
      <c r="E82" s="4">
        <f>VLOOKUP($A82,[1]彩未分析60315!$A:$M,11,0)</f>
        <v>44</v>
      </c>
      <c r="F82" s="4">
        <f>VLOOKUP($A82,[1]彩未分析60315!$A:$M,12,0)</f>
        <v>44</v>
      </c>
      <c r="G82" s="4">
        <f>VLOOKUP($A82,[1]彩未分析60315!$A:$M,13,0)</f>
        <v>43</v>
      </c>
      <c r="H82" s="3" t="s">
        <v>39</v>
      </c>
      <c r="I82" s="3" t="s">
        <v>171</v>
      </c>
    </row>
    <row r="83" customHeight="1" spans="1:9">
      <c r="A83" s="4" t="s">
        <v>172</v>
      </c>
      <c r="B83" s="4">
        <f>VLOOKUP($A83,[1]彩未分析60315!$A:$M,8,0)</f>
        <v>41</v>
      </c>
      <c r="C83" s="4">
        <f>VLOOKUP($A83,[1]彩未分析60315!$A:$M,9,0)</f>
        <v>39</v>
      </c>
      <c r="D83" s="4">
        <f>VLOOKUP($A83,[1]彩未分析60315!$A:$M,10,0)</f>
        <v>38</v>
      </c>
      <c r="E83" s="4">
        <f>VLOOKUP($A83,[1]彩未分析60315!$A:$M,11,0)</f>
        <v>36</v>
      </c>
      <c r="F83" s="4">
        <f>VLOOKUP($A83,[1]彩未分析60315!$A:$M,12,0)</f>
        <v>35</v>
      </c>
      <c r="G83" s="4">
        <f>VLOOKUP($A83,[1]彩未分析60315!$A:$M,13,0)</f>
        <v>33</v>
      </c>
      <c r="H83" s="3" t="s">
        <v>10</v>
      </c>
      <c r="I83" s="3" t="s">
        <v>173</v>
      </c>
    </row>
    <row r="84" customHeight="1" spans="1:9">
      <c r="A84" s="4" t="s">
        <v>174</v>
      </c>
      <c r="B84" s="4">
        <f>VLOOKUP($A84,[1]彩未分析60315!$A:$M,8,0)</f>
        <v>33</v>
      </c>
      <c r="C84" s="4">
        <f>VLOOKUP($A84,[1]彩未分析60315!$A:$M,9,0)</f>
        <v>32</v>
      </c>
      <c r="D84" s="4">
        <f>VLOOKUP($A84,[1]彩未分析60315!$A:$M,10,0)</f>
        <v>31</v>
      </c>
      <c r="E84" s="4">
        <f>VLOOKUP($A84,[1]彩未分析60315!$A:$M,11,0)</f>
        <v>29</v>
      </c>
      <c r="F84" s="4">
        <f>VLOOKUP($A84,[1]彩未分析60315!$A:$M,12,0)</f>
        <v>28</v>
      </c>
      <c r="G84" s="4">
        <f>VLOOKUP($A84,[1]彩未分析60315!$A:$M,13,0)</f>
        <v>27</v>
      </c>
      <c r="H84" s="3" t="s">
        <v>10</v>
      </c>
      <c r="I84" s="3" t="s">
        <v>175</v>
      </c>
    </row>
    <row r="85" customHeight="1" spans="1:9">
      <c r="A85" s="4" t="s">
        <v>176</v>
      </c>
      <c r="B85" s="4">
        <f>VLOOKUP($A85,[1]彩未分析60315!$A:$M,8,0)</f>
        <v>47</v>
      </c>
      <c r="C85" s="4">
        <f>VLOOKUP($A85,[1]彩未分析60315!$A:$M,9,0)</f>
        <v>46</v>
      </c>
      <c r="D85" s="4">
        <f>VLOOKUP($A85,[1]彩未分析60315!$A:$M,10,0)</f>
        <v>45</v>
      </c>
      <c r="E85" s="4">
        <f>VLOOKUP($A85,[1]彩未分析60315!$A:$M,11,0)</f>
        <v>44</v>
      </c>
      <c r="F85" s="4">
        <f>VLOOKUP($A85,[1]彩未分析60315!$A:$M,12,0)</f>
        <v>44</v>
      </c>
      <c r="G85" s="4">
        <f>VLOOKUP($A85,[1]彩未分析60315!$A:$M,13,0)</f>
        <v>43</v>
      </c>
      <c r="H85" s="3" t="s">
        <v>39</v>
      </c>
      <c r="I85" s="3" t="s">
        <v>177</v>
      </c>
    </row>
    <row r="86" customHeight="1" spans="1:9">
      <c r="A86" s="4" t="s">
        <v>178</v>
      </c>
      <c r="B86" s="4">
        <f>VLOOKUP($A86,[1]彩未分析60315!$A:$M,8,0)</f>
        <v>33</v>
      </c>
      <c r="C86" s="4">
        <f>VLOOKUP($A86,[1]彩未分析60315!$A:$M,9,0)</f>
        <v>32</v>
      </c>
      <c r="D86" s="4">
        <f>VLOOKUP($A86,[1]彩未分析60315!$A:$M,10,0)</f>
        <v>31</v>
      </c>
      <c r="E86" s="4">
        <f>VLOOKUP($A86,[1]彩未分析60315!$A:$M,11,0)</f>
        <v>30</v>
      </c>
      <c r="F86" s="4">
        <f>VLOOKUP($A86,[1]彩未分析60315!$A:$M,12,0)</f>
        <v>28</v>
      </c>
      <c r="G86" s="4">
        <f>VLOOKUP($A86,[1]彩未分析60315!$A:$M,13,0)</f>
        <v>27</v>
      </c>
      <c r="H86" s="3" t="s">
        <v>10</v>
      </c>
      <c r="I86" s="3" t="s">
        <v>179</v>
      </c>
    </row>
    <row r="87" customHeight="1" spans="1:9">
      <c r="A87" s="4" t="s">
        <v>180</v>
      </c>
      <c r="B87" s="4">
        <f>VLOOKUP($A87,[1]彩未分析60315!$A:$M,8,0)</f>
        <v>31</v>
      </c>
      <c r="C87" s="4">
        <f>VLOOKUP($A87,[1]彩未分析60315!$A:$M,9,0)</f>
        <v>30</v>
      </c>
      <c r="D87" s="4">
        <f>VLOOKUP($A87,[1]彩未分析60315!$A:$M,10,0)</f>
        <v>28</v>
      </c>
      <c r="E87" s="4">
        <f>VLOOKUP($A87,[1]彩未分析60315!$A:$M,11,0)</f>
        <v>27</v>
      </c>
      <c r="F87" s="4">
        <f>VLOOKUP($A87,[1]彩未分析60315!$A:$M,12,0)</f>
        <v>26</v>
      </c>
      <c r="G87" s="4">
        <f>VLOOKUP($A87,[1]彩未分析60315!$A:$M,13,0)</f>
        <v>25</v>
      </c>
      <c r="H87" s="3" t="s">
        <v>10</v>
      </c>
      <c r="I87" s="3" t="s">
        <v>181</v>
      </c>
    </row>
    <row r="88" customHeight="1" spans="1:9">
      <c r="A88" s="4" t="s">
        <v>182</v>
      </c>
      <c r="B88" s="4">
        <f>VLOOKUP($A88,[1]彩未分析60315!$A:$M,8,0)</f>
        <v>41</v>
      </c>
      <c r="C88" s="4">
        <f>VLOOKUP($A88,[1]彩未分析60315!$A:$M,9,0)</f>
        <v>39</v>
      </c>
      <c r="D88" s="4">
        <f>VLOOKUP($A88,[1]彩未分析60315!$A:$M,10,0)</f>
        <v>38</v>
      </c>
      <c r="E88" s="4">
        <f>VLOOKUP($A88,[1]彩未分析60315!$A:$M,11,0)</f>
        <v>36</v>
      </c>
      <c r="F88" s="4">
        <f>VLOOKUP($A88,[1]彩未分析60315!$A:$M,12,0)</f>
        <v>35</v>
      </c>
      <c r="G88" s="4">
        <f>VLOOKUP($A88,[1]彩未分析60315!$A:$M,13,0)</f>
        <v>33</v>
      </c>
      <c r="H88" s="3" t="s">
        <v>10</v>
      </c>
      <c r="I88" s="3" t="s">
        <v>183</v>
      </c>
    </row>
    <row r="89" customHeight="1" spans="1:9">
      <c r="A89" s="4" t="s">
        <v>184</v>
      </c>
      <c r="B89" s="4">
        <f>VLOOKUP($A89,[1]彩未分析60315!$A:$M,8,0)</f>
        <v>41</v>
      </c>
      <c r="C89" s="4">
        <f>VLOOKUP($A89,[1]彩未分析60315!$A:$M,9,0)</f>
        <v>40</v>
      </c>
      <c r="D89" s="4">
        <f>VLOOKUP($A89,[1]彩未分析60315!$A:$M,10,0)</f>
        <v>38</v>
      </c>
      <c r="E89" s="4">
        <f>VLOOKUP($A89,[1]彩未分析60315!$A:$M,11,0)</f>
        <v>37</v>
      </c>
      <c r="F89" s="4">
        <f>VLOOKUP($A89,[1]彩未分析60315!$A:$M,12,0)</f>
        <v>35</v>
      </c>
      <c r="G89" s="4">
        <f>VLOOKUP($A89,[1]彩未分析60315!$A:$M,13,0)</f>
        <v>34</v>
      </c>
      <c r="H89" s="3" t="s">
        <v>10</v>
      </c>
      <c r="I89" s="3" t="s">
        <v>185</v>
      </c>
    </row>
    <row r="90" customHeight="1" spans="1:9">
      <c r="A90" s="4" t="s">
        <v>186</v>
      </c>
      <c r="B90" s="4">
        <f>VLOOKUP($A90,[1]彩未分析60315!$A:$M,8,0)</f>
        <v>37</v>
      </c>
      <c r="C90" s="4">
        <f>VLOOKUP($A90,[1]彩未分析60315!$A:$M,9,0)</f>
        <v>35</v>
      </c>
      <c r="D90" s="4">
        <f>VLOOKUP($A90,[1]彩未分析60315!$A:$M,10,0)</f>
        <v>34</v>
      </c>
      <c r="E90" s="4">
        <f>VLOOKUP($A90,[1]彩未分析60315!$A:$M,11,0)</f>
        <v>33</v>
      </c>
      <c r="F90" s="4">
        <f>VLOOKUP($A90,[1]彩未分析60315!$A:$M,12,0)</f>
        <v>31</v>
      </c>
      <c r="G90" s="4">
        <f>VLOOKUP($A90,[1]彩未分析60315!$A:$M,13,0)</f>
        <v>30</v>
      </c>
      <c r="H90" s="3" t="s">
        <v>10</v>
      </c>
      <c r="I90" s="3" t="s">
        <v>187</v>
      </c>
    </row>
    <row r="91" customHeight="1" spans="1:9">
      <c r="A91" s="4" t="s">
        <v>188</v>
      </c>
      <c r="B91" s="4">
        <f>VLOOKUP($A91,[1]彩未分析60315!$A:$M,8,0)</f>
        <v>32</v>
      </c>
      <c r="C91" s="4">
        <f>VLOOKUP($A91,[1]彩未分析60315!$A:$M,9,0)</f>
        <v>31</v>
      </c>
      <c r="D91" s="4">
        <f>VLOOKUP($A91,[1]彩未分析60315!$A:$M,10,0)</f>
        <v>30</v>
      </c>
      <c r="E91" s="4">
        <f>VLOOKUP($A91,[1]彩未分析60315!$A:$M,11,0)</f>
        <v>29</v>
      </c>
      <c r="F91" s="4">
        <f>VLOOKUP($A91,[1]彩未分析60315!$A:$M,12,0)</f>
        <v>28</v>
      </c>
      <c r="G91" s="4">
        <f>VLOOKUP($A91,[1]彩未分析60315!$A:$M,13,0)</f>
        <v>26</v>
      </c>
      <c r="H91" s="3" t="s">
        <v>10</v>
      </c>
      <c r="I91" s="3" t="s">
        <v>189</v>
      </c>
    </row>
    <row r="92" customHeight="1" spans="1:9">
      <c r="A92" s="4" t="s">
        <v>190</v>
      </c>
      <c r="B92" s="4">
        <f>VLOOKUP($A92,[1]彩未分析60315!$A:$M,8,0)</f>
        <v>46</v>
      </c>
      <c r="C92" s="4">
        <f>VLOOKUP($A92,[1]彩未分析60315!$A:$M,9,0)</f>
        <v>44</v>
      </c>
      <c r="D92" s="4">
        <f>VLOOKUP($A92,[1]彩未分析60315!$A:$M,10,0)</f>
        <v>43</v>
      </c>
      <c r="E92" s="4">
        <f>VLOOKUP($A92,[1]彩未分析60315!$A:$M,11,0)</f>
        <v>41</v>
      </c>
      <c r="F92" s="4">
        <f>VLOOKUP($A92,[1]彩未分析60315!$A:$M,12,0)</f>
        <v>39</v>
      </c>
      <c r="G92" s="4">
        <f>VLOOKUP($A92,[1]彩未分析60315!$A:$M,13,0)</f>
        <v>38</v>
      </c>
      <c r="H92" s="3" t="s">
        <v>10</v>
      </c>
      <c r="I92" s="3" t="s">
        <v>191</v>
      </c>
    </row>
    <row r="93" customHeight="1" spans="1:9">
      <c r="A93" s="4" t="s">
        <v>192</v>
      </c>
      <c r="B93" s="4">
        <f>VLOOKUP($A93,[1]彩未分析60315!$A:$M,8,0)</f>
        <v>38</v>
      </c>
      <c r="C93" s="4">
        <f>VLOOKUP($A93,[1]彩未分析60315!$A:$M,9,0)</f>
        <v>37</v>
      </c>
      <c r="D93" s="4">
        <f>VLOOKUP($A93,[1]彩未分析60315!$A:$M,10,0)</f>
        <v>35</v>
      </c>
      <c r="E93" s="4">
        <f>VLOOKUP($A93,[1]彩未分析60315!$A:$M,11,0)</f>
        <v>34</v>
      </c>
      <c r="F93" s="4">
        <f>VLOOKUP($A93,[1]彩未分析60315!$A:$M,12,0)</f>
        <v>32</v>
      </c>
      <c r="G93" s="4">
        <f>VLOOKUP($A93,[1]彩未分析60315!$A:$M,13,0)</f>
        <v>31</v>
      </c>
      <c r="H93" s="3" t="s">
        <v>10</v>
      </c>
      <c r="I93" s="3" t="s">
        <v>193</v>
      </c>
    </row>
    <row r="94" customHeight="1" spans="1:9">
      <c r="A94" s="4" t="s">
        <v>194</v>
      </c>
      <c r="B94" s="4">
        <f>VLOOKUP($A94,[1]彩未分析60315!$A:$M,8,0)</f>
        <v>32</v>
      </c>
      <c r="C94" s="4">
        <f>VLOOKUP($A94,[1]彩未分析60315!$A:$M,9,0)</f>
        <v>31</v>
      </c>
      <c r="D94" s="4">
        <f>VLOOKUP($A94,[1]彩未分析60315!$A:$M,10,0)</f>
        <v>30</v>
      </c>
      <c r="E94" s="4">
        <f>VLOOKUP($A94,[1]彩未分析60315!$A:$M,11,0)</f>
        <v>28</v>
      </c>
      <c r="F94" s="4">
        <f>VLOOKUP($A94,[1]彩未分析60315!$A:$M,12,0)</f>
        <v>27</v>
      </c>
      <c r="G94" s="4">
        <f>VLOOKUP($A94,[1]彩未分析60315!$A:$M,13,0)</f>
        <v>26</v>
      </c>
      <c r="H94" s="3" t="s">
        <v>10</v>
      </c>
      <c r="I94" s="3" t="s">
        <v>195</v>
      </c>
    </row>
    <row r="95" customHeight="1" spans="1:9">
      <c r="A95" s="4" t="s">
        <v>196</v>
      </c>
      <c r="B95" s="4">
        <f>VLOOKUP($A95,[1]彩未分析60315!$A:$M,8,0)</f>
        <v>37</v>
      </c>
      <c r="C95" s="4">
        <f>VLOOKUP($A95,[1]彩未分析60315!$A:$M,9,0)</f>
        <v>36</v>
      </c>
      <c r="D95" s="4">
        <f>VLOOKUP($A95,[1]彩未分析60315!$A:$M,10,0)</f>
        <v>34</v>
      </c>
      <c r="E95" s="4">
        <f>VLOOKUP($A95,[1]彩未分析60315!$A:$M,11,0)</f>
        <v>33</v>
      </c>
      <c r="F95" s="4">
        <f>VLOOKUP($A95,[1]彩未分析60315!$A:$M,12,0)</f>
        <v>32</v>
      </c>
      <c r="G95" s="4">
        <f>VLOOKUP($A95,[1]彩未分析60315!$A:$M,13,0)</f>
        <v>30</v>
      </c>
      <c r="H95" s="3" t="s">
        <v>10</v>
      </c>
      <c r="I95" s="3" t="s">
        <v>197</v>
      </c>
    </row>
    <row r="96" customHeight="1" spans="1:9">
      <c r="A96" s="4" t="s">
        <v>198</v>
      </c>
      <c r="B96" s="4">
        <f>VLOOKUP($A96,[1]彩未分析60315!$A:$M,8,0)</f>
        <v>34</v>
      </c>
      <c r="C96" s="4">
        <f>VLOOKUP($A96,[1]彩未分析60315!$A:$M,9,0)</f>
        <v>33</v>
      </c>
      <c r="D96" s="4">
        <f>VLOOKUP($A96,[1]彩未分析60315!$A:$M,10,0)</f>
        <v>31</v>
      </c>
      <c r="E96" s="4">
        <f>VLOOKUP($A96,[1]彩未分析60315!$A:$M,11,0)</f>
        <v>30</v>
      </c>
      <c r="F96" s="4">
        <f>VLOOKUP($A96,[1]彩未分析60315!$A:$M,12,0)</f>
        <v>29</v>
      </c>
      <c r="G96" s="4">
        <f>VLOOKUP($A96,[1]彩未分析60315!$A:$M,13,0)</f>
        <v>28</v>
      </c>
      <c r="H96" s="3" t="s">
        <v>10</v>
      </c>
      <c r="I96" s="3" t="s">
        <v>199</v>
      </c>
    </row>
    <row r="97" customHeight="1" spans="1:9">
      <c r="A97" s="4" t="s">
        <v>200</v>
      </c>
      <c r="B97" s="4">
        <f>VLOOKUP($A97,[1]彩未分析60315!$A:$M,8,0)</f>
        <v>41</v>
      </c>
      <c r="C97" s="4">
        <f>VLOOKUP($A97,[1]彩未分析60315!$A:$M,9,0)</f>
        <v>39</v>
      </c>
      <c r="D97" s="4">
        <f>VLOOKUP($A97,[1]彩未分析60315!$A:$M,10,0)</f>
        <v>38</v>
      </c>
      <c r="E97" s="4">
        <f>VLOOKUP($A97,[1]彩未分析60315!$A:$M,11,0)</f>
        <v>36</v>
      </c>
      <c r="F97" s="4">
        <f>VLOOKUP($A97,[1]彩未分析60315!$A:$M,12,0)</f>
        <v>35</v>
      </c>
      <c r="G97" s="4">
        <f>VLOOKUP($A97,[1]彩未分析60315!$A:$M,13,0)</f>
        <v>33</v>
      </c>
      <c r="H97" s="3" t="s">
        <v>10</v>
      </c>
      <c r="I97" s="3" t="s">
        <v>201</v>
      </c>
    </row>
    <row r="98" customHeight="1" spans="1:9">
      <c r="A98" s="4" t="s">
        <v>202</v>
      </c>
      <c r="B98" s="4">
        <f>VLOOKUP($A98,[1]彩未分析60315!$A:$M,8,0)</f>
        <v>43</v>
      </c>
      <c r="C98" s="4">
        <f>VLOOKUP($A98,[1]彩未分析60315!$A:$M,9,0)</f>
        <v>41</v>
      </c>
      <c r="D98" s="4">
        <f>VLOOKUP($A98,[1]彩未分析60315!$A:$M,10,0)</f>
        <v>40</v>
      </c>
      <c r="E98" s="4">
        <f>VLOOKUP($A98,[1]彩未分析60315!$A:$M,11,0)</f>
        <v>38</v>
      </c>
      <c r="F98" s="4">
        <f>VLOOKUP($A98,[1]彩未分析60315!$A:$M,12,0)</f>
        <v>36</v>
      </c>
      <c r="G98" s="4">
        <f>VLOOKUP($A98,[1]彩未分析60315!$A:$M,13,0)</f>
        <v>35</v>
      </c>
      <c r="H98" s="3" t="s">
        <v>10</v>
      </c>
      <c r="I98" s="3" t="s">
        <v>203</v>
      </c>
    </row>
    <row r="99" customHeight="1" spans="1:9">
      <c r="A99" s="4" t="s">
        <v>204</v>
      </c>
      <c r="B99" s="4">
        <f>VLOOKUP($A99,[1]彩未分析60315!$A:$M,8,0)</f>
        <v>29</v>
      </c>
      <c r="C99" s="4">
        <f>VLOOKUP($A99,[1]彩未分析60315!$A:$M,9,0)</f>
        <v>28</v>
      </c>
      <c r="D99" s="4">
        <f>VLOOKUP($A99,[1]彩未分析60315!$A:$M,10,0)</f>
        <v>27</v>
      </c>
      <c r="E99" s="4">
        <f>VLOOKUP($A99,[1]彩未分析60315!$A:$M,11,0)</f>
        <v>26</v>
      </c>
      <c r="F99" s="4">
        <f>VLOOKUP($A99,[1]彩未分析60315!$A:$M,12,0)</f>
        <v>25</v>
      </c>
      <c r="G99" s="4">
        <f>VLOOKUP($A99,[1]彩未分析60315!$A:$M,13,0)</f>
        <v>24</v>
      </c>
      <c r="H99" s="3" t="s">
        <v>10</v>
      </c>
      <c r="I99" s="3" t="s">
        <v>205</v>
      </c>
    </row>
    <row r="100" customHeight="1" spans="1:9">
      <c r="A100" s="4" t="s">
        <v>206</v>
      </c>
      <c r="B100" s="4">
        <f>VLOOKUP($A100,[1]彩未分析60315!$A:$M,8,0)</f>
        <v>34</v>
      </c>
      <c r="C100" s="4">
        <f>VLOOKUP($A100,[1]彩未分析60315!$A:$M,9,0)</f>
        <v>33</v>
      </c>
      <c r="D100" s="4">
        <f>VLOOKUP($A100,[1]彩未分析60315!$A:$M,10,0)</f>
        <v>31</v>
      </c>
      <c r="E100" s="4">
        <f>VLOOKUP($A100,[1]彩未分析60315!$A:$M,11,0)</f>
        <v>30</v>
      </c>
      <c r="F100" s="4">
        <f>VLOOKUP($A100,[1]彩未分析60315!$A:$M,12,0)</f>
        <v>29</v>
      </c>
      <c r="G100" s="4">
        <f>VLOOKUP($A100,[1]彩未分析60315!$A:$M,13,0)</f>
        <v>28</v>
      </c>
      <c r="H100" s="3" t="s">
        <v>10</v>
      </c>
      <c r="I100" s="3" t="s">
        <v>207</v>
      </c>
    </row>
    <row r="101" customHeight="1" spans="1:9">
      <c r="A101" s="4" t="s">
        <v>208</v>
      </c>
      <c r="B101" s="4">
        <f>VLOOKUP($A101,[1]彩未分析60315!$A:$M,8,0)</f>
        <v>30</v>
      </c>
      <c r="C101" s="4">
        <f>VLOOKUP($A101,[1]彩未分析60315!$A:$M,9,0)</f>
        <v>29</v>
      </c>
      <c r="D101" s="4">
        <f>VLOOKUP($A101,[1]彩未分析60315!$A:$M,10,0)</f>
        <v>28</v>
      </c>
      <c r="E101" s="4">
        <f>VLOOKUP($A101,[1]彩未分析60315!$A:$M,11,0)</f>
        <v>27</v>
      </c>
      <c r="F101" s="4">
        <f>VLOOKUP($A101,[1]彩未分析60315!$A:$M,12,0)</f>
        <v>26</v>
      </c>
      <c r="G101" s="4">
        <f>VLOOKUP($A101,[1]彩未分析60315!$A:$M,13,0)</f>
        <v>25</v>
      </c>
      <c r="H101" s="3" t="s">
        <v>10</v>
      </c>
      <c r="I101" s="3" t="s">
        <v>209</v>
      </c>
    </row>
    <row r="102" customHeight="1" spans="1:9">
      <c r="A102" s="4" t="s">
        <v>210</v>
      </c>
      <c r="B102" s="4">
        <f>VLOOKUP($A102,[1]彩未分析60315!$A:$M,8,0)</f>
        <v>36</v>
      </c>
      <c r="C102" s="4">
        <f>VLOOKUP($A102,[1]彩未分析60315!$A:$M,9,0)</f>
        <v>34</v>
      </c>
      <c r="D102" s="4">
        <f>VLOOKUP($A102,[1]彩未分析60315!$A:$M,10,0)</f>
        <v>33</v>
      </c>
      <c r="E102" s="4">
        <f>VLOOKUP($A102,[1]彩未分析60315!$A:$M,11,0)</f>
        <v>32</v>
      </c>
      <c r="F102" s="4">
        <f>VLOOKUP($A102,[1]彩未分析60315!$A:$M,12,0)</f>
        <v>31</v>
      </c>
      <c r="G102" s="4">
        <f>VLOOKUP($A102,[1]彩未分析60315!$A:$M,13,0)</f>
        <v>29</v>
      </c>
      <c r="H102" s="3" t="s">
        <v>10</v>
      </c>
      <c r="I102" s="3" t="s">
        <v>211</v>
      </c>
    </row>
    <row r="103" customHeight="1" spans="1:9">
      <c r="A103" s="4" t="s">
        <v>212</v>
      </c>
      <c r="B103" s="4">
        <f>VLOOKUP($A103,[1]彩未分析60315!$A:$M,8,0)</f>
        <v>30</v>
      </c>
      <c r="C103" s="4">
        <f>VLOOKUP($A103,[1]彩未分析60315!$A:$M,9,0)</f>
        <v>29</v>
      </c>
      <c r="D103" s="4">
        <f>VLOOKUP($A103,[1]彩未分析60315!$A:$M,10,0)</f>
        <v>28</v>
      </c>
      <c r="E103" s="4">
        <f>VLOOKUP($A103,[1]彩未分析60315!$A:$M,11,0)</f>
        <v>26</v>
      </c>
      <c r="F103" s="4">
        <f>VLOOKUP($A103,[1]彩未分析60315!$A:$M,12,0)</f>
        <v>25</v>
      </c>
      <c r="G103" s="4">
        <f>VLOOKUP($A103,[1]彩未分析60315!$A:$M,13,0)</f>
        <v>24</v>
      </c>
      <c r="H103" s="3" t="s">
        <v>10</v>
      </c>
      <c r="I103" s="3" t="s">
        <v>213</v>
      </c>
    </row>
    <row r="104" customHeight="1" spans="1:9">
      <c r="A104" s="4" t="s">
        <v>214</v>
      </c>
      <c r="B104" s="4">
        <f>VLOOKUP($A104,[1]彩未分析60315!$A:$M,8,0)</f>
        <v>28</v>
      </c>
      <c r="C104" s="4">
        <f>VLOOKUP($A104,[1]彩未分析60315!$A:$M,9,0)</f>
        <v>27</v>
      </c>
      <c r="D104" s="4">
        <f>VLOOKUP($A104,[1]彩未分析60315!$A:$M,10,0)</f>
        <v>26</v>
      </c>
      <c r="E104" s="4">
        <f>VLOOKUP($A104,[1]彩未分析60315!$A:$M,11,0)</f>
        <v>25</v>
      </c>
      <c r="F104" s="4">
        <f>VLOOKUP($A104,[1]彩未分析60315!$A:$M,12,0)</f>
        <v>24</v>
      </c>
      <c r="G104" s="4">
        <f>VLOOKUP($A104,[1]彩未分析60315!$A:$M,13,0)</f>
        <v>23</v>
      </c>
      <c r="H104" s="3" t="s">
        <v>10</v>
      </c>
      <c r="I104" s="3" t="s">
        <v>215</v>
      </c>
    </row>
    <row r="105" customHeight="1" spans="1:9">
      <c r="A105" s="4" t="s">
        <v>216</v>
      </c>
      <c r="B105" s="4">
        <f>VLOOKUP($A105,[1]彩未分析60315!$A:$M,8,0)</f>
        <v>32</v>
      </c>
      <c r="C105" s="4">
        <f>VLOOKUP($A105,[1]彩未分析60315!$A:$M,9,0)</f>
        <v>31</v>
      </c>
      <c r="D105" s="4">
        <f>VLOOKUP($A105,[1]彩未分析60315!$A:$M,10,0)</f>
        <v>30</v>
      </c>
      <c r="E105" s="4">
        <f>VLOOKUP($A105,[1]彩未分析60315!$A:$M,11,0)</f>
        <v>29</v>
      </c>
      <c r="F105" s="4">
        <f>VLOOKUP($A105,[1]彩未分析60315!$A:$M,12,0)</f>
        <v>28</v>
      </c>
      <c r="G105" s="4">
        <f>VLOOKUP($A105,[1]彩未分析60315!$A:$M,13,0)</f>
        <v>26</v>
      </c>
      <c r="H105" s="3" t="s">
        <v>10</v>
      </c>
      <c r="I105" s="3" t="s">
        <v>217</v>
      </c>
    </row>
    <row r="106" customHeight="1" spans="1:9">
      <c r="A106" s="4" t="s">
        <v>218</v>
      </c>
      <c r="B106" s="4">
        <f>VLOOKUP($A106,[1]彩未分析60315!$A:$M,8,0)</f>
        <v>31</v>
      </c>
      <c r="C106" s="4">
        <f>VLOOKUP($A106,[1]彩未分析60315!$A:$M,9,0)</f>
        <v>30</v>
      </c>
      <c r="D106" s="4">
        <f>VLOOKUP($A106,[1]彩未分析60315!$A:$M,10,0)</f>
        <v>29</v>
      </c>
      <c r="E106" s="4">
        <f>VLOOKUP($A106,[1]彩未分析60315!$A:$M,11,0)</f>
        <v>28</v>
      </c>
      <c r="F106" s="4">
        <f>VLOOKUP($A106,[1]彩未分析60315!$A:$M,12,0)</f>
        <v>27</v>
      </c>
      <c r="G106" s="4">
        <f>VLOOKUP($A106,[1]彩未分析60315!$A:$M,13,0)</f>
        <v>26</v>
      </c>
      <c r="H106" s="3" t="s">
        <v>10</v>
      </c>
      <c r="I106" s="3" t="s">
        <v>219</v>
      </c>
    </row>
    <row r="107" customHeight="1" spans="1:9">
      <c r="A107" s="4" t="s">
        <v>220</v>
      </c>
      <c r="B107" s="4">
        <f>VLOOKUP($A107,[1]彩未分析60315!$A:$M,8,0)</f>
        <v>42</v>
      </c>
      <c r="C107" s="4">
        <f>VLOOKUP($A107,[1]彩未分析60315!$A:$M,9,0)</f>
        <v>40</v>
      </c>
      <c r="D107" s="4">
        <f>VLOOKUP($A107,[1]彩未分析60315!$A:$M,10,0)</f>
        <v>39</v>
      </c>
      <c r="E107" s="4">
        <f>VLOOKUP($A107,[1]彩未分析60315!$A:$M,11,0)</f>
        <v>37</v>
      </c>
      <c r="F107" s="4">
        <f>VLOOKUP($A107,[1]彩未分析60315!$A:$M,12,0)</f>
        <v>36</v>
      </c>
      <c r="G107" s="4">
        <f>VLOOKUP($A107,[1]彩未分析60315!$A:$M,13,0)</f>
        <v>34</v>
      </c>
      <c r="H107" s="3" t="s">
        <v>10</v>
      </c>
      <c r="I107" s="3" t="s">
        <v>221</v>
      </c>
    </row>
    <row r="108" customHeight="1" spans="1:9">
      <c r="A108" s="4" t="s">
        <v>222</v>
      </c>
      <c r="B108" s="4">
        <f>VLOOKUP($A108,[1]彩未分析60315!$A:$M,8,0)</f>
        <v>24</v>
      </c>
      <c r="C108" s="4">
        <f>VLOOKUP($A108,[1]彩未分析60315!$A:$M,9,0)</f>
        <v>23</v>
      </c>
      <c r="D108" s="4">
        <f>VLOOKUP($A108,[1]彩未分析60315!$A:$M,10,0)</f>
        <v>22</v>
      </c>
      <c r="E108" s="4">
        <f>VLOOKUP($A108,[1]彩未分析60315!$A:$M,11,0)</f>
        <v>22</v>
      </c>
      <c r="F108" s="4">
        <f>VLOOKUP($A108,[1]彩未分析60315!$A:$M,12,0)</f>
        <v>21</v>
      </c>
      <c r="G108" s="4">
        <f>VLOOKUP($A108,[1]彩未分析60315!$A:$M,13,0)</f>
        <v>20</v>
      </c>
      <c r="H108" s="3" t="s">
        <v>10</v>
      </c>
      <c r="I108" s="3" t="s">
        <v>223</v>
      </c>
    </row>
    <row r="109" customHeight="1" spans="1:9">
      <c r="A109" s="4" t="s">
        <v>224</v>
      </c>
      <c r="B109" s="4">
        <f>VLOOKUP($A109,[1]彩未分析60315!$A:$M,8,0)</f>
        <v>43</v>
      </c>
      <c r="C109" s="4">
        <f>VLOOKUP($A109,[1]彩未分析60315!$A:$M,9,0)</f>
        <v>42</v>
      </c>
      <c r="D109" s="4">
        <f>VLOOKUP($A109,[1]彩未分析60315!$A:$M,10,0)</f>
        <v>40</v>
      </c>
      <c r="E109" s="4">
        <f>VLOOKUP($A109,[1]彩未分析60315!$A:$M,11,0)</f>
        <v>38</v>
      </c>
      <c r="F109" s="4">
        <f>VLOOKUP($A109,[1]彩未分析60315!$A:$M,12,0)</f>
        <v>37</v>
      </c>
      <c r="G109" s="4">
        <f>VLOOKUP($A109,[1]彩未分析60315!$A:$M,13,0)</f>
        <v>35</v>
      </c>
      <c r="H109" s="3" t="s">
        <v>10</v>
      </c>
      <c r="I109" s="3" t="s">
        <v>225</v>
      </c>
    </row>
    <row r="110" customHeight="1" spans="1:9">
      <c r="A110" s="4" t="s">
        <v>226</v>
      </c>
      <c r="B110" s="4">
        <f>VLOOKUP($A110,[1]彩未分析60315!$A:$M,8,0)</f>
        <v>143</v>
      </c>
      <c r="C110" s="4">
        <f>VLOOKUP($A110,[1]彩未分析60315!$A:$M,9,0)</f>
        <v>141</v>
      </c>
      <c r="D110" s="4">
        <f>VLOOKUP($A110,[1]彩未分析60315!$A:$M,10,0)</f>
        <v>138</v>
      </c>
      <c r="E110" s="4">
        <f>VLOOKUP($A110,[1]彩未分析60315!$A:$M,11,0)</f>
        <v>136</v>
      </c>
      <c r="F110" s="4">
        <f>VLOOKUP($A110,[1]彩未分析60315!$A:$M,12,0)</f>
        <v>135</v>
      </c>
      <c r="G110" s="4">
        <f>VLOOKUP($A110,[1]彩未分析60315!$A:$M,13,0)</f>
        <v>132</v>
      </c>
      <c r="H110" s="3" t="s">
        <v>39</v>
      </c>
      <c r="I110" s="3" t="s">
        <v>227</v>
      </c>
    </row>
    <row r="111" customHeight="1" spans="1:9">
      <c r="A111" s="4" t="s">
        <v>228</v>
      </c>
      <c r="B111" s="4">
        <f>VLOOKUP($A111,[1]彩未分析60315!$A:$M,8,0)</f>
        <v>24</v>
      </c>
      <c r="C111" s="4">
        <f>VLOOKUP($A111,[1]彩未分析60315!$A:$M,9,0)</f>
        <v>23</v>
      </c>
      <c r="D111" s="4">
        <f>VLOOKUP($A111,[1]彩未分析60315!$A:$M,10,0)</f>
        <v>22</v>
      </c>
      <c r="E111" s="4">
        <f>VLOOKUP($A111,[1]彩未分析60315!$A:$M,11,0)</f>
        <v>21</v>
      </c>
      <c r="F111" s="4">
        <f>VLOOKUP($A111,[1]彩未分析60315!$A:$M,12,0)</f>
        <v>20</v>
      </c>
      <c r="G111" s="4">
        <f>VLOOKUP($A111,[1]彩未分析60315!$A:$M,13,0)</f>
        <v>19</v>
      </c>
      <c r="H111" s="3" t="s">
        <v>10</v>
      </c>
      <c r="I111" s="3" t="s">
        <v>229</v>
      </c>
    </row>
    <row r="112" customHeight="1" spans="1:9">
      <c r="A112" s="4" t="s">
        <v>230</v>
      </c>
      <c r="B112" s="4">
        <f>VLOOKUP($A112,[1]彩未分析60315!$A:$M,8,0)</f>
        <v>32</v>
      </c>
      <c r="C112" s="4">
        <f>VLOOKUP($A112,[1]彩未分析60315!$A:$M,9,0)</f>
        <v>31</v>
      </c>
      <c r="D112" s="4">
        <f>VLOOKUP($A112,[1]彩未分析60315!$A:$M,10,0)</f>
        <v>30</v>
      </c>
      <c r="E112" s="4">
        <f>VLOOKUP($A112,[1]彩未分析60315!$A:$M,11,0)</f>
        <v>28</v>
      </c>
      <c r="F112" s="4">
        <f>VLOOKUP($A112,[1]彩未分析60315!$A:$M,12,0)</f>
        <v>27</v>
      </c>
      <c r="G112" s="4">
        <f>VLOOKUP($A112,[1]彩未分析60315!$A:$M,13,0)</f>
        <v>26</v>
      </c>
      <c r="H112" s="3" t="s">
        <v>10</v>
      </c>
      <c r="I112" s="3" t="s">
        <v>231</v>
      </c>
    </row>
    <row r="113" customHeight="1" spans="1:9">
      <c r="A113" s="4" t="s">
        <v>232</v>
      </c>
      <c r="B113" s="4">
        <f>VLOOKUP($A113,[1]彩未分析60315!$A:$M,8,0)</f>
        <v>47</v>
      </c>
      <c r="C113" s="4">
        <f>VLOOKUP($A113,[1]彩未分析60315!$A:$M,9,0)</f>
        <v>45</v>
      </c>
      <c r="D113" s="4">
        <f>VLOOKUP($A113,[1]彩未分析60315!$A:$M,10,0)</f>
        <v>43</v>
      </c>
      <c r="E113" s="4">
        <f>VLOOKUP($A113,[1]彩未分析60315!$A:$M,11,0)</f>
        <v>42</v>
      </c>
      <c r="F113" s="4">
        <f>VLOOKUP($A113,[1]彩未分析60315!$A:$M,12,0)</f>
        <v>40</v>
      </c>
      <c r="G113" s="4">
        <f>VLOOKUP($A113,[1]彩未分析60315!$A:$M,13,0)</f>
        <v>38</v>
      </c>
      <c r="H113" s="3" t="s">
        <v>10</v>
      </c>
      <c r="I113" s="3" t="s">
        <v>233</v>
      </c>
    </row>
    <row r="114" customHeight="1" spans="1:9">
      <c r="A114" s="4" t="s">
        <v>234</v>
      </c>
      <c r="B114" s="4">
        <f>VLOOKUP($A114,[1]彩未分析60315!$A:$M,8,0)</f>
        <v>36</v>
      </c>
      <c r="C114" s="4">
        <f>VLOOKUP($A114,[1]彩未分析60315!$A:$M,9,0)</f>
        <v>34</v>
      </c>
      <c r="D114" s="4">
        <f>VLOOKUP($A114,[1]彩未分析60315!$A:$M,10,0)</f>
        <v>33</v>
      </c>
      <c r="E114" s="4">
        <f>VLOOKUP($A114,[1]彩未分析60315!$A:$M,11,0)</f>
        <v>32</v>
      </c>
      <c r="F114" s="4">
        <f>VLOOKUP($A114,[1]彩未分析60315!$A:$M,12,0)</f>
        <v>30</v>
      </c>
      <c r="G114" s="4">
        <f>VLOOKUP($A114,[1]彩未分析60315!$A:$M,13,0)</f>
        <v>29</v>
      </c>
      <c r="H114" s="3" t="s">
        <v>10</v>
      </c>
      <c r="I114" s="3" t="s">
        <v>235</v>
      </c>
    </row>
    <row r="115" customHeight="1" spans="1:9">
      <c r="A115" s="4" t="s">
        <v>236</v>
      </c>
      <c r="B115" s="4">
        <f>VLOOKUP($A115,[1]彩未分析60315!$A:$M,8,0)</f>
        <v>39</v>
      </c>
      <c r="C115" s="4">
        <f>VLOOKUP($A115,[1]彩未分析60315!$A:$M,9,0)</f>
        <v>37</v>
      </c>
      <c r="D115" s="4">
        <f>VLOOKUP($A115,[1]彩未分析60315!$A:$M,10,0)</f>
        <v>36</v>
      </c>
      <c r="E115" s="4">
        <f>VLOOKUP($A115,[1]彩未分析60315!$A:$M,11,0)</f>
        <v>34</v>
      </c>
      <c r="F115" s="4">
        <f>VLOOKUP($A115,[1]彩未分析60315!$A:$M,12,0)</f>
        <v>33</v>
      </c>
      <c r="G115" s="4">
        <f>VLOOKUP($A115,[1]彩未分析60315!$A:$M,13,0)</f>
        <v>31</v>
      </c>
      <c r="H115" s="3" t="s">
        <v>10</v>
      </c>
      <c r="I115" s="3" t="s">
        <v>237</v>
      </c>
    </row>
    <row r="116" customHeight="1" spans="1:9">
      <c r="A116" s="4" t="s">
        <v>238</v>
      </c>
      <c r="B116" s="4">
        <f>VLOOKUP($A116,[1]彩未分析60315!$A:$M,8,0)</f>
        <v>41</v>
      </c>
      <c r="C116" s="4">
        <f>VLOOKUP($A116,[1]彩未分析60315!$A:$M,9,0)</f>
        <v>39</v>
      </c>
      <c r="D116" s="4">
        <f>VLOOKUP($A116,[1]彩未分析60315!$A:$M,10,0)</f>
        <v>38</v>
      </c>
      <c r="E116" s="4">
        <f>VLOOKUP($A116,[1]彩未分析60315!$A:$M,11,0)</f>
        <v>36</v>
      </c>
      <c r="F116" s="4">
        <f>VLOOKUP($A116,[1]彩未分析60315!$A:$M,12,0)</f>
        <v>35</v>
      </c>
      <c r="G116" s="4">
        <f>VLOOKUP($A116,[1]彩未分析60315!$A:$M,13,0)</f>
        <v>33</v>
      </c>
      <c r="H116" s="3" t="s">
        <v>10</v>
      </c>
      <c r="I116" s="3" t="s">
        <v>239</v>
      </c>
    </row>
    <row r="117" customHeight="1" spans="1:9">
      <c r="A117" s="4" t="s">
        <v>240</v>
      </c>
      <c r="B117" s="4">
        <f>VLOOKUP($A117,[1]彩未分析60315!$A:$M,8,0)</f>
        <v>27</v>
      </c>
      <c r="C117" s="4">
        <f>VLOOKUP($A117,[1]彩未分析60315!$A:$M,9,0)</f>
        <v>26</v>
      </c>
      <c r="D117" s="4">
        <f>VLOOKUP($A117,[1]彩未分析60315!$A:$M,10,0)</f>
        <v>25</v>
      </c>
      <c r="E117" s="4">
        <f>VLOOKUP($A117,[1]彩未分析60315!$A:$M,11,0)</f>
        <v>24</v>
      </c>
      <c r="F117" s="4">
        <f>VLOOKUP($A117,[1]彩未分析60315!$A:$M,12,0)</f>
        <v>23</v>
      </c>
      <c r="G117" s="4">
        <f>VLOOKUP($A117,[1]彩未分析60315!$A:$M,13,0)</f>
        <v>22</v>
      </c>
      <c r="H117" s="3" t="s">
        <v>10</v>
      </c>
      <c r="I117" s="3" t="s">
        <v>241</v>
      </c>
    </row>
    <row r="118" customHeight="1" spans="1:9">
      <c r="A118" s="4" t="s">
        <v>242</v>
      </c>
      <c r="B118" s="4">
        <f>VLOOKUP($A118,[1]彩未分析60315!$A:$M,8,0)</f>
        <v>32</v>
      </c>
      <c r="C118" s="4">
        <f>VLOOKUP($A118,[1]彩未分析60315!$A:$M,9,0)</f>
        <v>31</v>
      </c>
      <c r="D118" s="4">
        <f>VLOOKUP($A118,[1]彩未分析60315!$A:$M,10,0)</f>
        <v>30</v>
      </c>
      <c r="E118" s="4">
        <f>VLOOKUP($A118,[1]彩未分析60315!$A:$M,11,0)</f>
        <v>29</v>
      </c>
      <c r="F118" s="4">
        <f>VLOOKUP($A118,[1]彩未分析60315!$A:$M,12,0)</f>
        <v>28</v>
      </c>
      <c r="G118" s="4">
        <f>VLOOKUP($A118,[1]彩未分析60315!$A:$M,13,0)</f>
        <v>26</v>
      </c>
      <c r="H118" s="3" t="s">
        <v>10</v>
      </c>
      <c r="I118" s="3" t="s">
        <v>243</v>
      </c>
    </row>
    <row r="119" customHeight="1" spans="1:9">
      <c r="A119" s="4" t="s">
        <v>244</v>
      </c>
      <c r="B119" s="4">
        <f>VLOOKUP($A119,[1]彩未分析60315!$A:$M,8,0)</f>
        <v>42</v>
      </c>
      <c r="C119" s="4">
        <f>VLOOKUP($A119,[1]彩未分析60315!$A:$M,9,0)</f>
        <v>40</v>
      </c>
      <c r="D119" s="4">
        <f>VLOOKUP($A119,[1]彩未分析60315!$A:$M,10,0)</f>
        <v>39</v>
      </c>
      <c r="E119" s="4">
        <f>VLOOKUP($A119,[1]彩未分析60315!$A:$M,11,0)</f>
        <v>37</v>
      </c>
      <c r="F119" s="4">
        <f>VLOOKUP($A119,[1]彩未分析60315!$A:$M,12,0)</f>
        <v>36</v>
      </c>
      <c r="G119" s="4">
        <f>VLOOKUP($A119,[1]彩未分析60315!$A:$M,13,0)</f>
        <v>34</v>
      </c>
      <c r="H119" s="3" t="s">
        <v>10</v>
      </c>
      <c r="I119" s="3" t="s">
        <v>245</v>
      </c>
    </row>
    <row r="120" customHeight="1" spans="1:9">
      <c r="A120" s="4" t="s">
        <v>246</v>
      </c>
      <c r="B120" s="4">
        <f>VLOOKUP($A120,[1]彩未分析60315!$A:$M,8,0)</f>
        <v>32</v>
      </c>
      <c r="C120" s="4">
        <f>VLOOKUP($A120,[1]彩未分析60315!$A:$M,9,0)</f>
        <v>31</v>
      </c>
      <c r="D120" s="4">
        <f>VLOOKUP($A120,[1]彩未分析60315!$A:$M,10,0)</f>
        <v>30</v>
      </c>
      <c r="E120" s="4">
        <f>VLOOKUP($A120,[1]彩未分析60315!$A:$M,11,0)</f>
        <v>29</v>
      </c>
      <c r="F120" s="4">
        <f>VLOOKUP($A120,[1]彩未分析60315!$A:$M,12,0)</f>
        <v>28</v>
      </c>
      <c r="G120" s="4">
        <f>VLOOKUP($A120,[1]彩未分析60315!$A:$M,13,0)</f>
        <v>27</v>
      </c>
      <c r="H120" s="3" t="s">
        <v>10</v>
      </c>
      <c r="I120" s="3" t="s">
        <v>247</v>
      </c>
    </row>
    <row r="121" customHeight="1" spans="1:9">
      <c r="A121" s="4" t="s">
        <v>248</v>
      </c>
      <c r="B121" s="4">
        <f>VLOOKUP($A121,[1]彩未分析60315!$A:$M,8,0)</f>
        <v>37</v>
      </c>
      <c r="C121" s="4">
        <f>VLOOKUP($A121,[1]彩未分析60315!$A:$M,9,0)</f>
        <v>35</v>
      </c>
      <c r="D121" s="4">
        <f>VLOOKUP($A121,[1]彩未分析60315!$A:$M,10,0)</f>
        <v>34</v>
      </c>
      <c r="E121" s="4">
        <f>VLOOKUP($A121,[1]彩未分析60315!$A:$M,11,0)</f>
        <v>33</v>
      </c>
      <c r="F121" s="4">
        <f>VLOOKUP($A121,[1]彩未分析60315!$A:$M,12,0)</f>
        <v>31</v>
      </c>
      <c r="G121" s="4">
        <f>VLOOKUP($A121,[1]彩未分析60315!$A:$M,13,0)</f>
        <v>30</v>
      </c>
      <c r="H121" s="3" t="s">
        <v>10</v>
      </c>
      <c r="I121" s="3" t="s">
        <v>249</v>
      </c>
    </row>
    <row r="122" customHeight="1" spans="1:9">
      <c r="A122" s="4" t="s">
        <v>250</v>
      </c>
      <c r="B122" s="4">
        <f>VLOOKUP($A122,[1]彩未分析60315!$A:$M,8,0)</f>
        <v>56</v>
      </c>
      <c r="C122" s="4">
        <f>VLOOKUP($A122,[1]彩未分析60315!$A:$M,9,0)</f>
        <v>55</v>
      </c>
      <c r="D122" s="4">
        <f>VLOOKUP($A122,[1]彩未分析60315!$A:$M,10,0)</f>
        <v>54</v>
      </c>
      <c r="E122" s="4">
        <f>VLOOKUP($A122,[1]彩未分析60315!$A:$M,11,0)</f>
        <v>53</v>
      </c>
      <c r="F122" s="4">
        <f>VLOOKUP($A122,[1]彩未分析60315!$A:$M,12,0)</f>
        <v>53</v>
      </c>
      <c r="G122" s="4">
        <f>VLOOKUP($A122,[1]彩未分析60315!$A:$M,13,0)</f>
        <v>52</v>
      </c>
      <c r="H122" s="3" t="s">
        <v>39</v>
      </c>
      <c r="I122" s="3" t="s">
        <v>251</v>
      </c>
    </row>
    <row r="123" customHeight="1" spans="1:9">
      <c r="A123" s="4" t="s">
        <v>252</v>
      </c>
      <c r="B123" s="4">
        <f>VLOOKUP($A123,[1]彩未分析60315!$A:$M,8,0)</f>
        <v>29</v>
      </c>
      <c r="C123" s="4">
        <f>VLOOKUP($A123,[1]彩未分析60315!$A:$M,9,0)</f>
        <v>28</v>
      </c>
      <c r="D123" s="4">
        <f>VLOOKUP($A123,[1]彩未分析60315!$A:$M,10,0)</f>
        <v>27</v>
      </c>
      <c r="E123" s="4">
        <f>VLOOKUP($A123,[1]彩未分析60315!$A:$M,11,0)</f>
        <v>26</v>
      </c>
      <c r="F123" s="4">
        <f>VLOOKUP($A123,[1]彩未分析60315!$A:$M,12,0)</f>
        <v>25</v>
      </c>
      <c r="G123" s="4">
        <f>VLOOKUP($A123,[1]彩未分析60315!$A:$M,13,0)</f>
        <v>24</v>
      </c>
      <c r="H123" s="3" t="s">
        <v>10</v>
      </c>
      <c r="I123" s="3" t="s">
        <v>253</v>
      </c>
    </row>
    <row r="124" customHeight="1" spans="1:9">
      <c r="A124" s="4" t="s">
        <v>254</v>
      </c>
      <c r="B124" s="4">
        <f>VLOOKUP($A124,[1]彩未分析60315!$A:$M,8,0)</f>
        <v>30</v>
      </c>
      <c r="C124" s="4">
        <f>VLOOKUP($A124,[1]彩未分析60315!$A:$M,9,0)</f>
        <v>29</v>
      </c>
      <c r="D124" s="4">
        <f>VLOOKUP($A124,[1]彩未分析60315!$A:$M,10,0)</f>
        <v>28</v>
      </c>
      <c r="E124" s="4">
        <f>VLOOKUP($A124,[1]彩未分析60315!$A:$M,11,0)</f>
        <v>26</v>
      </c>
      <c r="F124" s="4">
        <f>VLOOKUP($A124,[1]彩未分析60315!$A:$M,12,0)</f>
        <v>25</v>
      </c>
      <c r="G124" s="4">
        <f>VLOOKUP($A124,[1]彩未分析60315!$A:$M,13,0)</f>
        <v>24</v>
      </c>
      <c r="H124" s="3" t="s">
        <v>10</v>
      </c>
      <c r="I124" s="3" t="s">
        <v>255</v>
      </c>
    </row>
    <row r="125" customHeight="1" spans="1:9">
      <c r="A125" s="4" t="s">
        <v>256</v>
      </c>
      <c r="B125" s="4">
        <f>VLOOKUP($A125,[1]彩未分析60315!$A:$M,8,0)</f>
        <v>30</v>
      </c>
      <c r="C125" s="4">
        <f>VLOOKUP($A125,[1]彩未分析60315!$A:$M,9,0)</f>
        <v>29</v>
      </c>
      <c r="D125" s="4">
        <f>VLOOKUP($A125,[1]彩未分析60315!$A:$M,10,0)</f>
        <v>28</v>
      </c>
      <c r="E125" s="4">
        <f>VLOOKUP($A125,[1]彩未分析60315!$A:$M,11,0)</f>
        <v>27</v>
      </c>
      <c r="F125" s="4">
        <f>VLOOKUP($A125,[1]彩未分析60315!$A:$M,12,0)</f>
        <v>26</v>
      </c>
      <c r="G125" s="4">
        <f>VLOOKUP($A125,[1]彩未分析60315!$A:$M,13,0)</f>
        <v>25</v>
      </c>
      <c r="H125" s="3" t="s">
        <v>10</v>
      </c>
      <c r="I125" s="3" t="s">
        <v>257</v>
      </c>
    </row>
    <row r="126" customHeight="1" spans="1:9">
      <c r="A126" s="4" t="s">
        <v>258</v>
      </c>
      <c r="B126" s="4">
        <f>VLOOKUP($A126,[1]彩未分析60315!$A:$M,8,0)</f>
        <v>27</v>
      </c>
      <c r="C126" s="4">
        <f>VLOOKUP($A126,[1]彩未分析60315!$A:$M,9,0)</f>
        <v>26</v>
      </c>
      <c r="D126" s="4">
        <f>VLOOKUP($A126,[1]彩未分析60315!$A:$M,10,0)</f>
        <v>25</v>
      </c>
      <c r="E126" s="4">
        <f>VLOOKUP($A126,[1]彩未分析60315!$A:$M,11,0)</f>
        <v>24</v>
      </c>
      <c r="F126" s="4">
        <f>VLOOKUP($A126,[1]彩未分析60315!$A:$M,12,0)</f>
        <v>23</v>
      </c>
      <c r="G126" s="4">
        <f>VLOOKUP($A126,[1]彩未分析60315!$A:$M,13,0)</f>
        <v>22</v>
      </c>
      <c r="H126" s="3" t="s">
        <v>10</v>
      </c>
      <c r="I126" s="3" t="s">
        <v>259</v>
      </c>
    </row>
    <row r="127" customHeight="1" spans="1:9">
      <c r="A127" s="4" t="s">
        <v>260</v>
      </c>
      <c r="B127" s="4">
        <f>VLOOKUP($A127,[1]彩未分析60315!$A:$M,8,0)</f>
        <v>34</v>
      </c>
      <c r="C127" s="4">
        <f>VLOOKUP($A127,[1]彩未分析60315!$A:$M,9,0)</f>
        <v>33</v>
      </c>
      <c r="D127" s="4">
        <f>VLOOKUP($A127,[1]彩未分析60315!$A:$M,10,0)</f>
        <v>31</v>
      </c>
      <c r="E127" s="4">
        <f>VLOOKUP($A127,[1]彩未分析60315!$A:$M,11,0)</f>
        <v>30</v>
      </c>
      <c r="F127" s="4">
        <f>VLOOKUP($A127,[1]彩未分析60315!$A:$M,12,0)</f>
        <v>29</v>
      </c>
      <c r="G127" s="4">
        <f>VLOOKUP($A127,[1]彩未分析60315!$A:$M,13,0)</f>
        <v>28</v>
      </c>
      <c r="H127" s="3" t="s">
        <v>10</v>
      </c>
      <c r="I127" s="3" t="s">
        <v>261</v>
      </c>
    </row>
    <row r="128" customHeight="1" spans="1:9">
      <c r="A128" s="4" t="s">
        <v>262</v>
      </c>
      <c r="B128" s="4">
        <f>VLOOKUP($A128,[1]彩未分析60315!$A:$M,8,0)</f>
        <v>31</v>
      </c>
      <c r="C128" s="4">
        <f>VLOOKUP($A128,[1]彩未分析60315!$A:$M,9,0)</f>
        <v>30</v>
      </c>
      <c r="D128" s="4">
        <f>VLOOKUP($A128,[1]彩未分析60315!$A:$M,10,0)</f>
        <v>29</v>
      </c>
      <c r="E128" s="4">
        <f>VLOOKUP($A128,[1]彩未分析60315!$A:$M,11,0)</f>
        <v>28</v>
      </c>
      <c r="F128" s="4">
        <f>VLOOKUP($A128,[1]彩未分析60315!$A:$M,12,0)</f>
        <v>27</v>
      </c>
      <c r="G128" s="4">
        <f>VLOOKUP($A128,[1]彩未分析60315!$A:$M,13,0)</f>
        <v>25</v>
      </c>
      <c r="H128" s="3" t="s">
        <v>10</v>
      </c>
      <c r="I128" s="3" t="s">
        <v>85</v>
      </c>
    </row>
    <row r="129" customHeight="1" spans="1:9">
      <c r="A129" s="4" t="s">
        <v>263</v>
      </c>
      <c r="B129" s="4">
        <f>VLOOKUP($A129,[1]彩未分析60315!$A:$M,8,0)</f>
        <v>30</v>
      </c>
      <c r="C129" s="4">
        <f>VLOOKUP($A129,[1]彩未分析60315!$A:$M,9,0)</f>
        <v>29</v>
      </c>
      <c r="D129" s="4">
        <f>VLOOKUP($A129,[1]彩未分析60315!$A:$M,10,0)</f>
        <v>28</v>
      </c>
      <c r="E129" s="4">
        <f>VLOOKUP($A129,[1]彩未分析60315!$A:$M,11,0)</f>
        <v>27</v>
      </c>
      <c r="F129" s="4">
        <f>VLOOKUP($A129,[1]彩未分析60315!$A:$M,12,0)</f>
        <v>26</v>
      </c>
      <c r="G129" s="4">
        <f>VLOOKUP($A129,[1]彩未分析60315!$A:$M,13,0)</f>
        <v>25</v>
      </c>
      <c r="H129" s="3" t="s">
        <v>10</v>
      </c>
      <c r="I129" s="3" t="s">
        <v>264</v>
      </c>
    </row>
    <row r="130" customHeight="1" spans="1:9">
      <c r="A130" s="4" t="s">
        <v>265</v>
      </c>
      <c r="B130" s="4">
        <f>VLOOKUP($A130,[1]彩未分析60315!$A:$M,8,0)</f>
        <v>74</v>
      </c>
      <c r="C130" s="4">
        <f>VLOOKUP($A130,[1]彩未分析60315!$A:$M,9,0)</f>
        <v>71</v>
      </c>
      <c r="D130" s="4">
        <f>VLOOKUP($A130,[1]彩未分析60315!$A:$M,10,0)</f>
        <v>68</v>
      </c>
      <c r="E130" s="4">
        <f>VLOOKUP($A130,[1]彩未分析60315!$A:$M,11,0)</f>
        <v>66</v>
      </c>
      <c r="F130" s="4">
        <f>VLOOKUP($A130,[1]彩未分析60315!$A:$M,12,0)</f>
        <v>63</v>
      </c>
      <c r="G130" s="4">
        <f>VLOOKUP($A130,[1]彩未分析60315!$A:$M,13,0)</f>
        <v>60</v>
      </c>
      <c r="H130" s="3" t="s">
        <v>10</v>
      </c>
      <c r="I130" s="3" t="s">
        <v>266</v>
      </c>
    </row>
    <row r="131" customHeight="1" spans="1:9">
      <c r="A131" s="4" t="s">
        <v>267</v>
      </c>
      <c r="B131" s="4">
        <f>VLOOKUP($A131,[1]彩未分析60315!$A:$M,8,0)</f>
        <v>26</v>
      </c>
      <c r="C131" s="4">
        <f>VLOOKUP($A131,[1]彩未分析60315!$A:$M,9,0)</f>
        <v>25</v>
      </c>
      <c r="D131" s="4">
        <f>VLOOKUP($A131,[1]彩未分析60315!$A:$M,10,0)</f>
        <v>24</v>
      </c>
      <c r="E131" s="4">
        <f>VLOOKUP($A131,[1]彩未分析60315!$A:$M,11,0)</f>
        <v>23</v>
      </c>
      <c r="F131" s="4">
        <f>VLOOKUP($A131,[1]彩未分析60315!$A:$M,12,0)</f>
        <v>22</v>
      </c>
      <c r="G131" s="4">
        <f>VLOOKUP($A131,[1]彩未分析60315!$A:$M,13,0)</f>
        <v>21</v>
      </c>
      <c r="H131" s="3" t="s">
        <v>10</v>
      </c>
      <c r="I131" s="3" t="s">
        <v>268</v>
      </c>
    </row>
    <row r="132" customHeight="1" spans="1:9">
      <c r="A132" s="4" t="s">
        <v>269</v>
      </c>
      <c r="B132" s="4">
        <f>VLOOKUP($A132,[1]彩未分析60315!$A:$M,8,0)</f>
        <v>29</v>
      </c>
      <c r="C132" s="4">
        <f>VLOOKUP($A132,[1]彩未分析60315!$A:$M,9,0)</f>
        <v>28</v>
      </c>
      <c r="D132" s="4">
        <f>VLOOKUP($A132,[1]彩未分析60315!$A:$M,10,0)</f>
        <v>27</v>
      </c>
      <c r="E132" s="4">
        <f>VLOOKUP($A132,[1]彩未分析60315!$A:$M,11,0)</f>
        <v>26</v>
      </c>
      <c r="F132" s="4">
        <f>VLOOKUP($A132,[1]彩未分析60315!$A:$M,12,0)</f>
        <v>25</v>
      </c>
      <c r="G132" s="4">
        <f>VLOOKUP($A132,[1]彩未分析60315!$A:$M,13,0)</f>
        <v>24</v>
      </c>
      <c r="H132" s="3" t="s">
        <v>10</v>
      </c>
      <c r="I132" s="3" t="s">
        <v>270</v>
      </c>
    </row>
    <row r="133" customHeight="1" spans="1:9">
      <c r="A133" s="4" t="s">
        <v>271</v>
      </c>
      <c r="B133" s="4">
        <f>VLOOKUP($A133,[1]彩未分析60315!$A:$M,8,0)</f>
        <v>36</v>
      </c>
      <c r="C133" s="4">
        <f>VLOOKUP($A133,[1]彩未分析60315!$A:$M,9,0)</f>
        <v>35</v>
      </c>
      <c r="D133" s="4">
        <f>VLOOKUP($A133,[1]彩未分析60315!$A:$M,10,0)</f>
        <v>33</v>
      </c>
      <c r="E133" s="4">
        <f>VLOOKUP($A133,[1]彩未分析60315!$A:$M,11,0)</f>
        <v>32</v>
      </c>
      <c r="F133" s="4">
        <f>VLOOKUP($A133,[1]彩未分析60315!$A:$M,12,0)</f>
        <v>31</v>
      </c>
      <c r="G133" s="4">
        <f>VLOOKUP($A133,[1]彩未分析60315!$A:$M,13,0)</f>
        <v>29</v>
      </c>
      <c r="H133" s="3" t="s">
        <v>10</v>
      </c>
      <c r="I133" s="3" t="s">
        <v>272</v>
      </c>
    </row>
    <row r="134" customHeight="1" spans="1:9">
      <c r="A134" s="4" t="s">
        <v>273</v>
      </c>
      <c r="B134" s="4">
        <f>VLOOKUP($A134,[1]彩未分析60315!$A:$M,8,0)</f>
        <v>33</v>
      </c>
      <c r="C134" s="4">
        <f>VLOOKUP($A134,[1]彩未分析60315!$A:$M,9,0)</f>
        <v>32</v>
      </c>
      <c r="D134" s="4">
        <f>VLOOKUP($A134,[1]彩未分析60315!$A:$M,10,0)</f>
        <v>31</v>
      </c>
      <c r="E134" s="4">
        <f>VLOOKUP($A134,[1]彩未分析60315!$A:$M,11,0)</f>
        <v>29</v>
      </c>
      <c r="F134" s="4">
        <f>VLOOKUP($A134,[1]彩未分析60315!$A:$M,12,0)</f>
        <v>28</v>
      </c>
      <c r="G134" s="4">
        <f>VLOOKUP($A134,[1]彩未分析60315!$A:$M,13,0)</f>
        <v>27</v>
      </c>
      <c r="H134" s="3" t="s">
        <v>10</v>
      </c>
      <c r="I134" s="3" t="s">
        <v>274</v>
      </c>
    </row>
    <row r="135" customHeight="1" spans="1:9">
      <c r="A135" s="4" t="s">
        <v>275</v>
      </c>
      <c r="B135" s="4">
        <f>VLOOKUP($A135,[1]彩未分析60315!$A:$M,8,0)</f>
        <v>27</v>
      </c>
      <c r="C135" s="4">
        <f>VLOOKUP($A135,[1]彩未分析60315!$A:$M,9,0)</f>
        <v>26</v>
      </c>
      <c r="D135" s="4">
        <f>VLOOKUP($A135,[1]彩未分析60315!$A:$M,10,0)</f>
        <v>25</v>
      </c>
      <c r="E135" s="4">
        <f>VLOOKUP($A135,[1]彩未分析60315!$A:$M,11,0)</f>
        <v>24</v>
      </c>
      <c r="F135" s="4">
        <f>VLOOKUP($A135,[1]彩未分析60315!$A:$M,12,0)</f>
        <v>23</v>
      </c>
      <c r="G135" s="4">
        <f>VLOOKUP($A135,[1]彩未分析60315!$A:$M,13,0)</f>
        <v>22</v>
      </c>
      <c r="H135" s="3" t="s">
        <v>10</v>
      </c>
      <c r="I135" s="3" t="s">
        <v>276</v>
      </c>
    </row>
    <row r="136" customHeight="1" spans="1:9">
      <c r="A136" s="4" t="s">
        <v>277</v>
      </c>
      <c r="B136" s="4">
        <f>VLOOKUP($A136,[1]彩未分析60315!$A:$M,8,0)</f>
        <v>37</v>
      </c>
      <c r="C136" s="4">
        <f>VLOOKUP($A136,[1]彩未分析60315!$A:$M,9,0)</f>
        <v>35</v>
      </c>
      <c r="D136" s="4">
        <f>VLOOKUP($A136,[1]彩未分析60315!$A:$M,10,0)</f>
        <v>34</v>
      </c>
      <c r="E136" s="4">
        <f>VLOOKUP($A136,[1]彩未分析60315!$A:$M,11,0)</f>
        <v>33</v>
      </c>
      <c r="F136" s="4">
        <f>VLOOKUP($A136,[1]彩未分析60315!$A:$M,12,0)</f>
        <v>31</v>
      </c>
      <c r="G136" s="4">
        <f>VLOOKUP($A136,[1]彩未分析60315!$A:$M,13,0)</f>
        <v>30</v>
      </c>
      <c r="H136" s="3" t="s">
        <v>10</v>
      </c>
      <c r="I136" s="3" t="s">
        <v>278</v>
      </c>
    </row>
    <row r="137" customHeight="1" spans="1:9">
      <c r="A137" s="4" t="s">
        <v>279</v>
      </c>
      <c r="B137" s="4">
        <f>VLOOKUP($A137,[1]彩未分析60315!$A:$M,8,0)</f>
        <v>30</v>
      </c>
      <c r="C137" s="4">
        <f>VLOOKUP($A137,[1]彩未分析60315!$A:$M,9,0)</f>
        <v>28</v>
      </c>
      <c r="D137" s="4">
        <f>VLOOKUP($A137,[1]彩未分析60315!$A:$M,10,0)</f>
        <v>27</v>
      </c>
      <c r="E137" s="4">
        <f>VLOOKUP($A137,[1]彩未分析60315!$A:$M,11,0)</f>
        <v>26</v>
      </c>
      <c r="F137" s="4">
        <f>VLOOKUP($A137,[1]彩未分析60315!$A:$M,12,0)</f>
        <v>25</v>
      </c>
      <c r="G137" s="4">
        <f>VLOOKUP($A137,[1]彩未分析60315!$A:$M,13,0)</f>
        <v>24</v>
      </c>
      <c r="H137" s="3" t="s">
        <v>10</v>
      </c>
      <c r="I137" s="3" t="s">
        <v>280</v>
      </c>
    </row>
    <row r="138" customHeight="1" spans="1:9">
      <c r="A138" s="4" t="s">
        <v>281</v>
      </c>
      <c r="B138" s="4">
        <f>VLOOKUP($A138,[1]彩未分析60315!$A:$M,8,0)</f>
        <v>37</v>
      </c>
      <c r="C138" s="4">
        <f>VLOOKUP($A138,[1]彩未分析60315!$A:$M,9,0)</f>
        <v>35</v>
      </c>
      <c r="D138" s="4">
        <f>VLOOKUP($A138,[1]彩未分析60315!$A:$M,10,0)</f>
        <v>34</v>
      </c>
      <c r="E138" s="4">
        <f>VLOOKUP($A138,[1]彩未分析60315!$A:$M,11,0)</f>
        <v>33</v>
      </c>
      <c r="F138" s="4">
        <f>VLOOKUP($A138,[1]彩未分析60315!$A:$M,12,0)</f>
        <v>31</v>
      </c>
      <c r="G138" s="4">
        <f>VLOOKUP($A138,[1]彩未分析60315!$A:$M,13,0)</f>
        <v>30</v>
      </c>
      <c r="H138" s="3" t="s">
        <v>10</v>
      </c>
      <c r="I138" s="3" t="s">
        <v>282</v>
      </c>
    </row>
    <row r="139" customHeight="1" spans="1:9">
      <c r="A139" s="4" t="s">
        <v>283</v>
      </c>
      <c r="B139" s="4">
        <f>VLOOKUP($A139,[1]彩未分析60315!$A:$M,8,0)</f>
        <v>41</v>
      </c>
      <c r="C139" s="4">
        <f>VLOOKUP($A139,[1]彩未分析60315!$A:$M,9,0)</f>
        <v>40</v>
      </c>
      <c r="D139" s="4">
        <f>VLOOKUP($A139,[1]彩未分析60315!$A:$M,10,0)</f>
        <v>38</v>
      </c>
      <c r="E139" s="4">
        <f>VLOOKUP($A139,[1]彩未分析60315!$A:$M,11,0)</f>
        <v>37</v>
      </c>
      <c r="F139" s="4">
        <f>VLOOKUP($A139,[1]彩未分析60315!$A:$M,12,0)</f>
        <v>35</v>
      </c>
      <c r="G139" s="4">
        <f>VLOOKUP($A139,[1]彩未分析60315!$A:$M,13,0)</f>
        <v>34</v>
      </c>
      <c r="H139" s="3" t="s">
        <v>10</v>
      </c>
      <c r="I139" s="3" t="s">
        <v>284</v>
      </c>
    </row>
    <row r="140" customHeight="1" spans="1:9">
      <c r="A140" s="4" t="s">
        <v>285</v>
      </c>
      <c r="B140" s="4">
        <f>VLOOKUP($A140,[1]彩未分析60315!$A:$M,8,0)</f>
        <v>32</v>
      </c>
      <c r="C140" s="4">
        <f>VLOOKUP($A140,[1]彩未分析60315!$A:$M,9,0)</f>
        <v>31</v>
      </c>
      <c r="D140" s="4">
        <f>VLOOKUP($A140,[1]彩未分析60315!$A:$M,10,0)</f>
        <v>29</v>
      </c>
      <c r="E140" s="4">
        <f>VLOOKUP($A140,[1]彩未分析60315!$A:$M,11,0)</f>
        <v>28</v>
      </c>
      <c r="F140" s="4">
        <f>VLOOKUP($A140,[1]彩未分析60315!$A:$M,12,0)</f>
        <v>27</v>
      </c>
      <c r="G140" s="4">
        <f>VLOOKUP($A140,[1]彩未分析60315!$A:$M,13,0)</f>
        <v>26</v>
      </c>
      <c r="H140" s="3" t="s">
        <v>10</v>
      </c>
      <c r="I140" s="3" t="s">
        <v>286</v>
      </c>
    </row>
    <row r="141" customHeight="1" spans="1:9">
      <c r="A141" s="4" t="s">
        <v>287</v>
      </c>
      <c r="B141" s="4">
        <f>VLOOKUP($A141,[1]彩未分析60315!$A:$M,8,0)</f>
        <v>34</v>
      </c>
      <c r="C141" s="4">
        <f>VLOOKUP($A141,[1]彩未分析60315!$A:$M,9,0)</f>
        <v>33</v>
      </c>
      <c r="D141" s="4">
        <f>VLOOKUP($A141,[1]彩未分析60315!$A:$M,10,0)</f>
        <v>32</v>
      </c>
      <c r="E141" s="4">
        <f>VLOOKUP($A141,[1]彩未分析60315!$A:$M,11,0)</f>
        <v>30</v>
      </c>
      <c r="F141" s="4">
        <f>VLOOKUP($A141,[1]彩未分析60315!$A:$M,12,0)</f>
        <v>29</v>
      </c>
      <c r="G141" s="4">
        <f>VLOOKUP($A141,[1]彩未分析60315!$A:$M,13,0)</f>
        <v>28</v>
      </c>
      <c r="H141" s="3" t="s">
        <v>10</v>
      </c>
      <c r="I141" s="3" t="s">
        <v>288</v>
      </c>
    </row>
    <row r="142" customHeight="1" spans="1:9">
      <c r="A142" s="4" t="s">
        <v>289</v>
      </c>
      <c r="B142" s="4">
        <f>VLOOKUP($A142,[1]彩未分析60315!$A:$M,8,0)</f>
        <v>43</v>
      </c>
      <c r="C142" s="4">
        <f>VLOOKUP($A142,[1]彩未分析60315!$A:$M,9,0)</f>
        <v>41</v>
      </c>
      <c r="D142" s="4">
        <f>VLOOKUP($A142,[1]彩未分析60315!$A:$M,10,0)</f>
        <v>40</v>
      </c>
      <c r="E142" s="4">
        <f>VLOOKUP($A142,[1]彩未分析60315!$A:$M,11,0)</f>
        <v>38</v>
      </c>
      <c r="F142" s="4">
        <f>VLOOKUP($A142,[1]彩未分析60315!$A:$M,12,0)</f>
        <v>37</v>
      </c>
      <c r="G142" s="4">
        <f>VLOOKUP($A142,[1]彩未分析60315!$A:$M,13,0)</f>
        <v>35</v>
      </c>
      <c r="H142" s="3" t="s">
        <v>10</v>
      </c>
      <c r="I142" s="3" t="s">
        <v>290</v>
      </c>
    </row>
    <row r="143" customHeight="1" spans="1:9">
      <c r="A143" s="4" t="s">
        <v>291</v>
      </c>
      <c r="B143" s="4">
        <f>VLOOKUP($A143,[1]彩未分析60315!$A:$M,8,0)</f>
        <v>35</v>
      </c>
      <c r="C143" s="4">
        <f>VLOOKUP($A143,[1]彩未分析60315!$A:$M,9,0)</f>
        <v>34</v>
      </c>
      <c r="D143" s="4">
        <f>VLOOKUP($A143,[1]彩未分析60315!$A:$M,10,0)</f>
        <v>32</v>
      </c>
      <c r="E143" s="4">
        <f>VLOOKUP($A143,[1]彩未分析60315!$A:$M,11,0)</f>
        <v>31</v>
      </c>
      <c r="F143" s="4">
        <f>VLOOKUP($A143,[1]彩未分析60315!$A:$M,12,0)</f>
        <v>30</v>
      </c>
      <c r="G143" s="4">
        <f>VLOOKUP($A143,[1]彩未分析60315!$A:$M,13,0)</f>
        <v>29</v>
      </c>
      <c r="H143" s="3" t="s">
        <v>10</v>
      </c>
      <c r="I143" s="3" t="s">
        <v>292</v>
      </c>
    </row>
    <row r="144" customHeight="1" spans="1:9">
      <c r="A144" s="4" t="s">
        <v>293</v>
      </c>
      <c r="B144" s="4">
        <f>VLOOKUP($A144,[1]彩未分析60315!$A:$M,8,0)</f>
        <v>41</v>
      </c>
      <c r="C144" s="4">
        <f>VLOOKUP($A144,[1]彩未分析60315!$A:$M,9,0)</f>
        <v>40</v>
      </c>
      <c r="D144" s="4">
        <f>VLOOKUP($A144,[1]彩未分析60315!$A:$M,10,0)</f>
        <v>38</v>
      </c>
      <c r="E144" s="4">
        <f>VLOOKUP($A144,[1]彩未分析60315!$A:$M,11,0)</f>
        <v>37</v>
      </c>
      <c r="F144" s="4">
        <f>VLOOKUP($A144,[1]彩未分析60315!$A:$M,12,0)</f>
        <v>35</v>
      </c>
      <c r="G144" s="4">
        <f>VLOOKUP($A144,[1]彩未分析60315!$A:$M,13,0)</f>
        <v>34</v>
      </c>
      <c r="H144" s="3" t="s">
        <v>10</v>
      </c>
      <c r="I144" s="3" t="s">
        <v>294</v>
      </c>
    </row>
    <row r="145" customHeight="1" spans="1:9">
      <c r="A145" s="4" t="s">
        <v>295</v>
      </c>
      <c r="B145" s="4">
        <f>VLOOKUP($A145,[1]彩未分析60315!$A:$M,8,0)</f>
        <v>61</v>
      </c>
      <c r="C145" s="4">
        <f>VLOOKUP($A145,[1]彩未分析60315!$A:$M,9,0)</f>
        <v>60</v>
      </c>
      <c r="D145" s="4">
        <f>VLOOKUP($A145,[1]彩未分析60315!$A:$M,10,0)</f>
        <v>59</v>
      </c>
      <c r="E145" s="4">
        <f>VLOOKUP($A145,[1]彩未分析60315!$A:$M,11,0)</f>
        <v>58</v>
      </c>
      <c r="F145" s="4">
        <f>VLOOKUP($A145,[1]彩未分析60315!$A:$M,12,0)</f>
        <v>57</v>
      </c>
      <c r="G145" s="4">
        <f>VLOOKUP($A145,[1]彩未分析60315!$A:$M,13,0)</f>
        <v>56</v>
      </c>
      <c r="H145" s="3" t="s">
        <v>39</v>
      </c>
      <c r="I145" s="3" t="s">
        <v>296</v>
      </c>
    </row>
    <row r="146" customHeight="1" spans="1:9">
      <c r="A146" s="4" t="s">
        <v>297</v>
      </c>
      <c r="B146" s="4">
        <f>VLOOKUP($A146,[1]彩未分析60315!$A:$M,8,0)</f>
        <v>50</v>
      </c>
      <c r="C146" s="4">
        <f>VLOOKUP($A146,[1]彩未分析60315!$A:$M,9,0)</f>
        <v>48</v>
      </c>
      <c r="D146" s="4">
        <f>VLOOKUP($A146,[1]彩未分析60315!$A:$M,10,0)</f>
        <v>46</v>
      </c>
      <c r="E146" s="4">
        <f>VLOOKUP($A146,[1]彩未分析60315!$A:$M,11,0)</f>
        <v>45</v>
      </c>
      <c r="F146" s="4">
        <f>VLOOKUP($A146,[1]彩未分析60315!$A:$M,12,0)</f>
        <v>43</v>
      </c>
      <c r="G146" s="4">
        <f>VLOOKUP($A146,[1]彩未分析60315!$A:$M,13,0)</f>
        <v>41</v>
      </c>
      <c r="H146" s="3" t="s">
        <v>10</v>
      </c>
      <c r="I146" s="3" t="s">
        <v>298</v>
      </c>
    </row>
    <row r="147" customHeight="1" spans="1:9">
      <c r="A147" s="4" t="s">
        <v>299</v>
      </c>
      <c r="B147" s="4">
        <f>VLOOKUP($A147,[1]彩未分析60315!$A:$M,8,0)</f>
        <v>32</v>
      </c>
      <c r="C147" s="4">
        <f>VLOOKUP($A147,[1]彩未分析60315!$A:$M,9,0)</f>
        <v>31</v>
      </c>
      <c r="D147" s="4">
        <f>VLOOKUP($A147,[1]彩未分析60315!$A:$M,10,0)</f>
        <v>29</v>
      </c>
      <c r="E147" s="4">
        <f>VLOOKUP($A147,[1]彩未分析60315!$A:$M,11,0)</f>
        <v>28</v>
      </c>
      <c r="F147" s="4">
        <f>VLOOKUP($A147,[1]彩未分析60315!$A:$M,12,0)</f>
        <v>27</v>
      </c>
      <c r="G147" s="4">
        <f>VLOOKUP($A147,[1]彩未分析60315!$A:$M,13,0)</f>
        <v>26</v>
      </c>
      <c r="H147" s="3" t="s">
        <v>10</v>
      </c>
      <c r="I147" s="3" t="s">
        <v>300</v>
      </c>
    </row>
    <row r="148" customHeight="1" spans="1:9">
      <c r="A148" s="4" t="s">
        <v>301</v>
      </c>
      <c r="B148" s="4">
        <f>VLOOKUP($A148,[1]彩未分析60315!$A:$M,8,0)</f>
        <v>32</v>
      </c>
      <c r="C148" s="4">
        <f>VLOOKUP($A148,[1]彩未分析60315!$A:$M,9,0)</f>
        <v>31</v>
      </c>
      <c r="D148" s="4">
        <f>VLOOKUP($A148,[1]彩未分析60315!$A:$M,10,0)</f>
        <v>29</v>
      </c>
      <c r="E148" s="4">
        <f>VLOOKUP($A148,[1]彩未分析60315!$A:$M,11,0)</f>
        <v>28</v>
      </c>
      <c r="F148" s="4">
        <f>VLOOKUP($A148,[1]彩未分析60315!$A:$M,12,0)</f>
        <v>27</v>
      </c>
      <c r="G148" s="4">
        <f>VLOOKUP($A148,[1]彩未分析60315!$A:$M,13,0)</f>
        <v>26</v>
      </c>
      <c r="H148" s="3" t="s">
        <v>10</v>
      </c>
      <c r="I148" s="3" t="s">
        <v>302</v>
      </c>
    </row>
    <row r="149" customHeight="1" spans="1:9">
      <c r="A149" s="4" t="s">
        <v>303</v>
      </c>
      <c r="B149" s="4">
        <f>VLOOKUP($A149,[1]彩未分析60315!$A:$M,8,0)</f>
        <v>42</v>
      </c>
      <c r="C149" s="4">
        <f>VLOOKUP($A149,[1]彩未分析60315!$A:$M,9,0)</f>
        <v>41</v>
      </c>
      <c r="D149" s="4">
        <f>VLOOKUP($A149,[1]彩未分析60315!$A:$M,10,0)</f>
        <v>39</v>
      </c>
      <c r="E149" s="4">
        <f>VLOOKUP($A149,[1]彩未分析60315!$A:$M,11,0)</f>
        <v>37</v>
      </c>
      <c r="F149" s="4">
        <f>VLOOKUP($A149,[1]彩未分析60315!$A:$M,12,0)</f>
        <v>36</v>
      </c>
      <c r="G149" s="4">
        <f>VLOOKUP($A149,[1]彩未分析60315!$A:$M,13,0)</f>
        <v>34</v>
      </c>
      <c r="H149" s="3" t="s">
        <v>10</v>
      </c>
      <c r="I149" s="3" t="s">
        <v>304</v>
      </c>
    </row>
    <row r="150" customHeight="1" spans="1:9">
      <c r="A150" s="4" t="s">
        <v>305</v>
      </c>
      <c r="B150" s="4">
        <f>VLOOKUP($A150,[1]彩未分析60315!$A:$M,8,0)</f>
        <v>24</v>
      </c>
      <c r="C150" s="4">
        <f>VLOOKUP($A150,[1]彩未分析60315!$A:$M,9,0)</f>
        <v>24</v>
      </c>
      <c r="D150" s="4">
        <f>VLOOKUP($A150,[1]彩未分析60315!$A:$M,10,0)</f>
        <v>23</v>
      </c>
      <c r="E150" s="4">
        <f>VLOOKUP($A150,[1]彩未分析60315!$A:$M,11,0)</f>
        <v>22</v>
      </c>
      <c r="F150" s="4">
        <f>VLOOKUP($A150,[1]彩未分析60315!$A:$M,12,0)</f>
        <v>21</v>
      </c>
      <c r="G150" s="4">
        <f>VLOOKUP($A150,[1]彩未分析60315!$A:$M,13,0)</f>
        <v>20</v>
      </c>
      <c r="H150" s="3" t="s">
        <v>10</v>
      </c>
      <c r="I150" s="3" t="s">
        <v>306</v>
      </c>
    </row>
    <row r="151" customHeight="1" spans="1:9">
      <c r="A151" s="4" t="s">
        <v>307</v>
      </c>
      <c r="B151" s="4">
        <f>VLOOKUP($A151,[1]彩未分析60315!$A:$M,8,0)</f>
        <v>30</v>
      </c>
      <c r="C151" s="4">
        <f>VLOOKUP($A151,[1]彩未分析60315!$A:$M,9,0)</f>
        <v>29</v>
      </c>
      <c r="D151" s="4">
        <f>VLOOKUP($A151,[1]彩未分析60315!$A:$M,10,0)</f>
        <v>28</v>
      </c>
      <c r="E151" s="4">
        <f>VLOOKUP($A151,[1]彩未分析60315!$A:$M,11,0)</f>
        <v>27</v>
      </c>
      <c r="F151" s="4">
        <f>VLOOKUP($A151,[1]彩未分析60315!$A:$M,12,0)</f>
        <v>26</v>
      </c>
      <c r="G151" s="4">
        <f>VLOOKUP($A151,[1]彩未分析60315!$A:$M,13,0)</f>
        <v>25</v>
      </c>
      <c r="H151" s="3" t="s">
        <v>10</v>
      </c>
      <c r="I151" s="3" t="s">
        <v>308</v>
      </c>
    </row>
    <row r="152" customHeight="1" spans="1:9">
      <c r="A152" s="4" t="s">
        <v>309</v>
      </c>
      <c r="B152" s="4">
        <f>VLOOKUP($A152,[1]彩未分析60315!$A:$M,8,0)</f>
        <v>44</v>
      </c>
      <c r="C152" s="4">
        <f>VLOOKUP($A152,[1]彩未分析60315!$A:$M,9,0)</f>
        <v>43</v>
      </c>
      <c r="D152" s="4">
        <f>VLOOKUP($A152,[1]彩未分析60315!$A:$M,10,0)</f>
        <v>41</v>
      </c>
      <c r="E152" s="4">
        <f>VLOOKUP($A152,[1]彩未分析60315!$A:$M,11,0)</f>
        <v>39</v>
      </c>
      <c r="F152" s="4">
        <f>VLOOKUP($A152,[1]彩未分析60315!$A:$M,12,0)</f>
        <v>38</v>
      </c>
      <c r="G152" s="4">
        <f>VLOOKUP($A152,[1]彩未分析60315!$A:$M,13,0)</f>
        <v>36</v>
      </c>
      <c r="H152" s="3" t="s">
        <v>10</v>
      </c>
      <c r="I152" s="3" t="s">
        <v>310</v>
      </c>
    </row>
    <row r="153" customHeight="1" spans="1:9">
      <c r="A153" s="4" t="s">
        <v>311</v>
      </c>
      <c r="B153" s="4">
        <f>VLOOKUP($A153,[1]彩未分析60315!$A:$M,8,0)</f>
        <v>29</v>
      </c>
      <c r="C153" s="4">
        <f>VLOOKUP($A153,[1]彩未分析60315!$A:$M,9,0)</f>
        <v>28</v>
      </c>
      <c r="D153" s="4">
        <f>VLOOKUP($A153,[1]彩未分析60315!$A:$M,10,0)</f>
        <v>27</v>
      </c>
      <c r="E153" s="4">
        <f>VLOOKUP($A153,[1]彩未分析60315!$A:$M,11,0)</f>
        <v>26</v>
      </c>
      <c r="F153" s="4">
        <f>VLOOKUP($A153,[1]彩未分析60315!$A:$M,12,0)</f>
        <v>25</v>
      </c>
      <c r="G153" s="4">
        <f>VLOOKUP($A153,[1]彩未分析60315!$A:$M,13,0)</f>
        <v>24</v>
      </c>
      <c r="H153" s="3" t="s">
        <v>10</v>
      </c>
      <c r="I153" s="3" t="s">
        <v>312</v>
      </c>
    </row>
    <row r="154" customHeight="1" spans="1:9">
      <c r="A154" s="4" t="s">
        <v>313</v>
      </c>
      <c r="B154" s="4">
        <f>VLOOKUP($A154,[1]彩未分析60315!$A:$M,8,0)</f>
        <v>29</v>
      </c>
      <c r="C154" s="4">
        <f>VLOOKUP($A154,[1]彩未分析60315!$A:$M,9,0)</f>
        <v>28</v>
      </c>
      <c r="D154" s="4">
        <f>VLOOKUP($A154,[1]彩未分析60315!$A:$M,10,0)</f>
        <v>27</v>
      </c>
      <c r="E154" s="4">
        <f>VLOOKUP($A154,[1]彩未分析60315!$A:$M,11,0)</f>
        <v>26</v>
      </c>
      <c r="F154" s="4">
        <f>VLOOKUP($A154,[1]彩未分析60315!$A:$M,12,0)</f>
        <v>25</v>
      </c>
      <c r="G154" s="4">
        <f>VLOOKUP($A154,[1]彩未分析60315!$A:$M,13,0)</f>
        <v>24</v>
      </c>
      <c r="H154" s="3" t="s">
        <v>10</v>
      </c>
      <c r="I154" s="3" t="s">
        <v>314</v>
      </c>
    </row>
    <row r="155" customHeight="1" spans="1:9">
      <c r="A155" s="4" t="s">
        <v>315</v>
      </c>
      <c r="B155" s="4">
        <f>VLOOKUP($A155,[1]彩未分析60315!$A:$M,8,0)</f>
        <v>49</v>
      </c>
      <c r="C155" s="4">
        <f>VLOOKUP($A155,[1]彩未分析60315!$A:$M,9,0)</f>
        <v>48</v>
      </c>
      <c r="D155" s="4">
        <f>VLOOKUP($A155,[1]彩未分析60315!$A:$M,10,0)</f>
        <v>46</v>
      </c>
      <c r="E155" s="4">
        <f>VLOOKUP($A155,[1]彩未分析60315!$A:$M,11,0)</f>
        <v>44</v>
      </c>
      <c r="F155" s="4">
        <f>VLOOKUP($A155,[1]彩未分析60315!$A:$M,12,0)</f>
        <v>42</v>
      </c>
      <c r="G155" s="4">
        <f>VLOOKUP($A155,[1]彩未分析60315!$A:$M,13,0)</f>
        <v>40</v>
      </c>
      <c r="H155" s="3" t="s">
        <v>10</v>
      </c>
      <c r="I155" s="3" t="s">
        <v>316</v>
      </c>
    </row>
    <row r="156" customHeight="1" spans="1:9">
      <c r="A156" s="4" t="s">
        <v>317</v>
      </c>
      <c r="B156" s="4">
        <f>VLOOKUP($A156,[1]彩未分析60315!$A:$M,8,0)</f>
        <v>34</v>
      </c>
      <c r="C156" s="4">
        <f>VLOOKUP($A156,[1]彩未分析60315!$A:$M,9,0)</f>
        <v>33</v>
      </c>
      <c r="D156" s="4">
        <f>VLOOKUP($A156,[1]彩未分析60315!$A:$M,10,0)</f>
        <v>32</v>
      </c>
      <c r="E156" s="4">
        <f>VLOOKUP($A156,[1]彩未分析60315!$A:$M,11,0)</f>
        <v>30</v>
      </c>
      <c r="F156" s="4">
        <f>VLOOKUP($A156,[1]彩未分析60315!$A:$M,12,0)</f>
        <v>29</v>
      </c>
      <c r="G156" s="4">
        <f>VLOOKUP($A156,[1]彩未分析60315!$A:$M,13,0)</f>
        <v>28</v>
      </c>
      <c r="H156" s="3" t="s">
        <v>10</v>
      </c>
      <c r="I156" s="3" t="s">
        <v>318</v>
      </c>
    </row>
    <row r="157" customHeight="1" spans="1:9">
      <c r="A157" s="4" t="s">
        <v>319</v>
      </c>
      <c r="B157" s="4">
        <f>VLOOKUP($A157,[1]彩未分析60315!$A:$M,8,0)</f>
        <v>27</v>
      </c>
      <c r="C157" s="4">
        <f>VLOOKUP($A157,[1]彩未分析60315!$A:$M,9,0)</f>
        <v>26</v>
      </c>
      <c r="D157" s="4">
        <f>VLOOKUP($A157,[1]彩未分析60315!$A:$M,10,0)</f>
        <v>25</v>
      </c>
      <c r="E157" s="4">
        <f>VLOOKUP($A157,[1]彩未分析60315!$A:$M,11,0)</f>
        <v>24</v>
      </c>
      <c r="F157" s="4">
        <f>VLOOKUP($A157,[1]彩未分析60315!$A:$M,12,0)</f>
        <v>23</v>
      </c>
      <c r="G157" s="4">
        <f>VLOOKUP($A157,[1]彩未分析60315!$A:$M,13,0)</f>
        <v>22</v>
      </c>
      <c r="H157" s="3" t="s">
        <v>10</v>
      </c>
      <c r="I157" s="3" t="s">
        <v>320</v>
      </c>
    </row>
    <row r="158" customHeight="1" spans="1:9">
      <c r="A158" s="4" t="s">
        <v>321</v>
      </c>
      <c r="B158" s="4">
        <f>VLOOKUP($A158,[1]彩未分析60315!$A:$M,8,0)</f>
        <v>46</v>
      </c>
      <c r="C158" s="4">
        <f>VLOOKUP($A158,[1]彩未分析60315!$A:$M,9,0)</f>
        <v>44</v>
      </c>
      <c r="D158" s="4">
        <f>VLOOKUP($A158,[1]彩未分析60315!$A:$M,10,0)</f>
        <v>42</v>
      </c>
      <c r="E158" s="4">
        <f>VLOOKUP($A158,[1]彩未分析60315!$A:$M,11,0)</f>
        <v>41</v>
      </c>
      <c r="F158" s="4">
        <f>VLOOKUP($A158,[1]彩未分析60315!$A:$M,12,0)</f>
        <v>39</v>
      </c>
      <c r="G158" s="4">
        <f>VLOOKUP($A158,[1]彩未分析60315!$A:$M,13,0)</f>
        <v>37</v>
      </c>
      <c r="H158" s="3" t="s">
        <v>10</v>
      </c>
      <c r="I158" s="3" t="s">
        <v>322</v>
      </c>
    </row>
    <row r="159" customHeight="1" spans="1:9">
      <c r="A159" s="4" t="s">
        <v>323</v>
      </c>
      <c r="B159" s="4">
        <f>VLOOKUP($A159,[1]彩未分析60315!$A:$M,8,0)</f>
        <v>41</v>
      </c>
      <c r="C159" s="4">
        <f>VLOOKUP($A159,[1]彩未分析60315!$A:$M,9,0)</f>
        <v>39</v>
      </c>
      <c r="D159" s="4">
        <f>VLOOKUP($A159,[1]彩未分析60315!$A:$M,10,0)</f>
        <v>38</v>
      </c>
      <c r="E159" s="4">
        <f>VLOOKUP($A159,[1]彩未分析60315!$A:$M,11,0)</f>
        <v>36</v>
      </c>
      <c r="F159" s="4">
        <f>VLOOKUP($A159,[1]彩未分析60315!$A:$M,12,0)</f>
        <v>35</v>
      </c>
      <c r="G159" s="4">
        <f>VLOOKUP($A159,[1]彩未分析60315!$A:$M,13,0)</f>
        <v>33</v>
      </c>
      <c r="H159" s="3" t="s">
        <v>10</v>
      </c>
      <c r="I159" s="3" t="s">
        <v>324</v>
      </c>
    </row>
    <row r="160" customHeight="1" spans="1:9">
      <c r="A160" s="4" t="s">
        <v>325</v>
      </c>
      <c r="B160" s="4">
        <f>VLOOKUP($A160,[1]彩未分析60315!$A:$M,8,0)</f>
        <v>42</v>
      </c>
      <c r="C160" s="4">
        <f>VLOOKUP($A160,[1]彩未分析60315!$A:$M,9,0)</f>
        <v>41</v>
      </c>
      <c r="D160" s="4">
        <f>VLOOKUP($A160,[1]彩未分析60315!$A:$M,10,0)</f>
        <v>39</v>
      </c>
      <c r="E160" s="4">
        <f>VLOOKUP($A160,[1]彩未分析60315!$A:$M,11,0)</f>
        <v>38</v>
      </c>
      <c r="F160" s="4">
        <f>VLOOKUP($A160,[1]彩未分析60315!$A:$M,12,0)</f>
        <v>36</v>
      </c>
      <c r="G160" s="4">
        <f>VLOOKUP($A160,[1]彩未分析60315!$A:$M,13,0)</f>
        <v>34</v>
      </c>
      <c r="H160" s="3" t="s">
        <v>10</v>
      </c>
      <c r="I160" s="3" t="s">
        <v>326</v>
      </c>
    </row>
    <row r="161" customHeight="1" spans="1:9">
      <c r="A161" s="4" t="s">
        <v>327</v>
      </c>
      <c r="B161" s="4">
        <f>VLOOKUP($A161,[1]彩未分析60315!$A:$M,8,0)</f>
        <v>76</v>
      </c>
      <c r="C161" s="4">
        <f>VLOOKUP($A161,[1]彩未分析60315!$A:$M,9,0)</f>
        <v>74</v>
      </c>
      <c r="D161" s="4">
        <f>VLOOKUP($A161,[1]彩未分析60315!$A:$M,10,0)</f>
        <v>73</v>
      </c>
      <c r="E161" s="4">
        <f>VLOOKUP($A161,[1]彩未分析60315!$A:$M,11,0)</f>
        <v>72</v>
      </c>
      <c r="F161" s="4">
        <f>VLOOKUP($A161,[1]彩未分析60315!$A:$M,12,0)</f>
        <v>71</v>
      </c>
      <c r="G161" s="4">
        <f>VLOOKUP($A161,[1]彩未分析60315!$A:$M,13,0)</f>
        <v>70</v>
      </c>
      <c r="H161" s="3" t="s">
        <v>39</v>
      </c>
      <c r="I161" s="3" t="s">
        <v>328</v>
      </c>
    </row>
    <row r="162" customHeight="1" spans="1:9">
      <c r="A162" s="4" t="s">
        <v>329</v>
      </c>
      <c r="B162" s="4">
        <f>VLOOKUP($A162,[1]彩未分析60315!$A:$M,8,0)</f>
        <v>45</v>
      </c>
      <c r="C162" s="4">
        <f>VLOOKUP($A162,[1]彩未分析60315!$A:$M,9,0)</f>
        <v>43</v>
      </c>
      <c r="D162" s="4">
        <f>VLOOKUP($A162,[1]彩未分析60315!$A:$M,10,0)</f>
        <v>42</v>
      </c>
      <c r="E162" s="4">
        <f>VLOOKUP($A162,[1]彩未分析60315!$A:$M,11,0)</f>
        <v>40</v>
      </c>
      <c r="F162" s="4">
        <f>VLOOKUP($A162,[1]彩未分析60315!$A:$M,12,0)</f>
        <v>38</v>
      </c>
      <c r="G162" s="4">
        <f>VLOOKUP($A162,[1]彩未分析60315!$A:$M,13,0)</f>
        <v>37</v>
      </c>
      <c r="H162" s="3" t="s">
        <v>10</v>
      </c>
      <c r="I162" s="3" t="s">
        <v>330</v>
      </c>
    </row>
    <row r="163" customHeight="1" spans="1:9">
      <c r="A163" s="4" t="s">
        <v>331</v>
      </c>
      <c r="B163" s="4">
        <f>VLOOKUP($A163,[1]彩未分析60315!$A:$M,8,0)</f>
        <v>29</v>
      </c>
      <c r="C163" s="4">
        <f>VLOOKUP($A163,[1]彩未分析60315!$A:$M,9,0)</f>
        <v>28</v>
      </c>
      <c r="D163" s="4">
        <f>VLOOKUP($A163,[1]彩未分析60315!$A:$M,10,0)</f>
        <v>27</v>
      </c>
      <c r="E163" s="4">
        <f>VLOOKUP($A163,[1]彩未分析60315!$A:$M,11,0)</f>
        <v>26</v>
      </c>
      <c r="F163" s="4">
        <f>VLOOKUP($A163,[1]彩未分析60315!$A:$M,12,0)</f>
        <v>25</v>
      </c>
      <c r="G163" s="4">
        <f>VLOOKUP($A163,[1]彩未分析60315!$A:$M,13,0)</f>
        <v>24</v>
      </c>
      <c r="H163" s="3" t="s">
        <v>10</v>
      </c>
      <c r="I163" s="3" t="s">
        <v>332</v>
      </c>
    </row>
    <row r="164" customHeight="1" spans="1:9">
      <c r="A164" s="4" t="s">
        <v>333</v>
      </c>
      <c r="B164" s="4">
        <f>VLOOKUP($A164,[1]彩未分析60315!$A:$M,8,0)</f>
        <v>45</v>
      </c>
      <c r="C164" s="4">
        <f>VLOOKUP($A164,[1]彩未分析60315!$A:$M,9,0)</f>
        <v>44</v>
      </c>
      <c r="D164" s="4">
        <f>VLOOKUP($A164,[1]彩未分析60315!$A:$M,10,0)</f>
        <v>42</v>
      </c>
      <c r="E164" s="4">
        <f>VLOOKUP($A164,[1]彩未分析60315!$A:$M,11,0)</f>
        <v>40</v>
      </c>
      <c r="F164" s="4">
        <f>VLOOKUP($A164,[1]彩未分析60315!$A:$M,12,0)</f>
        <v>39</v>
      </c>
      <c r="G164" s="4">
        <f>VLOOKUP($A164,[1]彩未分析60315!$A:$M,13,0)</f>
        <v>37</v>
      </c>
      <c r="H164" s="3" t="s">
        <v>10</v>
      </c>
      <c r="I164" s="3" t="s">
        <v>334</v>
      </c>
    </row>
    <row r="165" customHeight="1" spans="1:9">
      <c r="A165" s="4" t="s">
        <v>335</v>
      </c>
      <c r="B165" s="4">
        <f>VLOOKUP($A165,[1]彩未分析60315!$A:$M,8,0)</f>
        <v>56</v>
      </c>
      <c r="C165" s="4">
        <f>VLOOKUP($A165,[1]彩未分析60315!$A:$M,9,0)</f>
        <v>53</v>
      </c>
      <c r="D165" s="4">
        <f>VLOOKUP($A165,[1]彩未分析60315!$A:$M,10,0)</f>
        <v>51</v>
      </c>
      <c r="E165" s="4">
        <f>VLOOKUP($A165,[1]彩未分析60315!$A:$M,11,0)</f>
        <v>49</v>
      </c>
      <c r="F165" s="4">
        <f>VLOOKUP($A165,[1]彩未分析60315!$A:$M,12,0)</f>
        <v>47</v>
      </c>
      <c r="G165" s="4">
        <f>VLOOKUP($A165,[1]彩未分析60315!$A:$M,13,0)</f>
        <v>45</v>
      </c>
      <c r="H165" s="3" t="s">
        <v>10</v>
      </c>
      <c r="I165" s="3" t="s">
        <v>336</v>
      </c>
    </row>
    <row r="166" customHeight="1" spans="1:9">
      <c r="A166" s="4" t="s">
        <v>337</v>
      </c>
      <c r="B166" s="4">
        <f>VLOOKUP($A166,[1]彩未分析60315!$A:$M,8,0)</f>
        <v>41</v>
      </c>
      <c r="C166" s="4">
        <f>VLOOKUP($A166,[1]彩未分析60315!$A:$M,9,0)</f>
        <v>39</v>
      </c>
      <c r="D166" s="4">
        <f>VLOOKUP($A166,[1]彩未分析60315!$A:$M,10,0)</f>
        <v>38</v>
      </c>
      <c r="E166" s="4">
        <f>VLOOKUP($A166,[1]彩未分析60315!$A:$M,11,0)</f>
        <v>36</v>
      </c>
      <c r="F166" s="4">
        <f>VLOOKUP($A166,[1]彩未分析60315!$A:$M,12,0)</f>
        <v>35</v>
      </c>
      <c r="G166" s="4">
        <f>VLOOKUP($A166,[1]彩未分析60315!$A:$M,13,0)</f>
        <v>33</v>
      </c>
      <c r="H166" s="3" t="s">
        <v>10</v>
      </c>
      <c r="I166" s="3" t="s">
        <v>338</v>
      </c>
    </row>
    <row r="167" customHeight="1" spans="1:9">
      <c r="A167" s="4" t="s">
        <v>339</v>
      </c>
      <c r="B167" s="4">
        <f>VLOOKUP($A167,[1]彩未分析60315!$A:$M,8,0)</f>
        <v>28</v>
      </c>
      <c r="C167" s="4">
        <f>VLOOKUP($A167,[1]彩未分析60315!$A:$M,9,0)</f>
        <v>27</v>
      </c>
      <c r="D167" s="4">
        <f>VLOOKUP($A167,[1]彩未分析60315!$A:$M,10,0)</f>
        <v>26</v>
      </c>
      <c r="E167" s="4">
        <f>VLOOKUP($A167,[1]彩未分析60315!$A:$M,11,0)</f>
        <v>25</v>
      </c>
      <c r="F167" s="4">
        <f>VLOOKUP($A167,[1]彩未分析60315!$A:$M,12,0)</f>
        <v>24</v>
      </c>
      <c r="G167" s="4">
        <f>VLOOKUP($A167,[1]彩未分析60315!$A:$M,13,0)</f>
        <v>23</v>
      </c>
      <c r="H167" s="3" t="s">
        <v>10</v>
      </c>
      <c r="I167" s="3" t="s">
        <v>340</v>
      </c>
    </row>
    <row r="168" customHeight="1" spans="1:9">
      <c r="A168" s="4" t="s">
        <v>341</v>
      </c>
      <c r="B168" s="4">
        <f>VLOOKUP($A168,[1]彩未分析60315!$A:$M,8,0)</f>
        <v>36</v>
      </c>
      <c r="C168" s="4">
        <f>VLOOKUP($A168,[1]彩未分析60315!$A:$M,9,0)</f>
        <v>35</v>
      </c>
      <c r="D168" s="4">
        <f>VLOOKUP($A168,[1]彩未分析60315!$A:$M,10,0)</f>
        <v>33</v>
      </c>
      <c r="E168" s="4">
        <f>VLOOKUP($A168,[1]彩未分析60315!$A:$M,11,0)</f>
        <v>32</v>
      </c>
      <c r="F168" s="4">
        <f>VLOOKUP($A168,[1]彩未分析60315!$A:$M,12,0)</f>
        <v>31</v>
      </c>
      <c r="G168" s="4">
        <f>VLOOKUP($A168,[1]彩未分析60315!$A:$M,13,0)</f>
        <v>29</v>
      </c>
      <c r="H168" s="3" t="s">
        <v>10</v>
      </c>
      <c r="I168" s="3" t="s">
        <v>342</v>
      </c>
    </row>
    <row r="169" customHeight="1" spans="1:9">
      <c r="A169" s="4" t="s">
        <v>343</v>
      </c>
      <c r="B169" s="4">
        <f>VLOOKUP($A169,[1]彩未分析60315!$A:$M,8,0)</f>
        <v>57</v>
      </c>
      <c r="C169" s="4">
        <f>VLOOKUP($A169,[1]彩未分析60315!$A:$M,9,0)</f>
        <v>56</v>
      </c>
      <c r="D169" s="4">
        <f>VLOOKUP($A169,[1]彩未分析60315!$A:$M,10,0)</f>
        <v>55</v>
      </c>
      <c r="E169" s="4">
        <f>VLOOKUP($A169,[1]彩未分析60315!$A:$M,11,0)</f>
        <v>54</v>
      </c>
      <c r="F169" s="4">
        <f>VLOOKUP($A169,[1]彩未分析60315!$A:$M,12,0)</f>
        <v>54</v>
      </c>
      <c r="G169" s="4">
        <f>VLOOKUP($A169,[1]彩未分析60315!$A:$M,13,0)</f>
        <v>53</v>
      </c>
      <c r="H169" s="3" t="s">
        <v>39</v>
      </c>
      <c r="I169" s="3" t="s">
        <v>344</v>
      </c>
    </row>
    <row r="170" customHeight="1" spans="1:9">
      <c r="A170" s="4" t="s">
        <v>345</v>
      </c>
      <c r="B170" s="4">
        <f>VLOOKUP($A170,[1]彩未分析60315!$A:$M,8,0)</f>
        <v>41</v>
      </c>
      <c r="C170" s="4">
        <f>VLOOKUP($A170,[1]彩未分析60315!$A:$M,9,0)</f>
        <v>39</v>
      </c>
      <c r="D170" s="4">
        <f>VLOOKUP($A170,[1]彩未分析60315!$A:$M,10,0)</f>
        <v>38</v>
      </c>
      <c r="E170" s="4">
        <f>VLOOKUP($A170,[1]彩未分析60315!$A:$M,11,0)</f>
        <v>36</v>
      </c>
      <c r="F170" s="4">
        <f>VLOOKUP($A170,[1]彩未分析60315!$A:$M,12,0)</f>
        <v>35</v>
      </c>
      <c r="G170" s="4">
        <f>VLOOKUP($A170,[1]彩未分析60315!$A:$M,13,0)</f>
        <v>33</v>
      </c>
      <c r="H170" s="3" t="s">
        <v>10</v>
      </c>
      <c r="I170" s="3" t="s">
        <v>346</v>
      </c>
    </row>
    <row r="171" customHeight="1" spans="1:9">
      <c r="A171" s="4" t="s">
        <v>347</v>
      </c>
      <c r="B171" s="4">
        <f>VLOOKUP($A171,[1]彩未分析60315!$A:$M,8,0)</f>
        <v>43</v>
      </c>
      <c r="C171" s="4">
        <f>VLOOKUP($A171,[1]彩未分析60315!$A:$M,9,0)</f>
        <v>42</v>
      </c>
      <c r="D171" s="4">
        <f>VLOOKUP($A171,[1]彩未分析60315!$A:$M,10,0)</f>
        <v>40</v>
      </c>
      <c r="E171" s="4">
        <f>VLOOKUP($A171,[1]彩未分析60315!$A:$M,11,0)</f>
        <v>39</v>
      </c>
      <c r="F171" s="4">
        <f>VLOOKUP($A171,[1]彩未分析60315!$A:$M,12,0)</f>
        <v>37</v>
      </c>
      <c r="G171" s="4">
        <f>VLOOKUP($A171,[1]彩未分析60315!$A:$M,13,0)</f>
        <v>35</v>
      </c>
      <c r="H171" s="3" t="s">
        <v>10</v>
      </c>
      <c r="I171" s="3" t="s">
        <v>348</v>
      </c>
    </row>
    <row r="172" customHeight="1" spans="1:9">
      <c r="A172" s="4" t="s">
        <v>349</v>
      </c>
      <c r="B172" s="4">
        <f>VLOOKUP($A172,[1]彩未分析60315!$A:$M,8,0)</f>
        <v>54</v>
      </c>
      <c r="C172" s="4">
        <f>VLOOKUP($A172,[1]彩未分析60315!$A:$M,9,0)</f>
        <v>52</v>
      </c>
      <c r="D172" s="4">
        <f>VLOOKUP($A172,[1]彩未分析60315!$A:$M,10,0)</f>
        <v>50</v>
      </c>
      <c r="E172" s="4">
        <f>VLOOKUP($A172,[1]彩未分析60315!$A:$M,11,0)</f>
        <v>48</v>
      </c>
      <c r="F172" s="4">
        <f>VLOOKUP($A172,[1]彩未分析60315!$A:$M,12,0)</f>
        <v>46</v>
      </c>
      <c r="G172" s="4">
        <f>VLOOKUP($A172,[1]彩未分析60315!$A:$M,13,0)</f>
        <v>44</v>
      </c>
      <c r="H172" s="3" t="s">
        <v>10</v>
      </c>
      <c r="I172" s="3" t="s">
        <v>350</v>
      </c>
    </row>
    <row r="173" customHeight="1" spans="1:9">
      <c r="A173" s="4" t="s">
        <v>351</v>
      </c>
      <c r="B173" s="4">
        <f>VLOOKUP($A173,[1]彩未分析60315!$A:$M,8,0)</f>
        <v>40</v>
      </c>
      <c r="C173" s="4">
        <f>VLOOKUP($A173,[1]彩未分析60315!$A:$M,9,0)</f>
        <v>39</v>
      </c>
      <c r="D173" s="4">
        <f>VLOOKUP($A173,[1]彩未分析60315!$A:$M,10,0)</f>
        <v>37</v>
      </c>
      <c r="E173" s="4">
        <f>VLOOKUP($A173,[1]彩未分析60315!$A:$M,11,0)</f>
        <v>36</v>
      </c>
      <c r="F173" s="4">
        <f>VLOOKUP($A173,[1]彩未分析60315!$A:$M,12,0)</f>
        <v>34</v>
      </c>
      <c r="G173" s="4">
        <f>VLOOKUP($A173,[1]彩未分析60315!$A:$M,13,0)</f>
        <v>33</v>
      </c>
      <c r="H173" s="3" t="s">
        <v>10</v>
      </c>
      <c r="I173" s="3" t="s">
        <v>352</v>
      </c>
    </row>
    <row r="174" customHeight="1" spans="1:9">
      <c r="A174" s="4" t="s">
        <v>353</v>
      </c>
      <c r="B174" s="4">
        <f>VLOOKUP($A174,[1]彩未分析60315!$A:$M,8,0)</f>
        <v>88</v>
      </c>
      <c r="C174" s="4">
        <f>VLOOKUP($A174,[1]彩未分析60315!$A:$M,9,0)</f>
        <v>85</v>
      </c>
      <c r="D174" s="4">
        <f>VLOOKUP($A174,[1]彩未分析60315!$A:$M,10,0)</f>
        <v>82</v>
      </c>
      <c r="E174" s="4">
        <f>VLOOKUP($A174,[1]彩未分析60315!$A:$M,11,0)</f>
        <v>78</v>
      </c>
      <c r="F174" s="4">
        <f>VLOOKUP($A174,[1]彩未分析60315!$A:$M,12,0)</f>
        <v>75</v>
      </c>
      <c r="G174" s="4">
        <f>VLOOKUP($A174,[1]彩未分析60315!$A:$M,13,0)</f>
        <v>72</v>
      </c>
      <c r="H174" s="3" t="s">
        <v>10</v>
      </c>
      <c r="I174" s="3" t="s">
        <v>354</v>
      </c>
    </row>
    <row r="175" customHeight="1" spans="1:9">
      <c r="A175" s="4" t="s">
        <v>355</v>
      </c>
      <c r="B175" s="4">
        <f>VLOOKUP($A175,[1]彩未分析60315!$A:$M,8,0)</f>
        <v>36</v>
      </c>
      <c r="C175" s="4">
        <f>VLOOKUP($A175,[1]彩未分析60315!$A:$M,9,0)</f>
        <v>35</v>
      </c>
      <c r="D175" s="4">
        <f>VLOOKUP($A175,[1]彩未分析60315!$A:$M,10,0)</f>
        <v>33</v>
      </c>
      <c r="E175" s="4">
        <f>VLOOKUP($A175,[1]彩未分析60315!$A:$M,11,0)</f>
        <v>32</v>
      </c>
      <c r="F175" s="4">
        <f>VLOOKUP($A175,[1]彩未分析60315!$A:$M,12,0)</f>
        <v>31</v>
      </c>
      <c r="G175" s="4">
        <f>VLOOKUP($A175,[1]彩未分析60315!$A:$M,13,0)</f>
        <v>30</v>
      </c>
      <c r="H175" s="3" t="s">
        <v>10</v>
      </c>
      <c r="I175" s="3" t="s">
        <v>356</v>
      </c>
    </row>
    <row r="176" customHeight="1" spans="1:9">
      <c r="A176" s="4" t="s">
        <v>357</v>
      </c>
      <c r="B176" s="4">
        <f>VLOOKUP($A176,[1]彩未分析60315!$A:$M,8,0)</f>
        <v>22</v>
      </c>
      <c r="C176" s="4">
        <f>VLOOKUP($A176,[1]彩未分析60315!$A:$M,9,0)</f>
        <v>22</v>
      </c>
      <c r="D176" s="4">
        <f>VLOOKUP($A176,[1]彩未分析60315!$A:$M,10,0)</f>
        <v>21</v>
      </c>
      <c r="E176" s="4">
        <f>VLOOKUP($A176,[1]彩未分析60315!$A:$M,11,0)</f>
        <v>20</v>
      </c>
      <c r="F176" s="4">
        <f>VLOOKUP($A176,[1]彩未分析60315!$A:$M,12,0)</f>
        <v>19</v>
      </c>
      <c r="G176" s="4">
        <f>VLOOKUP($A176,[1]彩未分析60315!$A:$M,13,0)</f>
        <v>18</v>
      </c>
      <c r="H176" s="3" t="s">
        <v>10</v>
      </c>
      <c r="I176" s="3" t="s">
        <v>358</v>
      </c>
    </row>
    <row r="177" customHeight="1" spans="1:9">
      <c r="A177" s="4" t="s">
        <v>359</v>
      </c>
      <c r="B177" s="4">
        <f>VLOOKUP($A177,[1]彩未分析60315!$A:$M,8,0)</f>
        <v>32</v>
      </c>
      <c r="C177" s="4">
        <f>VLOOKUP($A177,[1]彩未分析60315!$A:$M,9,0)</f>
        <v>31</v>
      </c>
      <c r="D177" s="4">
        <f>VLOOKUP($A177,[1]彩未分析60315!$A:$M,10,0)</f>
        <v>30</v>
      </c>
      <c r="E177" s="4">
        <f>VLOOKUP($A177,[1]彩未分析60315!$A:$M,11,0)</f>
        <v>29</v>
      </c>
      <c r="F177" s="4">
        <f>VLOOKUP($A177,[1]彩未分析60315!$A:$M,12,0)</f>
        <v>27</v>
      </c>
      <c r="G177" s="4">
        <f>VLOOKUP($A177,[1]彩未分析60315!$A:$M,13,0)</f>
        <v>26</v>
      </c>
      <c r="H177" s="3" t="s">
        <v>10</v>
      </c>
      <c r="I177" s="3" t="s">
        <v>360</v>
      </c>
    </row>
    <row r="178" customHeight="1" spans="1:9">
      <c r="A178" s="4" t="s">
        <v>361</v>
      </c>
      <c r="B178" s="4">
        <f>VLOOKUP($A178,[1]彩未分析60315!$A:$M,8,0)</f>
        <v>34</v>
      </c>
      <c r="C178" s="4">
        <f>VLOOKUP($A178,[1]彩未分析60315!$A:$M,9,0)</f>
        <v>33</v>
      </c>
      <c r="D178" s="4">
        <f>VLOOKUP($A178,[1]彩未分析60315!$A:$M,10,0)</f>
        <v>31</v>
      </c>
      <c r="E178" s="4">
        <f>VLOOKUP($A178,[1]彩未分析60315!$A:$M,11,0)</f>
        <v>30</v>
      </c>
      <c r="F178" s="4">
        <f>VLOOKUP($A178,[1]彩未分析60315!$A:$M,12,0)</f>
        <v>29</v>
      </c>
      <c r="G178" s="4">
        <f>VLOOKUP($A178,[1]彩未分析60315!$A:$M,13,0)</f>
        <v>28</v>
      </c>
      <c r="H178" s="3" t="s">
        <v>10</v>
      </c>
      <c r="I178" s="3" t="s">
        <v>362</v>
      </c>
    </row>
    <row r="179" customHeight="1" spans="1:9">
      <c r="A179" s="4" t="s">
        <v>363</v>
      </c>
      <c r="B179" s="4">
        <f>VLOOKUP($A179,[1]彩未分析60315!$A:$M,8,0)</f>
        <v>35</v>
      </c>
      <c r="C179" s="4">
        <f>VLOOKUP($A179,[1]彩未分析60315!$A:$M,9,0)</f>
        <v>33</v>
      </c>
      <c r="D179" s="4">
        <f>VLOOKUP($A179,[1]彩未分析60315!$A:$M,10,0)</f>
        <v>32</v>
      </c>
      <c r="E179" s="4">
        <f>VLOOKUP($A179,[1]彩未分析60315!$A:$M,11,0)</f>
        <v>31</v>
      </c>
      <c r="F179" s="4">
        <f>VLOOKUP($A179,[1]彩未分析60315!$A:$M,12,0)</f>
        <v>30</v>
      </c>
      <c r="G179" s="4">
        <f>VLOOKUP($A179,[1]彩未分析60315!$A:$M,13,0)</f>
        <v>28</v>
      </c>
      <c r="H179" s="3" t="s">
        <v>10</v>
      </c>
      <c r="I179" s="3" t="s">
        <v>364</v>
      </c>
    </row>
    <row r="180" customHeight="1" spans="1:9">
      <c r="A180" s="4" t="s">
        <v>365</v>
      </c>
      <c r="B180" s="4">
        <f>VLOOKUP($A180,[1]彩未分析60315!$A:$M,8,0)</f>
        <v>30</v>
      </c>
      <c r="C180" s="4">
        <f>VLOOKUP($A180,[1]彩未分析60315!$A:$M,9,0)</f>
        <v>29</v>
      </c>
      <c r="D180" s="4">
        <f>VLOOKUP($A180,[1]彩未分析60315!$A:$M,10,0)</f>
        <v>28</v>
      </c>
      <c r="E180" s="4">
        <f>VLOOKUP($A180,[1]彩未分析60315!$A:$M,11,0)</f>
        <v>27</v>
      </c>
      <c r="F180" s="4">
        <f>VLOOKUP($A180,[1]彩未分析60315!$A:$M,12,0)</f>
        <v>26</v>
      </c>
      <c r="G180" s="4">
        <f>VLOOKUP($A180,[1]彩未分析60315!$A:$M,13,0)</f>
        <v>25</v>
      </c>
      <c r="H180" s="3" t="s">
        <v>10</v>
      </c>
      <c r="I180" s="3" t="s">
        <v>366</v>
      </c>
    </row>
    <row r="181" customHeight="1" spans="1:9">
      <c r="A181" s="4" t="s">
        <v>367</v>
      </c>
      <c r="B181" s="4">
        <f>VLOOKUP($A181,[1]彩未分析60315!$A:$M,8,0)</f>
        <v>26</v>
      </c>
      <c r="C181" s="4">
        <f>VLOOKUP($A181,[1]彩未分析60315!$A:$M,9,0)</f>
        <v>25</v>
      </c>
      <c r="D181" s="4">
        <f>VLOOKUP($A181,[1]彩未分析60315!$A:$M,10,0)</f>
        <v>24</v>
      </c>
      <c r="E181" s="4">
        <f>VLOOKUP($A181,[1]彩未分析60315!$A:$M,11,0)</f>
        <v>23</v>
      </c>
      <c r="F181" s="4">
        <f>VLOOKUP($A181,[1]彩未分析60315!$A:$M,12,0)</f>
        <v>22</v>
      </c>
      <c r="G181" s="4">
        <f>VLOOKUP($A181,[1]彩未分析60315!$A:$M,13,0)</f>
        <v>21</v>
      </c>
      <c r="H181" s="3" t="s">
        <v>10</v>
      </c>
      <c r="I181" s="3" t="s">
        <v>368</v>
      </c>
    </row>
    <row r="182" customHeight="1" spans="1:9">
      <c r="A182" s="4" t="s">
        <v>369</v>
      </c>
      <c r="B182" s="4">
        <f>VLOOKUP($A182,[1]彩未分析60315!$A:$M,8,0)</f>
        <v>50</v>
      </c>
      <c r="C182" s="4">
        <f>VLOOKUP($A182,[1]彩未分析60315!$A:$M,9,0)</f>
        <v>49</v>
      </c>
      <c r="D182" s="4">
        <f>VLOOKUP($A182,[1]彩未分析60315!$A:$M,10,0)</f>
        <v>48</v>
      </c>
      <c r="E182" s="4">
        <f>VLOOKUP($A182,[1]彩未分析60315!$A:$M,11,0)</f>
        <v>47</v>
      </c>
      <c r="F182" s="4">
        <f>VLOOKUP($A182,[1]彩未分析60315!$A:$M,12,0)</f>
        <v>47</v>
      </c>
      <c r="G182" s="4">
        <f>VLOOKUP($A182,[1]彩未分析60315!$A:$M,13,0)</f>
        <v>46</v>
      </c>
      <c r="H182" s="3" t="s">
        <v>39</v>
      </c>
      <c r="I182" s="3" t="s">
        <v>370</v>
      </c>
    </row>
    <row r="183" customHeight="1" spans="1:9">
      <c r="A183" s="4" t="s">
        <v>371</v>
      </c>
      <c r="B183" s="4">
        <f>VLOOKUP($A183,[1]彩未分析60315!$A:$M,8,0)</f>
        <v>36</v>
      </c>
      <c r="C183" s="4">
        <f>VLOOKUP($A183,[1]彩未分析60315!$A:$M,9,0)</f>
        <v>35</v>
      </c>
      <c r="D183" s="4">
        <f>VLOOKUP($A183,[1]彩未分析60315!$A:$M,10,0)</f>
        <v>33</v>
      </c>
      <c r="E183" s="4">
        <f>VLOOKUP($A183,[1]彩未分析60315!$A:$M,11,0)</f>
        <v>32</v>
      </c>
      <c r="F183" s="4">
        <f>VLOOKUP($A183,[1]彩未分析60315!$A:$M,12,0)</f>
        <v>31</v>
      </c>
      <c r="G183" s="4">
        <f>VLOOKUP($A183,[1]彩未分析60315!$A:$M,13,0)</f>
        <v>29</v>
      </c>
      <c r="H183" s="3" t="s">
        <v>10</v>
      </c>
      <c r="I183" s="3" t="s">
        <v>372</v>
      </c>
    </row>
    <row r="184" customHeight="1" spans="1:9">
      <c r="A184" s="4" t="s">
        <v>373</v>
      </c>
      <c r="B184" s="4">
        <f>VLOOKUP($A184,[1]彩未分析60315!$A:$M,8,0)</f>
        <v>32</v>
      </c>
      <c r="C184" s="4">
        <f>VLOOKUP($A184,[1]彩未分析60315!$A:$M,9,0)</f>
        <v>31</v>
      </c>
      <c r="D184" s="4">
        <f>VLOOKUP($A184,[1]彩未分析60315!$A:$M,10,0)</f>
        <v>30</v>
      </c>
      <c r="E184" s="4">
        <f>VLOOKUP($A184,[1]彩未分析60315!$A:$M,11,0)</f>
        <v>28</v>
      </c>
      <c r="F184" s="4">
        <f>VLOOKUP($A184,[1]彩未分析60315!$A:$M,12,0)</f>
        <v>27</v>
      </c>
      <c r="G184" s="4">
        <f>VLOOKUP($A184,[1]彩未分析60315!$A:$M,13,0)</f>
        <v>26</v>
      </c>
      <c r="H184" s="3" t="s">
        <v>10</v>
      </c>
      <c r="I184" s="3" t="s">
        <v>374</v>
      </c>
    </row>
    <row r="185" customHeight="1" spans="1:9">
      <c r="A185" s="4" t="s">
        <v>375</v>
      </c>
      <c r="B185" s="4">
        <f>VLOOKUP($A185,[1]彩未分析60315!$A:$M,8,0)</f>
        <v>40</v>
      </c>
      <c r="C185" s="4">
        <f>VLOOKUP($A185,[1]彩未分析60315!$A:$M,9,0)</f>
        <v>39</v>
      </c>
      <c r="D185" s="4">
        <f>VLOOKUP($A185,[1]彩未分析60315!$A:$M,10,0)</f>
        <v>37</v>
      </c>
      <c r="E185" s="4">
        <f>VLOOKUP($A185,[1]彩未分析60315!$A:$M,11,0)</f>
        <v>36</v>
      </c>
      <c r="F185" s="4">
        <f>VLOOKUP($A185,[1]彩未分析60315!$A:$M,12,0)</f>
        <v>34</v>
      </c>
      <c r="G185" s="4">
        <f>VLOOKUP($A185,[1]彩未分析60315!$A:$M,13,0)</f>
        <v>33</v>
      </c>
      <c r="H185" s="3" t="s">
        <v>10</v>
      </c>
      <c r="I185" s="3" t="s">
        <v>376</v>
      </c>
    </row>
    <row r="186" customHeight="1" spans="1:9">
      <c r="A186" s="4" t="s">
        <v>377</v>
      </c>
      <c r="B186" s="4">
        <f>VLOOKUP($A186,[1]彩未分析60315!$A:$M,8,0)</f>
        <v>44</v>
      </c>
      <c r="C186" s="4">
        <f>VLOOKUP($A186,[1]彩未分析60315!$A:$M,9,0)</f>
        <v>43</v>
      </c>
      <c r="D186" s="4">
        <f>VLOOKUP($A186,[1]彩未分析60315!$A:$M,10,0)</f>
        <v>41</v>
      </c>
      <c r="E186" s="4">
        <f>VLOOKUP($A186,[1]彩未分析60315!$A:$M,11,0)</f>
        <v>39</v>
      </c>
      <c r="F186" s="4">
        <f>VLOOKUP($A186,[1]彩未分析60315!$A:$M,12,0)</f>
        <v>38</v>
      </c>
      <c r="G186" s="4">
        <f>VLOOKUP($A186,[1]彩未分析60315!$A:$M,13,0)</f>
        <v>36</v>
      </c>
      <c r="H186" s="3" t="s">
        <v>10</v>
      </c>
      <c r="I186" s="3" t="s">
        <v>310</v>
      </c>
    </row>
    <row r="187" customHeight="1" spans="1:9">
      <c r="A187" s="4" t="s">
        <v>378</v>
      </c>
      <c r="B187" s="4">
        <f>VLOOKUP($A187,[1]彩未分析60315!$A:$M,8,0)</f>
        <v>24</v>
      </c>
      <c r="C187" s="4">
        <f>VLOOKUP($A187,[1]彩未分析60315!$A:$M,9,0)</f>
        <v>24</v>
      </c>
      <c r="D187" s="4">
        <f>VLOOKUP($A187,[1]彩未分析60315!$A:$M,10,0)</f>
        <v>23</v>
      </c>
      <c r="E187" s="4">
        <f>VLOOKUP($A187,[1]彩未分析60315!$A:$M,11,0)</f>
        <v>22</v>
      </c>
      <c r="F187" s="4">
        <f>VLOOKUP($A187,[1]彩未分析60315!$A:$M,12,0)</f>
        <v>21</v>
      </c>
      <c r="G187" s="4">
        <f>VLOOKUP($A187,[1]彩未分析60315!$A:$M,13,0)</f>
        <v>20</v>
      </c>
      <c r="H187" s="3" t="s">
        <v>10</v>
      </c>
      <c r="I187" s="3" t="s">
        <v>19</v>
      </c>
    </row>
    <row r="188" customHeight="1" spans="1:9">
      <c r="A188" s="4" t="s">
        <v>379</v>
      </c>
      <c r="B188" s="4">
        <f>VLOOKUP($A188,[1]彩未分析60315!$A:$M,8,0)</f>
        <v>33</v>
      </c>
      <c r="C188" s="4">
        <f>VLOOKUP($A188,[1]彩未分析60315!$A:$M,9,0)</f>
        <v>32</v>
      </c>
      <c r="D188" s="4">
        <f>VLOOKUP($A188,[1]彩未分析60315!$A:$M,10,0)</f>
        <v>31</v>
      </c>
      <c r="E188" s="4">
        <f>VLOOKUP($A188,[1]彩未分析60315!$A:$M,11,0)</f>
        <v>29</v>
      </c>
      <c r="F188" s="4">
        <f>VLOOKUP($A188,[1]彩未分析60315!$A:$M,12,0)</f>
        <v>28</v>
      </c>
      <c r="G188" s="4">
        <f>VLOOKUP($A188,[1]彩未分析60315!$A:$M,13,0)</f>
        <v>27</v>
      </c>
      <c r="H188" s="3" t="s">
        <v>10</v>
      </c>
      <c r="I188" s="3" t="s">
        <v>380</v>
      </c>
    </row>
    <row r="189" customHeight="1" spans="1:9">
      <c r="A189" s="4" t="s">
        <v>381</v>
      </c>
      <c r="B189" s="4">
        <f>VLOOKUP($A189,[1]彩未分析60315!$A:$M,8,0)</f>
        <v>27</v>
      </c>
      <c r="C189" s="4">
        <f>VLOOKUP($A189,[1]彩未分析60315!$A:$M,9,0)</f>
        <v>26</v>
      </c>
      <c r="D189" s="4">
        <f>VLOOKUP($A189,[1]彩未分析60315!$A:$M,10,0)</f>
        <v>25</v>
      </c>
      <c r="E189" s="4">
        <f>VLOOKUP($A189,[1]彩未分析60315!$A:$M,11,0)</f>
        <v>24</v>
      </c>
      <c r="F189" s="4">
        <f>VLOOKUP($A189,[1]彩未分析60315!$A:$M,12,0)</f>
        <v>23</v>
      </c>
      <c r="G189" s="4">
        <f>VLOOKUP($A189,[1]彩未分析60315!$A:$M,13,0)</f>
        <v>22</v>
      </c>
      <c r="H189" s="3" t="s">
        <v>10</v>
      </c>
      <c r="I189" s="3" t="s">
        <v>382</v>
      </c>
    </row>
    <row r="190" customHeight="1" spans="1:9">
      <c r="A190" s="4" t="s">
        <v>383</v>
      </c>
      <c r="B190" s="4">
        <f>VLOOKUP($A190,[1]彩未分析60315!$A:$M,8,0)</f>
        <v>37</v>
      </c>
      <c r="C190" s="4">
        <f>VLOOKUP($A190,[1]彩未分析60315!$A:$M,9,0)</f>
        <v>36</v>
      </c>
      <c r="D190" s="4">
        <f>VLOOKUP($A190,[1]彩未分析60315!$A:$M,10,0)</f>
        <v>34</v>
      </c>
      <c r="E190" s="4">
        <f>VLOOKUP($A190,[1]彩未分析60315!$A:$M,11,0)</f>
        <v>33</v>
      </c>
      <c r="F190" s="4">
        <f>VLOOKUP($A190,[1]彩未分析60315!$A:$M,12,0)</f>
        <v>32</v>
      </c>
      <c r="G190" s="4">
        <f>VLOOKUP($A190,[1]彩未分析60315!$A:$M,13,0)</f>
        <v>30</v>
      </c>
      <c r="H190" s="3" t="s">
        <v>10</v>
      </c>
      <c r="I190" s="3" t="s">
        <v>384</v>
      </c>
    </row>
    <row r="191" customHeight="1" spans="1:9">
      <c r="A191" s="4" t="s">
        <v>385</v>
      </c>
      <c r="B191" s="4">
        <f>VLOOKUP($A191,[1]彩未分析60315!$A:$M,8,0)</f>
        <v>31</v>
      </c>
      <c r="C191" s="4">
        <f>VLOOKUP($A191,[1]彩未分析60315!$A:$M,9,0)</f>
        <v>30</v>
      </c>
      <c r="D191" s="4">
        <f>VLOOKUP($A191,[1]彩未分析60315!$A:$M,10,0)</f>
        <v>29</v>
      </c>
      <c r="E191" s="4">
        <f>VLOOKUP($A191,[1]彩未分析60315!$A:$M,11,0)</f>
        <v>28</v>
      </c>
      <c r="F191" s="4">
        <f>VLOOKUP($A191,[1]彩未分析60315!$A:$M,12,0)</f>
        <v>27</v>
      </c>
      <c r="G191" s="4">
        <f>VLOOKUP($A191,[1]彩未分析60315!$A:$M,13,0)</f>
        <v>26</v>
      </c>
      <c r="H191" s="3" t="s">
        <v>10</v>
      </c>
      <c r="I191" s="3" t="s">
        <v>386</v>
      </c>
    </row>
    <row r="192" customHeight="1" spans="1:9">
      <c r="A192" s="4" t="s">
        <v>387</v>
      </c>
      <c r="B192" s="4">
        <f>VLOOKUP($A192,[1]彩未分析60315!$A:$M,8,0)</f>
        <v>38</v>
      </c>
      <c r="C192" s="4">
        <f>VLOOKUP($A192,[1]彩未分析60315!$A:$M,9,0)</f>
        <v>37</v>
      </c>
      <c r="D192" s="4">
        <f>VLOOKUP($A192,[1]彩未分析60315!$A:$M,10,0)</f>
        <v>37</v>
      </c>
      <c r="E192" s="4">
        <f>VLOOKUP($A192,[1]彩未分析60315!$A:$M,11,0)</f>
        <v>36</v>
      </c>
      <c r="F192" s="4">
        <f>VLOOKUP($A192,[1]彩未分析60315!$A:$M,12,0)</f>
        <v>36</v>
      </c>
      <c r="G192" s="4">
        <f>VLOOKUP($A192,[1]彩未分析60315!$A:$M,13,0)</f>
        <v>35</v>
      </c>
      <c r="H192" s="3" t="s">
        <v>39</v>
      </c>
      <c r="I192" s="3" t="s">
        <v>388</v>
      </c>
    </row>
    <row r="193" customHeight="1" spans="1:9">
      <c r="A193" s="4" t="s">
        <v>389</v>
      </c>
      <c r="B193" s="4">
        <f>VLOOKUP($A193,[1]彩未分析60315!$A:$M,8,0)</f>
        <v>42</v>
      </c>
      <c r="C193" s="4">
        <f>VLOOKUP($A193,[1]彩未分析60315!$A:$M,9,0)</f>
        <v>40</v>
      </c>
      <c r="D193" s="4">
        <f>VLOOKUP($A193,[1]彩未分析60315!$A:$M,10,0)</f>
        <v>39</v>
      </c>
      <c r="E193" s="4">
        <f>VLOOKUP($A193,[1]彩未分析60315!$A:$M,11,0)</f>
        <v>37</v>
      </c>
      <c r="F193" s="4">
        <f>VLOOKUP($A193,[1]彩未分析60315!$A:$M,12,0)</f>
        <v>35</v>
      </c>
      <c r="G193" s="4">
        <f>VLOOKUP($A193,[1]彩未分析60315!$A:$M,13,0)</f>
        <v>34</v>
      </c>
      <c r="H193" s="3" t="s">
        <v>10</v>
      </c>
      <c r="I193" s="3" t="s">
        <v>390</v>
      </c>
    </row>
    <row r="194" customHeight="1" spans="1:9">
      <c r="A194" s="4" t="s">
        <v>391</v>
      </c>
      <c r="B194" s="4">
        <f>VLOOKUP($A194,[1]彩未分析60315!$A:$M,8,0)</f>
        <v>48</v>
      </c>
      <c r="C194" s="4">
        <f>VLOOKUP($A194,[1]彩未分析60315!$A:$M,9,0)</f>
        <v>46</v>
      </c>
      <c r="D194" s="4">
        <f>VLOOKUP($A194,[1]彩未分析60315!$A:$M,10,0)</f>
        <v>45</v>
      </c>
      <c r="E194" s="4">
        <f>VLOOKUP($A194,[1]彩未分析60315!$A:$M,11,0)</f>
        <v>43</v>
      </c>
      <c r="F194" s="4">
        <f>VLOOKUP($A194,[1]彩未分析60315!$A:$M,12,0)</f>
        <v>41</v>
      </c>
      <c r="G194" s="4">
        <f>VLOOKUP($A194,[1]彩未分析60315!$A:$M,13,0)</f>
        <v>39</v>
      </c>
      <c r="H194" s="3" t="s">
        <v>10</v>
      </c>
      <c r="I194" s="3" t="s">
        <v>392</v>
      </c>
    </row>
    <row r="195" customHeight="1" spans="1:9">
      <c r="A195" s="4" t="s">
        <v>393</v>
      </c>
      <c r="B195" s="4">
        <f>VLOOKUP($A195,[1]彩未分析60315!$A:$M,8,0)</f>
        <v>29</v>
      </c>
      <c r="C195" s="4">
        <f>VLOOKUP($A195,[1]彩未分析60315!$A:$M,9,0)</f>
        <v>28</v>
      </c>
      <c r="D195" s="4">
        <f>VLOOKUP($A195,[1]彩未分析60315!$A:$M,10,0)</f>
        <v>27</v>
      </c>
      <c r="E195" s="4">
        <f>VLOOKUP($A195,[1]彩未分析60315!$A:$M,11,0)</f>
        <v>26</v>
      </c>
      <c r="F195" s="4">
        <f>VLOOKUP($A195,[1]彩未分析60315!$A:$M,12,0)</f>
        <v>25</v>
      </c>
      <c r="G195" s="4">
        <f>VLOOKUP($A195,[1]彩未分析60315!$A:$M,13,0)</f>
        <v>24</v>
      </c>
      <c r="H195" s="3" t="s">
        <v>10</v>
      </c>
      <c r="I195" s="3" t="s">
        <v>394</v>
      </c>
    </row>
    <row r="196" customHeight="1" spans="1:9">
      <c r="A196" s="4" t="s">
        <v>395</v>
      </c>
      <c r="B196" s="4">
        <f>VLOOKUP($A196,[1]彩未分析60315!$A:$M,8,0)</f>
        <v>33</v>
      </c>
      <c r="C196" s="4">
        <f>VLOOKUP($A196,[1]彩未分析60315!$A:$M,9,0)</f>
        <v>32</v>
      </c>
      <c r="D196" s="4">
        <f>VLOOKUP($A196,[1]彩未分析60315!$A:$M,10,0)</f>
        <v>31</v>
      </c>
      <c r="E196" s="4">
        <f>VLOOKUP($A196,[1]彩未分析60315!$A:$M,11,0)</f>
        <v>30</v>
      </c>
      <c r="F196" s="4">
        <f>VLOOKUP($A196,[1]彩未分析60315!$A:$M,12,0)</f>
        <v>28</v>
      </c>
      <c r="G196" s="4">
        <f>VLOOKUP($A196,[1]彩未分析60315!$A:$M,13,0)</f>
        <v>27</v>
      </c>
      <c r="H196" s="3" t="s">
        <v>10</v>
      </c>
      <c r="I196" s="3" t="s">
        <v>396</v>
      </c>
    </row>
    <row r="197" customHeight="1" spans="1:9">
      <c r="A197" s="4" t="s">
        <v>397</v>
      </c>
      <c r="B197" s="4">
        <f>VLOOKUP($A197,[1]彩未分析60315!$A:$M,8,0)</f>
        <v>46</v>
      </c>
      <c r="C197" s="4">
        <f>VLOOKUP($A197,[1]彩未分析60315!$A:$M,9,0)</f>
        <v>44</v>
      </c>
      <c r="D197" s="4">
        <f>VLOOKUP($A197,[1]彩未分析60315!$A:$M,10,0)</f>
        <v>43</v>
      </c>
      <c r="E197" s="4">
        <f>VLOOKUP($A197,[1]彩未分析60315!$A:$M,11,0)</f>
        <v>41</v>
      </c>
      <c r="F197" s="4">
        <f>VLOOKUP($A197,[1]彩未分析60315!$A:$M,12,0)</f>
        <v>39</v>
      </c>
      <c r="G197" s="4">
        <f>VLOOKUP($A197,[1]彩未分析60315!$A:$M,13,0)</f>
        <v>38</v>
      </c>
      <c r="H197" s="3" t="s">
        <v>10</v>
      </c>
      <c r="I197" s="3" t="s">
        <v>398</v>
      </c>
    </row>
    <row r="198" customHeight="1" spans="1:9">
      <c r="A198" s="4" t="s">
        <v>399</v>
      </c>
      <c r="B198" s="4">
        <f>VLOOKUP($A198,[1]彩未分析60315!$A:$M,8,0)</f>
        <v>44</v>
      </c>
      <c r="C198" s="4">
        <f>VLOOKUP($A198,[1]彩未分析60315!$A:$M,9,0)</f>
        <v>42</v>
      </c>
      <c r="D198" s="4">
        <f>VLOOKUP($A198,[1]彩未分析60315!$A:$M,10,0)</f>
        <v>40</v>
      </c>
      <c r="E198" s="4">
        <f>VLOOKUP($A198,[1]彩未分析60315!$A:$M,11,0)</f>
        <v>39</v>
      </c>
      <c r="F198" s="4">
        <f>VLOOKUP($A198,[1]彩未分析60315!$A:$M,12,0)</f>
        <v>37</v>
      </c>
      <c r="G198" s="4">
        <f>VLOOKUP($A198,[1]彩未分析60315!$A:$M,13,0)</f>
        <v>36</v>
      </c>
      <c r="H198" s="3" t="s">
        <v>10</v>
      </c>
      <c r="I198" s="3" t="s">
        <v>400</v>
      </c>
    </row>
    <row r="199" customHeight="1" spans="1:9">
      <c r="A199" s="4" t="s">
        <v>401</v>
      </c>
      <c r="B199" s="4">
        <f>VLOOKUP($A199,[1]彩未分析60315!$A:$M,8,0)</f>
        <v>147</v>
      </c>
      <c r="C199" s="4">
        <f>VLOOKUP($A199,[1]彩未分析60315!$A:$M,9,0)</f>
        <v>144</v>
      </c>
      <c r="D199" s="4">
        <f>VLOOKUP($A199,[1]彩未分析60315!$A:$M,10,0)</f>
        <v>142</v>
      </c>
      <c r="E199" s="4">
        <f>VLOOKUP($A199,[1]彩未分析60315!$A:$M,11,0)</f>
        <v>139</v>
      </c>
      <c r="F199" s="4">
        <f>VLOOKUP($A199,[1]彩未分析60315!$A:$M,12,0)</f>
        <v>138</v>
      </c>
      <c r="G199" s="4">
        <f>VLOOKUP($A199,[1]彩未分析60315!$A:$M,13,0)</f>
        <v>136</v>
      </c>
      <c r="H199" s="3" t="s">
        <v>39</v>
      </c>
      <c r="I199" s="3" t="s">
        <v>402</v>
      </c>
    </row>
    <row r="200" customHeight="1" spans="1:9">
      <c r="A200" s="4" t="s">
        <v>403</v>
      </c>
      <c r="B200" s="4">
        <f>VLOOKUP($A200,[1]彩未分析60315!$A:$M,8,0)</f>
        <v>35</v>
      </c>
      <c r="C200" s="4">
        <f>VLOOKUP($A200,[1]彩未分析60315!$A:$M,9,0)</f>
        <v>34</v>
      </c>
      <c r="D200" s="4">
        <f>VLOOKUP($A200,[1]彩未分析60315!$A:$M,10,0)</f>
        <v>32</v>
      </c>
      <c r="E200" s="4">
        <f>VLOOKUP($A200,[1]彩未分析60315!$A:$M,11,0)</f>
        <v>31</v>
      </c>
      <c r="F200" s="4">
        <f>VLOOKUP($A200,[1]彩未分析60315!$A:$M,12,0)</f>
        <v>30</v>
      </c>
      <c r="G200" s="4">
        <f>VLOOKUP($A200,[1]彩未分析60315!$A:$M,13,0)</f>
        <v>29</v>
      </c>
      <c r="H200" s="3" t="s">
        <v>10</v>
      </c>
      <c r="I200" s="3" t="s">
        <v>404</v>
      </c>
    </row>
    <row r="201" customHeight="1" spans="1:9">
      <c r="A201" s="4" t="s">
        <v>405</v>
      </c>
      <c r="B201" s="4">
        <f>VLOOKUP($A201,[1]彩未分析60315!$A:$M,8,0)</f>
        <v>40</v>
      </c>
      <c r="C201" s="4">
        <f>VLOOKUP($A201,[1]彩未分析60315!$A:$M,9,0)</f>
        <v>39</v>
      </c>
      <c r="D201" s="4">
        <f>VLOOKUP($A201,[1]彩未分析60315!$A:$M,10,0)</f>
        <v>37</v>
      </c>
      <c r="E201" s="4">
        <f>VLOOKUP($A201,[1]彩未分析60315!$A:$M,11,0)</f>
        <v>36</v>
      </c>
      <c r="F201" s="4">
        <f>VLOOKUP($A201,[1]彩未分析60315!$A:$M,12,0)</f>
        <v>34</v>
      </c>
      <c r="G201" s="4">
        <f>VLOOKUP($A201,[1]彩未分析60315!$A:$M,13,0)</f>
        <v>33</v>
      </c>
      <c r="H201" s="3" t="s">
        <v>10</v>
      </c>
      <c r="I201" s="3" t="s">
        <v>406</v>
      </c>
    </row>
    <row r="202" customHeight="1" spans="1:9">
      <c r="A202" s="4" t="s">
        <v>407</v>
      </c>
      <c r="B202" s="4">
        <f>VLOOKUP($A202,[1]彩未分析60315!$A:$M,8,0)</f>
        <v>44</v>
      </c>
      <c r="C202" s="4">
        <f>VLOOKUP($A202,[1]彩未分析60315!$A:$M,9,0)</f>
        <v>42</v>
      </c>
      <c r="D202" s="4">
        <f>VLOOKUP($A202,[1]彩未分析60315!$A:$M,10,0)</f>
        <v>41</v>
      </c>
      <c r="E202" s="4">
        <f>VLOOKUP($A202,[1]彩未分析60315!$A:$M,11,0)</f>
        <v>39</v>
      </c>
      <c r="F202" s="4">
        <f>VLOOKUP($A202,[1]彩未分析60315!$A:$M,12,0)</f>
        <v>37</v>
      </c>
      <c r="G202" s="4">
        <f>VLOOKUP($A202,[1]彩未分析60315!$A:$M,13,0)</f>
        <v>36</v>
      </c>
      <c r="H202" s="3" t="s">
        <v>10</v>
      </c>
      <c r="I202" s="3" t="s">
        <v>408</v>
      </c>
    </row>
    <row r="203" customHeight="1" spans="1:9">
      <c r="A203" s="4" t="s">
        <v>409</v>
      </c>
      <c r="B203" s="4">
        <f>VLOOKUP($A203,[1]彩未分析60315!$A:$M,8,0)</f>
        <v>44</v>
      </c>
      <c r="C203" s="4">
        <f>VLOOKUP($A203,[1]彩未分析60315!$A:$M,9,0)</f>
        <v>42</v>
      </c>
      <c r="D203" s="4">
        <f>VLOOKUP($A203,[1]彩未分析60315!$A:$M,10,0)</f>
        <v>40</v>
      </c>
      <c r="E203" s="4">
        <f>VLOOKUP($A203,[1]彩未分析60315!$A:$M,11,0)</f>
        <v>39</v>
      </c>
      <c r="F203" s="4">
        <f>VLOOKUP($A203,[1]彩未分析60315!$A:$M,12,0)</f>
        <v>37</v>
      </c>
      <c r="G203" s="4">
        <f>VLOOKUP($A203,[1]彩未分析60315!$A:$M,13,0)</f>
        <v>36</v>
      </c>
      <c r="H203" s="3" t="s">
        <v>10</v>
      </c>
      <c r="I203" s="3" t="s">
        <v>410</v>
      </c>
    </row>
    <row r="204" customHeight="1" spans="1:9">
      <c r="A204" s="4" t="s">
        <v>411</v>
      </c>
      <c r="B204" s="4">
        <f>VLOOKUP($A204,[1]彩未分析60315!$A:$M,8,0)</f>
        <v>42</v>
      </c>
      <c r="C204" s="4">
        <f>VLOOKUP($A204,[1]彩未分析60315!$A:$M,9,0)</f>
        <v>40</v>
      </c>
      <c r="D204" s="4">
        <f>VLOOKUP($A204,[1]彩未分析60315!$A:$M,10,0)</f>
        <v>39</v>
      </c>
      <c r="E204" s="4">
        <f>VLOOKUP($A204,[1]彩未分析60315!$A:$M,11,0)</f>
        <v>37</v>
      </c>
      <c r="F204" s="4">
        <f>VLOOKUP($A204,[1]彩未分析60315!$A:$M,12,0)</f>
        <v>36</v>
      </c>
      <c r="G204" s="4">
        <f>VLOOKUP($A204,[1]彩未分析60315!$A:$M,13,0)</f>
        <v>34</v>
      </c>
      <c r="H204" s="3" t="s">
        <v>10</v>
      </c>
      <c r="I204" s="3" t="s">
        <v>412</v>
      </c>
    </row>
    <row r="205" customHeight="1" spans="1:9">
      <c r="A205" s="4" t="s">
        <v>413</v>
      </c>
      <c r="B205" s="4">
        <f>VLOOKUP($A205,[1]彩未分析60315!$A:$M,8,0)</f>
        <v>25</v>
      </c>
      <c r="C205" s="4">
        <f>VLOOKUP($A205,[1]彩未分析60315!$A:$M,9,0)</f>
        <v>24</v>
      </c>
      <c r="D205" s="4">
        <f>VLOOKUP($A205,[1]彩未分析60315!$A:$M,10,0)</f>
        <v>23</v>
      </c>
      <c r="E205" s="4">
        <f>VLOOKUP($A205,[1]彩未分析60315!$A:$M,11,0)</f>
        <v>22</v>
      </c>
      <c r="F205" s="4">
        <f>VLOOKUP($A205,[1]彩未分析60315!$A:$M,12,0)</f>
        <v>21</v>
      </c>
      <c r="G205" s="4">
        <f>VLOOKUP($A205,[1]彩未分析60315!$A:$M,13,0)</f>
        <v>20</v>
      </c>
      <c r="H205" s="3" t="s">
        <v>10</v>
      </c>
      <c r="I205" s="3" t="s">
        <v>414</v>
      </c>
    </row>
    <row r="206" customHeight="1" spans="1:9">
      <c r="A206" s="4" t="s">
        <v>415</v>
      </c>
      <c r="B206" s="4">
        <f>VLOOKUP($A206,[1]彩未分析60315!$A:$M,8,0)</f>
        <v>29</v>
      </c>
      <c r="C206" s="4">
        <f>VLOOKUP($A206,[1]彩未分析60315!$A:$M,9,0)</f>
        <v>28</v>
      </c>
      <c r="D206" s="4">
        <f>VLOOKUP($A206,[1]彩未分析60315!$A:$M,10,0)</f>
        <v>27</v>
      </c>
      <c r="E206" s="4">
        <f>VLOOKUP($A206,[1]彩未分析60315!$A:$M,11,0)</f>
        <v>26</v>
      </c>
      <c r="F206" s="4">
        <f>VLOOKUP($A206,[1]彩未分析60315!$A:$M,12,0)</f>
        <v>25</v>
      </c>
      <c r="G206" s="4">
        <f>VLOOKUP($A206,[1]彩未分析60315!$A:$M,13,0)</f>
        <v>24</v>
      </c>
      <c r="H206" s="3" t="s">
        <v>10</v>
      </c>
      <c r="I206" s="3" t="s">
        <v>416</v>
      </c>
    </row>
    <row r="207" customHeight="1" spans="1:9">
      <c r="A207" s="4" t="s">
        <v>417</v>
      </c>
      <c r="B207" s="4">
        <f>VLOOKUP($A207,[1]彩未分析60315!$A:$M,8,0)</f>
        <v>69</v>
      </c>
      <c r="C207" s="4">
        <f>VLOOKUP($A207,[1]彩未分析60315!$A:$M,9,0)</f>
        <v>68</v>
      </c>
      <c r="D207" s="4">
        <f>VLOOKUP($A207,[1]彩未分析60315!$A:$M,10,0)</f>
        <v>67</v>
      </c>
      <c r="E207" s="4">
        <f>VLOOKUP($A207,[1]彩未分析60315!$A:$M,11,0)</f>
        <v>66</v>
      </c>
      <c r="F207" s="4">
        <f>VLOOKUP($A207,[1]彩未分析60315!$A:$M,12,0)</f>
        <v>65</v>
      </c>
      <c r="G207" s="4">
        <f>VLOOKUP($A207,[1]彩未分析60315!$A:$M,13,0)</f>
        <v>64</v>
      </c>
      <c r="H207" s="3" t="s">
        <v>39</v>
      </c>
      <c r="I207" s="3" t="s">
        <v>418</v>
      </c>
    </row>
    <row r="208" customHeight="1" spans="1:9">
      <c r="A208" s="4" t="s">
        <v>419</v>
      </c>
      <c r="B208" s="4">
        <f>VLOOKUP($A208,[1]彩未分析60315!$A:$M,8,0)</f>
        <v>40</v>
      </c>
      <c r="C208" s="4">
        <f>VLOOKUP($A208,[1]彩未分析60315!$A:$M,9,0)</f>
        <v>39</v>
      </c>
      <c r="D208" s="4">
        <f>VLOOKUP($A208,[1]彩未分析60315!$A:$M,10,0)</f>
        <v>38</v>
      </c>
      <c r="E208" s="4">
        <f>VLOOKUP($A208,[1]彩未分析60315!$A:$M,11,0)</f>
        <v>36</v>
      </c>
      <c r="F208" s="4">
        <f>VLOOKUP($A208,[1]彩未分析60315!$A:$M,12,0)</f>
        <v>35</v>
      </c>
      <c r="G208" s="4">
        <f>VLOOKUP($A208,[1]彩未分析60315!$A:$M,13,0)</f>
        <v>33</v>
      </c>
      <c r="H208" s="3" t="s">
        <v>10</v>
      </c>
      <c r="I208" s="3" t="s">
        <v>420</v>
      </c>
    </row>
    <row r="209" customHeight="1" spans="1:9">
      <c r="A209" s="4" t="s">
        <v>421</v>
      </c>
      <c r="B209" s="4">
        <f>VLOOKUP($A209,[1]彩未分析60315!$A:$M,8,0)</f>
        <v>37</v>
      </c>
      <c r="C209" s="4">
        <f>VLOOKUP($A209,[1]彩未分析60315!$A:$M,9,0)</f>
        <v>36</v>
      </c>
      <c r="D209" s="4">
        <f>VLOOKUP($A209,[1]彩未分析60315!$A:$M,10,0)</f>
        <v>34</v>
      </c>
      <c r="E209" s="4">
        <f>VLOOKUP($A209,[1]彩未分析60315!$A:$M,11,0)</f>
        <v>33</v>
      </c>
      <c r="F209" s="4">
        <f>VLOOKUP($A209,[1]彩未分析60315!$A:$M,12,0)</f>
        <v>32</v>
      </c>
      <c r="G209" s="4">
        <f>VLOOKUP($A209,[1]彩未分析60315!$A:$M,13,0)</f>
        <v>30</v>
      </c>
      <c r="H209" s="3" t="s">
        <v>10</v>
      </c>
      <c r="I209" s="3" t="s">
        <v>422</v>
      </c>
    </row>
    <row r="210" customHeight="1" spans="1:9">
      <c r="A210" s="4" t="s">
        <v>423</v>
      </c>
      <c r="B210" s="4">
        <f>VLOOKUP($A210,[1]彩未分析60315!$A:$M,8,0)</f>
        <v>36</v>
      </c>
      <c r="C210" s="4">
        <f>VLOOKUP($A210,[1]彩未分析60315!$A:$M,9,0)</f>
        <v>35</v>
      </c>
      <c r="D210" s="4">
        <f>VLOOKUP($A210,[1]彩未分析60315!$A:$M,10,0)</f>
        <v>34</v>
      </c>
      <c r="E210" s="4">
        <f>VLOOKUP($A210,[1]彩未分析60315!$A:$M,11,0)</f>
        <v>32</v>
      </c>
      <c r="F210" s="4">
        <f>VLOOKUP($A210,[1]彩未分析60315!$A:$M,12,0)</f>
        <v>31</v>
      </c>
      <c r="G210" s="4">
        <f>VLOOKUP($A210,[1]彩未分析60315!$A:$M,13,0)</f>
        <v>30</v>
      </c>
      <c r="H210" s="3" t="s">
        <v>10</v>
      </c>
      <c r="I210" s="3" t="s">
        <v>424</v>
      </c>
    </row>
    <row r="211" customHeight="1" spans="1:9">
      <c r="A211" s="4" t="s">
        <v>425</v>
      </c>
      <c r="B211" s="4">
        <f>VLOOKUP($A211,[1]彩未分析60315!$A:$M,8,0)</f>
        <v>42</v>
      </c>
      <c r="C211" s="4">
        <f>VLOOKUP($A211,[1]彩未分析60315!$A:$M,9,0)</f>
        <v>41</v>
      </c>
      <c r="D211" s="4">
        <f>VLOOKUP($A211,[1]彩未分析60315!$A:$M,10,0)</f>
        <v>39</v>
      </c>
      <c r="E211" s="4">
        <f>VLOOKUP($A211,[1]彩未分析60315!$A:$M,11,0)</f>
        <v>38</v>
      </c>
      <c r="F211" s="4">
        <f>VLOOKUP($A211,[1]彩未分析60315!$A:$M,12,0)</f>
        <v>36</v>
      </c>
      <c r="G211" s="4">
        <f>VLOOKUP($A211,[1]彩未分析60315!$A:$M,13,0)</f>
        <v>35</v>
      </c>
      <c r="H211" s="3" t="s">
        <v>10</v>
      </c>
      <c r="I211" s="3" t="s">
        <v>426</v>
      </c>
    </row>
    <row r="212" customHeight="1" spans="1:9">
      <c r="A212" s="4" t="s">
        <v>427</v>
      </c>
      <c r="B212" s="4">
        <f>VLOOKUP($A212,[1]彩未分析60315!$A:$M,8,0)</f>
        <v>42</v>
      </c>
      <c r="C212" s="4">
        <f>VLOOKUP($A212,[1]彩未分析60315!$A:$M,9,0)</f>
        <v>41</v>
      </c>
      <c r="D212" s="4">
        <f>VLOOKUP($A212,[1]彩未分析60315!$A:$M,10,0)</f>
        <v>39</v>
      </c>
      <c r="E212" s="4">
        <f>VLOOKUP($A212,[1]彩未分析60315!$A:$M,11,0)</f>
        <v>37</v>
      </c>
      <c r="F212" s="4">
        <f>VLOOKUP($A212,[1]彩未分析60315!$A:$M,12,0)</f>
        <v>36</v>
      </c>
      <c r="G212" s="4">
        <f>VLOOKUP($A212,[1]彩未分析60315!$A:$M,13,0)</f>
        <v>34</v>
      </c>
      <c r="H212" s="3" t="s">
        <v>10</v>
      </c>
      <c r="I212" s="3" t="s">
        <v>428</v>
      </c>
    </row>
    <row r="213" customHeight="1" spans="1:9">
      <c r="A213" s="4" t="s">
        <v>429</v>
      </c>
      <c r="B213" s="4">
        <f>VLOOKUP($A213,[1]彩未分析60315!$A:$M,8,0)</f>
        <v>42</v>
      </c>
      <c r="C213" s="4">
        <f>VLOOKUP($A213,[1]彩未分析60315!$A:$M,9,0)</f>
        <v>41</v>
      </c>
      <c r="D213" s="4">
        <f>VLOOKUP($A213,[1]彩未分析60315!$A:$M,10,0)</f>
        <v>39</v>
      </c>
      <c r="E213" s="4">
        <f>VLOOKUP($A213,[1]彩未分析60315!$A:$M,11,0)</f>
        <v>38</v>
      </c>
      <c r="F213" s="4">
        <f>VLOOKUP($A213,[1]彩未分析60315!$A:$M,12,0)</f>
        <v>36</v>
      </c>
      <c r="G213" s="4">
        <f>VLOOKUP($A213,[1]彩未分析60315!$A:$M,13,0)</f>
        <v>35</v>
      </c>
      <c r="H213" s="3" t="s">
        <v>10</v>
      </c>
      <c r="I213" s="3" t="s">
        <v>430</v>
      </c>
    </row>
    <row r="214" customHeight="1" spans="1:9">
      <c r="A214" s="4" t="s">
        <v>431</v>
      </c>
      <c r="B214" s="4">
        <f>VLOOKUP($A214,[1]彩未分析60315!$A:$M,8,0)</f>
        <v>32</v>
      </c>
      <c r="C214" s="4">
        <f>VLOOKUP($A214,[1]彩未分析60315!$A:$M,9,0)</f>
        <v>30</v>
      </c>
      <c r="D214" s="4">
        <f>VLOOKUP($A214,[1]彩未分析60315!$A:$M,10,0)</f>
        <v>29</v>
      </c>
      <c r="E214" s="4">
        <f>VLOOKUP($A214,[1]彩未分析60315!$A:$M,11,0)</f>
        <v>28</v>
      </c>
      <c r="F214" s="4">
        <f>VLOOKUP($A214,[1]彩未分析60315!$A:$M,12,0)</f>
        <v>27</v>
      </c>
      <c r="G214" s="4">
        <f>VLOOKUP($A214,[1]彩未分析60315!$A:$M,13,0)</f>
        <v>26</v>
      </c>
      <c r="H214" s="3" t="s">
        <v>10</v>
      </c>
      <c r="I214" s="3" t="s">
        <v>432</v>
      </c>
    </row>
    <row r="215" customHeight="1" spans="1:9">
      <c r="A215" s="4" t="s">
        <v>433</v>
      </c>
      <c r="B215" s="4">
        <f>VLOOKUP($A215,[1]彩未分析60315!$A:$M,8,0)</f>
        <v>36</v>
      </c>
      <c r="C215" s="4">
        <f>VLOOKUP($A215,[1]彩未分析60315!$A:$M,9,0)</f>
        <v>35</v>
      </c>
      <c r="D215" s="4">
        <f>VLOOKUP($A215,[1]彩未分析60315!$A:$M,10,0)</f>
        <v>34</v>
      </c>
      <c r="E215" s="4">
        <f>VLOOKUP($A215,[1]彩未分析60315!$A:$M,11,0)</f>
        <v>32</v>
      </c>
      <c r="F215" s="4">
        <f>VLOOKUP($A215,[1]彩未分析60315!$A:$M,12,0)</f>
        <v>31</v>
      </c>
      <c r="G215" s="4">
        <f>VLOOKUP($A215,[1]彩未分析60315!$A:$M,13,0)</f>
        <v>30</v>
      </c>
      <c r="H215" s="3" t="s">
        <v>10</v>
      </c>
      <c r="I215" s="3" t="s">
        <v>434</v>
      </c>
    </row>
    <row r="216" customHeight="1" spans="1:9">
      <c r="A216" s="4" t="s">
        <v>435</v>
      </c>
      <c r="B216" s="4">
        <f>VLOOKUP($A216,[1]彩未分析60315!$A:$M,8,0)</f>
        <v>22</v>
      </c>
      <c r="C216" s="4">
        <f>VLOOKUP($A216,[1]彩未分析60315!$A:$M,9,0)</f>
        <v>21</v>
      </c>
      <c r="D216" s="4">
        <f>VLOOKUP($A216,[1]彩未分析60315!$A:$M,10,0)</f>
        <v>20</v>
      </c>
      <c r="E216" s="4">
        <f>VLOOKUP($A216,[1]彩未分析60315!$A:$M,11,0)</f>
        <v>20</v>
      </c>
      <c r="F216" s="4">
        <f>VLOOKUP($A216,[1]彩未分析60315!$A:$M,12,0)</f>
        <v>19</v>
      </c>
      <c r="G216" s="4">
        <f>VLOOKUP($A216,[1]彩未分析60315!$A:$M,13,0)</f>
        <v>18</v>
      </c>
      <c r="H216" s="3" t="s">
        <v>10</v>
      </c>
      <c r="I216" s="3" t="s">
        <v>436</v>
      </c>
    </row>
    <row r="217" customHeight="1" spans="1:9">
      <c r="A217" s="4" t="s">
        <v>437</v>
      </c>
      <c r="B217" s="4">
        <f>VLOOKUP($A217,[1]彩未分析60315!$A:$M,8,0)</f>
        <v>37</v>
      </c>
      <c r="C217" s="4">
        <f>VLOOKUP($A217,[1]彩未分析60315!$A:$M,9,0)</f>
        <v>36</v>
      </c>
      <c r="D217" s="4">
        <f>VLOOKUP($A217,[1]彩未分析60315!$A:$M,10,0)</f>
        <v>34</v>
      </c>
      <c r="E217" s="4">
        <f>VLOOKUP($A217,[1]彩未分析60315!$A:$M,11,0)</f>
        <v>33</v>
      </c>
      <c r="F217" s="4">
        <f>VLOOKUP($A217,[1]彩未分析60315!$A:$M,12,0)</f>
        <v>32</v>
      </c>
      <c r="G217" s="4">
        <f>VLOOKUP($A217,[1]彩未分析60315!$A:$M,13,0)</f>
        <v>30</v>
      </c>
      <c r="H217" s="3" t="s">
        <v>10</v>
      </c>
      <c r="I217" s="3" t="s">
        <v>438</v>
      </c>
    </row>
    <row r="218" customHeight="1" spans="1:9">
      <c r="A218" s="4" t="s">
        <v>439</v>
      </c>
      <c r="B218" s="4">
        <f>VLOOKUP($A218,[1]彩未分析60315!$A:$M,8,0)</f>
        <v>42</v>
      </c>
      <c r="C218" s="4">
        <f>VLOOKUP($A218,[1]彩未分析60315!$A:$M,9,0)</f>
        <v>41</v>
      </c>
      <c r="D218" s="4">
        <f>VLOOKUP($A218,[1]彩未分析60315!$A:$M,10,0)</f>
        <v>39</v>
      </c>
      <c r="E218" s="4">
        <f>VLOOKUP($A218,[1]彩未分析60315!$A:$M,11,0)</f>
        <v>38</v>
      </c>
      <c r="F218" s="4">
        <f>VLOOKUP($A218,[1]彩未分析60315!$A:$M,12,0)</f>
        <v>36</v>
      </c>
      <c r="G218" s="4">
        <f>VLOOKUP($A218,[1]彩未分析60315!$A:$M,13,0)</f>
        <v>35</v>
      </c>
      <c r="H218" s="3" t="s">
        <v>10</v>
      </c>
      <c r="I218" s="3" t="s">
        <v>440</v>
      </c>
    </row>
    <row r="219" customHeight="1" spans="1:9">
      <c r="A219" s="4" t="s">
        <v>441</v>
      </c>
      <c r="B219" s="4">
        <f>VLOOKUP($A219,[1]彩未分析60315!$A:$M,8,0)</f>
        <v>101</v>
      </c>
      <c r="C219" s="4">
        <f>VLOOKUP($A219,[1]彩未分析60315!$A:$M,9,0)</f>
        <v>100</v>
      </c>
      <c r="D219" s="4">
        <f>VLOOKUP($A219,[1]彩未分析60315!$A:$M,10,0)</f>
        <v>98</v>
      </c>
      <c r="E219" s="4">
        <f>VLOOKUP($A219,[1]彩未分析60315!$A:$M,11,0)</f>
        <v>96</v>
      </c>
      <c r="F219" s="4">
        <f>VLOOKUP($A219,[1]彩未分析60315!$A:$M,12,0)</f>
        <v>95</v>
      </c>
      <c r="G219" s="4">
        <f>VLOOKUP($A219,[1]彩未分析60315!$A:$M,13,0)</f>
        <v>94</v>
      </c>
      <c r="H219" s="3" t="s">
        <v>39</v>
      </c>
      <c r="I219" s="3" t="s">
        <v>442</v>
      </c>
    </row>
    <row r="220" customHeight="1" spans="1:9">
      <c r="A220" s="4" t="s">
        <v>443</v>
      </c>
      <c r="B220" s="4">
        <f>VLOOKUP($A220,[1]彩未分析60315!$A:$M,8,0)</f>
        <v>34</v>
      </c>
      <c r="C220" s="4">
        <f>VLOOKUP($A220,[1]彩未分析60315!$A:$M,9,0)</f>
        <v>33</v>
      </c>
      <c r="D220" s="4">
        <f>VLOOKUP($A220,[1]彩未分析60315!$A:$M,10,0)</f>
        <v>32</v>
      </c>
      <c r="E220" s="4">
        <f>VLOOKUP($A220,[1]彩未分析60315!$A:$M,11,0)</f>
        <v>31</v>
      </c>
      <c r="F220" s="4">
        <f>VLOOKUP($A220,[1]彩未分析60315!$A:$M,12,0)</f>
        <v>29</v>
      </c>
      <c r="G220" s="4">
        <f>VLOOKUP($A220,[1]彩未分析60315!$A:$M,13,0)</f>
        <v>28</v>
      </c>
      <c r="H220" s="3" t="s">
        <v>10</v>
      </c>
      <c r="I220" s="3" t="s">
        <v>444</v>
      </c>
    </row>
    <row r="221" customHeight="1" spans="1:9">
      <c r="A221" s="4" t="s">
        <v>445</v>
      </c>
      <c r="B221" s="4">
        <f>VLOOKUP($A221,[1]彩未分析60315!$A:$M,8,0)</f>
        <v>41</v>
      </c>
      <c r="C221" s="4">
        <f>VLOOKUP($A221,[1]彩未分析60315!$A:$M,9,0)</f>
        <v>39</v>
      </c>
      <c r="D221" s="4">
        <f>VLOOKUP($A221,[1]彩未分析60315!$A:$M,10,0)</f>
        <v>38</v>
      </c>
      <c r="E221" s="4">
        <f>VLOOKUP($A221,[1]彩未分析60315!$A:$M,11,0)</f>
        <v>36</v>
      </c>
      <c r="F221" s="4">
        <f>VLOOKUP($A221,[1]彩未分析60315!$A:$M,12,0)</f>
        <v>35</v>
      </c>
      <c r="G221" s="4">
        <f>VLOOKUP($A221,[1]彩未分析60315!$A:$M,13,0)</f>
        <v>33</v>
      </c>
      <c r="H221" s="3" t="s">
        <v>10</v>
      </c>
      <c r="I221" s="3" t="s">
        <v>35</v>
      </c>
    </row>
    <row r="222" customHeight="1" spans="1:9">
      <c r="A222" s="4" t="s">
        <v>446</v>
      </c>
      <c r="B222" s="4">
        <f>VLOOKUP($A222,[1]彩未分析60315!$A:$M,8,0)</f>
        <v>36</v>
      </c>
      <c r="C222" s="4">
        <f>VLOOKUP($A222,[1]彩未分析60315!$A:$M,9,0)</f>
        <v>35</v>
      </c>
      <c r="D222" s="4">
        <f>VLOOKUP($A222,[1]彩未分析60315!$A:$M,10,0)</f>
        <v>33</v>
      </c>
      <c r="E222" s="4">
        <f>VLOOKUP($A222,[1]彩未分析60315!$A:$M,11,0)</f>
        <v>32</v>
      </c>
      <c r="F222" s="4">
        <f>VLOOKUP($A222,[1]彩未分析60315!$A:$M,12,0)</f>
        <v>31</v>
      </c>
      <c r="G222" s="4">
        <f>VLOOKUP($A222,[1]彩未分析60315!$A:$M,13,0)</f>
        <v>29</v>
      </c>
      <c r="H222" s="3" t="s">
        <v>10</v>
      </c>
      <c r="I222" s="3" t="s">
        <v>447</v>
      </c>
    </row>
    <row r="223" customHeight="1" spans="1:9">
      <c r="A223" s="4" t="s">
        <v>448</v>
      </c>
      <c r="B223" s="4">
        <f>VLOOKUP($A223,[1]彩未分析60315!$A:$M,8,0)</f>
        <v>36</v>
      </c>
      <c r="C223" s="4">
        <f>VLOOKUP($A223,[1]彩未分析60315!$A:$M,9,0)</f>
        <v>34</v>
      </c>
      <c r="D223" s="4">
        <f>VLOOKUP($A223,[1]彩未分析60315!$A:$M,10,0)</f>
        <v>33</v>
      </c>
      <c r="E223" s="4">
        <f>VLOOKUP($A223,[1]彩未分析60315!$A:$M,11,0)</f>
        <v>32</v>
      </c>
      <c r="F223" s="4">
        <f>VLOOKUP($A223,[1]彩未分析60315!$A:$M,12,0)</f>
        <v>31</v>
      </c>
      <c r="G223" s="4">
        <f>VLOOKUP($A223,[1]彩未分析60315!$A:$M,13,0)</f>
        <v>29</v>
      </c>
      <c r="H223" s="3" t="s">
        <v>10</v>
      </c>
      <c r="I223" s="3" t="s">
        <v>449</v>
      </c>
    </row>
    <row r="224" customHeight="1" spans="1:9">
      <c r="A224" s="4" t="s">
        <v>450</v>
      </c>
      <c r="B224" s="4">
        <f>VLOOKUP($A224,[1]彩未分析60315!$A:$M,8,0)</f>
        <v>41</v>
      </c>
      <c r="C224" s="4">
        <f>VLOOKUP($A224,[1]彩未分析60315!$A:$M,9,0)</f>
        <v>40</v>
      </c>
      <c r="D224" s="4">
        <f>VLOOKUP($A224,[1]彩未分析60315!$A:$M,10,0)</f>
        <v>38</v>
      </c>
      <c r="E224" s="4">
        <f>VLOOKUP($A224,[1]彩未分析60315!$A:$M,11,0)</f>
        <v>37</v>
      </c>
      <c r="F224" s="4">
        <f>VLOOKUP($A224,[1]彩未分析60315!$A:$M,12,0)</f>
        <v>35</v>
      </c>
      <c r="G224" s="4">
        <f>VLOOKUP($A224,[1]彩未分析60315!$A:$M,13,0)</f>
        <v>34</v>
      </c>
      <c r="H224" s="3" t="s">
        <v>10</v>
      </c>
      <c r="I224" s="3" t="s">
        <v>451</v>
      </c>
    </row>
    <row r="225" customHeight="1" spans="1:9">
      <c r="A225" s="4" t="s">
        <v>452</v>
      </c>
      <c r="B225" s="4">
        <f>VLOOKUP($A225,[1]彩未分析60315!$A:$M,8,0)</f>
        <v>29</v>
      </c>
      <c r="C225" s="4">
        <f>VLOOKUP($A225,[1]彩未分析60315!$A:$M,9,0)</f>
        <v>28</v>
      </c>
      <c r="D225" s="4">
        <f>VLOOKUP($A225,[1]彩未分析60315!$A:$M,10,0)</f>
        <v>27</v>
      </c>
      <c r="E225" s="4">
        <f>VLOOKUP($A225,[1]彩未分析60315!$A:$M,11,0)</f>
        <v>26</v>
      </c>
      <c r="F225" s="4">
        <f>VLOOKUP($A225,[1]彩未分析60315!$A:$M,12,0)</f>
        <v>25</v>
      </c>
      <c r="G225" s="4">
        <f>VLOOKUP($A225,[1]彩未分析60315!$A:$M,13,0)</f>
        <v>24</v>
      </c>
      <c r="H225" s="3" t="s">
        <v>10</v>
      </c>
      <c r="I225" s="3" t="s">
        <v>453</v>
      </c>
    </row>
    <row r="226" customHeight="1" spans="1:9">
      <c r="A226" s="4" t="s">
        <v>454</v>
      </c>
      <c r="B226" s="4">
        <f>VLOOKUP($A226,[1]彩未分析60315!$A:$M,8,0)</f>
        <v>32</v>
      </c>
      <c r="C226" s="4">
        <f>VLOOKUP($A226,[1]彩未分析60315!$A:$M,9,0)</f>
        <v>31</v>
      </c>
      <c r="D226" s="4">
        <f>VLOOKUP($A226,[1]彩未分析60315!$A:$M,10,0)</f>
        <v>30</v>
      </c>
      <c r="E226" s="4">
        <f>VLOOKUP($A226,[1]彩未分析60315!$A:$M,11,0)</f>
        <v>29</v>
      </c>
      <c r="F226" s="4">
        <f>VLOOKUP($A226,[1]彩未分析60315!$A:$M,12,0)</f>
        <v>27</v>
      </c>
      <c r="G226" s="4">
        <f>VLOOKUP($A226,[1]彩未分析60315!$A:$M,13,0)</f>
        <v>26</v>
      </c>
      <c r="H226" s="3" t="s">
        <v>10</v>
      </c>
      <c r="I226" s="3" t="s">
        <v>455</v>
      </c>
    </row>
    <row r="227" customHeight="1" spans="1:9">
      <c r="A227" s="4" t="s">
        <v>456</v>
      </c>
      <c r="B227" s="4">
        <f>VLOOKUP($A227,[1]彩未分析60315!$A:$M,8,0)</f>
        <v>54</v>
      </c>
      <c r="C227" s="4">
        <f>VLOOKUP($A227,[1]彩未分析60315!$A:$M,9,0)</f>
        <v>52</v>
      </c>
      <c r="D227" s="4">
        <f>VLOOKUP($A227,[1]彩未分析60315!$A:$M,10,0)</f>
        <v>50</v>
      </c>
      <c r="E227" s="4">
        <f>VLOOKUP($A227,[1]彩未分析60315!$A:$M,11,0)</f>
        <v>48</v>
      </c>
      <c r="F227" s="4">
        <f>VLOOKUP($A227,[1]彩未分析60315!$A:$M,12,0)</f>
        <v>46</v>
      </c>
      <c r="G227" s="4">
        <f>VLOOKUP($A227,[1]彩未分析60315!$A:$M,13,0)</f>
        <v>44</v>
      </c>
      <c r="H227" s="3" t="s">
        <v>10</v>
      </c>
      <c r="I227" s="3" t="s">
        <v>457</v>
      </c>
    </row>
    <row r="228" customHeight="1" spans="1:9">
      <c r="A228" s="4" t="s">
        <v>458</v>
      </c>
      <c r="B228" s="4">
        <f>VLOOKUP($A228,[1]彩未分析60315!$A:$M,8,0)</f>
        <v>61</v>
      </c>
      <c r="C228" s="4">
        <f>VLOOKUP($A228,[1]彩未分析60315!$A:$M,9,0)</f>
        <v>60</v>
      </c>
      <c r="D228" s="4">
        <f>VLOOKUP($A228,[1]彩未分析60315!$A:$M,10,0)</f>
        <v>59</v>
      </c>
      <c r="E228" s="4">
        <f>VLOOKUP($A228,[1]彩未分析60315!$A:$M,11,0)</f>
        <v>58</v>
      </c>
      <c r="F228" s="4">
        <f>VLOOKUP($A228,[1]彩未分析60315!$A:$M,12,0)</f>
        <v>57</v>
      </c>
      <c r="G228" s="4">
        <f>VLOOKUP($A228,[1]彩未分析60315!$A:$M,13,0)</f>
        <v>56</v>
      </c>
      <c r="H228" s="3" t="s">
        <v>39</v>
      </c>
      <c r="I228" s="3" t="s">
        <v>459</v>
      </c>
    </row>
    <row r="229" customHeight="1" spans="1:9">
      <c r="A229" s="4" t="s">
        <v>460</v>
      </c>
      <c r="B229" s="4">
        <f>VLOOKUP($A229,[1]彩未分析60315!$A:$M,8,0)</f>
        <v>63</v>
      </c>
      <c r="C229" s="4">
        <f>VLOOKUP($A229,[1]彩未分析60315!$A:$M,9,0)</f>
        <v>61</v>
      </c>
      <c r="D229" s="4">
        <f>VLOOKUP($A229,[1]彩未分析60315!$A:$M,10,0)</f>
        <v>59</v>
      </c>
      <c r="E229" s="4">
        <f>VLOOKUP($A229,[1]彩未分析60315!$A:$M,11,0)</f>
        <v>56</v>
      </c>
      <c r="F229" s="4">
        <f>VLOOKUP($A229,[1]彩未分析60315!$A:$M,12,0)</f>
        <v>54</v>
      </c>
      <c r="G229" s="4">
        <f>VLOOKUP($A229,[1]彩未分析60315!$A:$M,13,0)</f>
        <v>52</v>
      </c>
      <c r="H229" s="3" t="s">
        <v>10</v>
      </c>
      <c r="I229" s="3" t="s">
        <v>461</v>
      </c>
    </row>
    <row r="230" customHeight="1" spans="1:9">
      <c r="A230" s="4" t="s">
        <v>462</v>
      </c>
      <c r="B230" s="4">
        <f>VLOOKUP($A230,[1]彩未分析60315!$A:$M,8,0)</f>
        <v>43</v>
      </c>
      <c r="C230" s="4">
        <f>VLOOKUP($A230,[1]彩未分析60315!$A:$M,9,0)</f>
        <v>42</v>
      </c>
      <c r="D230" s="4">
        <f>VLOOKUP($A230,[1]彩未分析60315!$A:$M,10,0)</f>
        <v>40</v>
      </c>
      <c r="E230" s="4">
        <f>VLOOKUP($A230,[1]彩未分析60315!$A:$M,11,0)</f>
        <v>39</v>
      </c>
      <c r="F230" s="4">
        <f>VLOOKUP($A230,[1]彩未分析60315!$A:$M,12,0)</f>
        <v>37</v>
      </c>
      <c r="G230" s="4">
        <f>VLOOKUP($A230,[1]彩未分析60315!$A:$M,13,0)</f>
        <v>35</v>
      </c>
      <c r="H230" s="3" t="s">
        <v>10</v>
      </c>
      <c r="I230" s="3" t="s">
        <v>463</v>
      </c>
    </row>
    <row r="231" customHeight="1" spans="1:9">
      <c r="A231" s="4" t="s">
        <v>464</v>
      </c>
      <c r="B231" s="4">
        <f>VLOOKUP($A231,[1]彩未分析60315!$A:$M,8,0)</f>
        <v>21</v>
      </c>
      <c r="C231" s="4">
        <f>VLOOKUP($A231,[1]彩未分析60315!$A:$M,9,0)</f>
        <v>21</v>
      </c>
      <c r="D231" s="4">
        <f>VLOOKUP($A231,[1]彩未分析60315!$A:$M,10,0)</f>
        <v>20</v>
      </c>
      <c r="E231" s="4">
        <f>VLOOKUP($A231,[1]彩未分析60315!$A:$M,11,0)</f>
        <v>19</v>
      </c>
      <c r="F231" s="4">
        <f>VLOOKUP($A231,[1]彩未分析60315!$A:$M,12,0)</f>
        <v>18</v>
      </c>
      <c r="G231" s="4">
        <f>VLOOKUP($A231,[1]彩未分析60315!$A:$M,13,0)</f>
        <v>17</v>
      </c>
      <c r="H231" s="3" t="s">
        <v>10</v>
      </c>
      <c r="I231" s="3" t="s">
        <v>465</v>
      </c>
    </row>
    <row r="232" customHeight="1" spans="1:9">
      <c r="A232" s="4" t="s">
        <v>466</v>
      </c>
      <c r="B232" s="4">
        <f>VLOOKUP($A232,[1]彩未分析60315!$A:$M,8,0)</f>
        <v>51</v>
      </c>
      <c r="C232" s="4">
        <f>VLOOKUP($A232,[1]彩未分析60315!$A:$M,9,0)</f>
        <v>51</v>
      </c>
      <c r="D232" s="4">
        <f>VLOOKUP($A232,[1]彩未分析60315!$A:$M,10,0)</f>
        <v>50</v>
      </c>
      <c r="E232" s="4">
        <f>VLOOKUP($A232,[1]彩未分析60315!$A:$M,11,0)</f>
        <v>49</v>
      </c>
      <c r="F232" s="4">
        <f>VLOOKUP($A232,[1]彩未分析60315!$A:$M,12,0)</f>
        <v>48</v>
      </c>
      <c r="G232" s="4">
        <f>VLOOKUP($A232,[1]彩未分析60315!$A:$M,13,0)</f>
        <v>48</v>
      </c>
      <c r="H232" s="3" t="s">
        <v>39</v>
      </c>
      <c r="I232" s="3" t="s">
        <v>467</v>
      </c>
    </row>
    <row r="233" customHeight="1" spans="1:9">
      <c r="A233" s="4" t="s">
        <v>468</v>
      </c>
      <c r="B233" s="4">
        <f>VLOOKUP($A233,[1]彩未分析60315!$A:$M,8,0)</f>
        <v>27</v>
      </c>
      <c r="C233" s="4">
        <f>VLOOKUP($A233,[1]彩未分析60315!$A:$M,9,0)</f>
        <v>26</v>
      </c>
      <c r="D233" s="4">
        <f>VLOOKUP($A233,[1]彩未分析60315!$A:$M,10,0)</f>
        <v>25</v>
      </c>
      <c r="E233" s="4">
        <f>VLOOKUP($A233,[1]彩未分析60315!$A:$M,11,0)</f>
        <v>24</v>
      </c>
      <c r="F233" s="4">
        <f>VLOOKUP($A233,[1]彩未分析60315!$A:$M,12,0)</f>
        <v>23</v>
      </c>
      <c r="G233" s="4">
        <f>VLOOKUP($A233,[1]彩未分析60315!$A:$M,13,0)</f>
        <v>22</v>
      </c>
      <c r="H233" s="3" t="s">
        <v>10</v>
      </c>
      <c r="I233" s="3" t="s">
        <v>469</v>
      </c>
    </row>
    <row r="234" customHeight="1" spans="1:9">
      <c r="A234" s="4" t="s">
        <v>470</v>
      </c>
      <c r="B234" s="4">
        <f>VLOOKUP($A234,[1]彩未分析60315!$A:$M,8,0)</f>
        <v>56</v>
      </c>
      <c r="C234" s="4">
        <f>VLOOKUP($A234,[1]彩未分析60315!$A:$M,9,0)</f>
        <v>53</v>
      </c>
      <c r="D234" s="4">
        <f>VLOOKUP($A234,[1]彩未分析60315!$A:$M,10,0)</f>
        <v>51</v>
      </c>
      <c r="E234" s="4">
        <f>VLOOKUP($A234,[1]彩未分析60315!$A:$M,11,0)</f>
        <v>49</v>
      </c>
      <c r="F234" s="4">
        <f>VLOOKUP($A234,[1]彩未分析60315!$A:$M,12,0)</f>
        <v>47</v>
      </c>
      <c r="G234" s="4">
        <f>VLOOKUP($A234,[1]彩未分析60315!$A:$M,13,0)</f>
        <v>45</v>
      </c>
      <c r="H234" s="3" t="s">
        <v>10</v>
      </c>
      <c r="I234" s="3" t="s">
        <v>471</v>
      </c>
    </row>
    <row r="235" customHeight="1" spans="1:9">
      <c r="A235" s="4" t="s">
        <v>472</v>
      </c>
      <c r="B235" s="4">
        <f>VLOOKUP($A235,[1]彩未分析60315!$A:$M,8,0)</f>
        <v>42</v>
      </c>
      <c r="C235" s="4">
        <f>VLOOKUP($A235,[1]彩未分析60315!$A:$M,9,0)</f>
        <v>40</v>
      </c>
      <c r="D235" s="4">
        <f>VLOOKUP($A235,[1]彩未分析60315!$A:$M,10,0)</f>
        <v>39</v>
      </c>
      <c r="E235" s="4">
        <f>VLOOKUP($A235,[1]彩未分析60315!$A:$M,11,0)</f>
        <v>37</v>
      </c>
      <c r="F235" s="4">
        <f>VLOOKUP($A235,[1]彩未分析60315!$A:$M,12,0)</f>
        <v>36</v>
      </c>
      <c r="G235" s="4">
        <f>VLOOKUP($A235,[1]彩未分析60315!$A:$M,13,0)</f>
        <v>34</v>
      </c>
      <c r="H235" s="3" t="s">
        <v>10</v>
      </c>
      <c r="I235" s="3" t="s">
        <v>473</v>
      </c>
    </row>
    <row r="236" customHeight="1" spans="1:9">
      <c r="A236" s="4" t="s">
        <v>474</v>
      </c>
      <c r="B236" s="4">
        <f>VLOOKUP($A236,[1]彩未分析60315!$A:$M,8,0)</f>
        <v>29</v>
      </c>
      <c r="C236" s="4">
        <f>VLOOKUP($A236,[1]彩未分析60315!$A:$M,9,0)</f>
        <v>28</v>
      </c>
      <c r="D236" s="4">
        <f>VLOOKUP($A236,[1]彩未分析60315!$A:$M,10,0)</f>
        <v>27</v>
      </c>
      <c r="E236" s="4">
        <f>VLOOKUP($A236,[1]彩未分析60315!$A:$M,11,0)</f>
        <v>26</v>
      </c>
      <c r="F236" s="4">
        <f>VLOOKUP($A236,[1]彩未分析60315!$A:$M,12,0)</f>
        <v>25</v>
      </c>
      <c r="G236" s="4">
        <f>VLOOKUP($A236,[1]彩未分析60315!$A:$M,13,0)</f>
        <v>24</v>
      </c>
      <c r="H236" s="3" t="s">
        <v>10</v>
      </c>
      <c r="I236" s="3" t="s">
        <v>475</v>
      </c>
    </row>
    <row r="237" customHeight="1" spans="1:9">
      <c r="A237" s="4" t="s">
        <v>476</v>
      </c>
      <c r="B237" s="4">
        <f>VLOOKUP($A237,[1]彩未分析60315!$A:$M,8,0)</f>
        <v>30</v>
      </c>
      <c r="C237" s="4">
        <f>VLOOKUP($A237,[1]彩未分析60315!$A:$M,9,0)</f>
        <v>30</v>
      </c>
      <c r="D237" s="4">
        <f>VLOOKUP($A237,[1]彩未分析60315!$A:$M,10,0)</f>
        <v>29</v>
      </c>
      <c r="E237" s="4">
        <f>VLOOKUP($A237,[1]彩未分析60315!$A:$M,11,0)</f>
        <v>29</v>
      </c>
      <c r="F237" s="4">
        <f>VLOOKUP($A237,[1]彩未分析60315!$A:$M,12,0)</f>
        <v>28</v>
      </c>
      <c r="G237" s="4">
        <f>VLOOKUP($A237,[1]彩未分析60315!$A:$M,13,0)</f>
        <v>28</v>
      </c>
      <c r="H237" s="3" t="s">
        <v>39</v>
      </c>
      <c r="I237" s="3" t="s">
        <v>477</v>
      </c>
    </row>
    <row r="238" customHeight="1" spans="1:9">
      <c r="A238" s="4" t="s">
        <v>478</v>
      </c>
      <c r="B238" s="4">
        <f>VLOOKUP($A238,[1]彩未分析60315!$A:$M,8,0)</f>
        <v>43</v>
      </c>
      <c r="C238" s="4">
        <f>VLOOKUP($A238,[1]彩未分析60315!$A:$M,9,0)</f>
        <v>41</v>
      </c>
      <c r="D238" s="4">
        <f>VLOOKUP($A238,[1]彩未分析60315!$A:$M,10,0)</f>
        <v>39</v>
      </c>
      <c r="E238" s="4">
        <f>VLOOKUP($A238,[1]彩未分析60315!$A:$M,11,0)</f>
        <v>38</v>
      </c>
      <c r="F238" s="4">
        <f>VLOOKUP($A238,[1]彩未分析60315!$A:$M,12,0)</f>
        <v>36</v>
      </c>
      <c r="G238" s="4">
        <f>VLOOKUP($A238,[1]彩未分析60315!$A:$M,13,0)</f>
        <v>35</v>
      </c>
      <c r="H238" s="3" t="s">
        <v>10</v>
      </c>
      <c r="I238" s="3" t="s">
        <v>479</v>
      </c>
    </row>
    <row r="239" customHeight="1" spans="1:9">
      <c r="A239" s="4" t="s">
        <v>480</v>
      </c>
      <c r="B239" s="4">
        <f>VLOOKUP($A239,[1]彩未分析60315!$A:$M,8,0)</f>
        <v>37</v>
      </c>
      <c r="C239" s="4">
        <f>VLOOKUP($A239,[1]彩未分析60315!$A:$M,9,0)</f>
        <v>36</v>
      </c>
      <c r="D239" s="4">
        <f>VLOOKUP($A239,[1]彩未分析60315!$A:$M,10,0)</f>
        <v>34</v>
      </c>
      <c r="E239" s="4">
        <f>VLOOKUP($A239,[1]彩未分析60315!$A:$M,11,0)</f>
        <v>33</v>
      </c>
      <c r="F239" s="4">
        <f>VLOOKUP($A239,[1]彩未分析60315!$A:$M,12,0)</f>
        <v>32</v>
      </c>
      <c r="G239" s="4">
        <f>VLOOKUP($A239,[1]彩未分析60315!$A:$M,13,0)</f>
        <v>30</v>
      </c>
      <c r="H239" s="3" t="s">
        <v>10</v>
      </c>
      <c r="I239" s="3" t="s">
        <v>481</v>
      </c>
    </row>
    <row r="240" customHeight="1" spans="1:9">
      <c r="A240" s="4" t="s">
        <v>482</v>
      </c>
      <c r="B240" s="4">
        <f>VLOOKUP($A240,[1]彩未分析60315!$A:$M,8,0)</f>
        <v>173</v>
      </c>
      <c r="C240" s="4">
        <f>VLOOKUP($A240,[1]彩未分析60315!$A:$M,9,0)</f>
        <v>170</v>
      </c>
      <c r="D240" s="4">
        <f>VLOOKUP($A240,[1]彩未分析60315!$A:$M,10,0)</f>
        <v>167</v>
      </c>
      <c r="E240" s="4">
        <f>VLOOKUP($A240,[1]彩未分析60315!$A:$M,11,0)</f>
        <v>164</v>
      </c>
      <c r="F240" s="4">
        <f>VLOOKUP($A240,[1]彩未分析60315!$A:$M,12,0)</f>
        <v>163</v>
      </c>
      <c r="G240" s="4">
        <f>VLOOKUP($A240,[1]彩未分析60315!$A:$M,13,0)</f>
        <v>160</v>
      </c>
      <c r="H240" s="3" t="s">
        <v>39</v>
      </c>
      <c r="I240" s="3" t="s">
        <v>483</v>
      </c>
    </row>
    <row r="241" customHeight="1" spans="1:9">
      <c r="A241" s="4" t="s">
        <v>484</v>
      </c>
      <c r="B241" s="4">
        <f>VLOOKUP($A241,[1]彩未分析60315!$A:$M,8,0)</f>
        <v>31</v>
      </c>
      <c r="C241" s="4">
        <f>VLOOKUP($A241,[1]彩未分析60315!$A:$M,9,0)</f>
        <v>30</v>
      </c>
      <c r="D241" s="4">
        <f>VLOOKUP($A241,[1]彩未分析60315!$A:$M,10,0)</f>
        <v>29</v>
      </c>
      <c r="E241" s="4">
        <f>VLOOKUP($A241,[1]彩未分析60315!$A:$M,11,0)</f>
        <v>28</v>
      </c>
      <c r="F241" s="4">
        <f>VLOOKUP($A241,[1]彩未分析60315!$A:$M,12,0)</f>
        <v>27</v>
      </c>
      <c r="G241" s="4">
        <f>VLOOKUP($A241,[1]彩未分析60315!$A:$M,13,0)</f>
        <v>26</v>
      </c>
      <c r="H241" s="3" t="s">
        <v>10</v>
      </c>
      <c r="I241" s="3" t="s">
        <v>485</v>
      </c>
    </row>
    <row r="242" customHeight="1" spans="1:9">
      <c r="A242" s="4" t="s">
        <v>486</v>
      </c>
      <c r="B242" s="4">
        <f>VLOOKUP($A242,[1]彩未分析60315!$A:$M,8,0)</f>
        <v>44</v>
      </c>
      <c r="C242" s="4">
        <f>VLOOKUP($A242,[1]彩未分析60315!$A:$M,9,0)</f>
        <v>43</v>
      </c>
      <c r="D242" s="4">
        <f>VLOOKUP($A242,[1]彩未分析60315!$A:$M,10,0)</f>
        <v>43</v>
      </c>
      <c r="E242" s="4">
        <f>VLOOKUP($A242,[1]彩未分析60315!$A:$M,11,0)</f>
        <v>42</v>
      </c>
      <c r="F242" s="4">
        <f>VLOOKUP($A242,[1]彩未分析60315!$A:$M,12,0)</f>
        <v>41</v>
      </c>
      <c r="G242" s="4">
        <f>VLOOKUP($A242,[1]彩未分析60315!$A:$M,13,0)</f>
        <v>41</v>
      </c>
      <c r="H242" s="3" t="s">
        <v>39</v>
      </c>
      <c r="I242" s="3" t="s">
        <v>487</v>
      </c>
    </row>
    <row r="243" customHeight="1" spans="1:9">
      <c r="A243" s="4" t="s">
        <v>488</v>
      </c>
      <c r="B243" s="4">
        <f>VLOOKUP($A243,[1]彩未分析60315!$A:$M,8,0)</f>
        <v>47</v>
      </c>
      <c r="C243" s="4">
        <f>VLOOKUP($A243,[1]彩未分析60315!$A:$M,9,0)</f>
        <v>46</v>
      </c>
      <c r="D243" s="4">
        <f>VLOOKUP($A243,[1]彩未分析60315!$A:$M,10,0)</f>
        <v>44</v>
      </c>
      <c r="E243" s="4">
        <f>VLOOKUP($A243,[1]彩未分析60315!$A:$M,11,0)</f>
        <v>42</v>
      </c>
      <c r="F243" s="4">
        <f>VLOOKUP($A243,[1]彩未分析60315!$A:$M,12,0)</f>
        <v>40</v>
      </c>
      <c r="G243" s="4">
        <f>VLOOKUP($A243,[1]彩未分析60315!$A:$M,13,0)</f>
        <v>39</v>
      </c>
      <c r="H243" s="3" t="s">
        <v>10</v>
      </c>
      <c r="I243" s="3" t="s">
        <v>489</v>
      </c>
    </row>
    <row r="244" customHeight="1" spans="1:9">
      <c r="A244" s="4" t="s">
        <v>490</v>
      </c>
      <c r="B244" s="4">
        <f>VLOOKUP($A244,[1]彩未分析60315!$A:$M,8,0)</f>
        <v>32</v>
      </c>
      <c r="C244" s="4">
        <f>VLOOKUP($A244,[1]彩未分析60315!$A:$M,9,0)</f>
        <v>31</v>
      </c>
      <c r="D244" s="4">
        <f>VLOOKUP($A244,[1]彩未分析60315!$A:$M,10,0)</f>
        <v>30</v>
      </c>
      <c r="E244" s="4">
        <f>VLOOKUP($A244,[1]彩未分析60315!$A:$M,11,0)</f>
        <v>29</v>
      </c>
      <c r="F244" s="4">
        <f>VLOOKUP($A244,[1]彩未分析60315!$A:$M,12,0)</f>
        <v>27</v>
      </c>
      <c r="G244" s="4">
        <f>VLOOKUP($A244,[1]彩未分析60315!$A:$M,13,0)</f>
        <v>26</v>
      </c>
      <c r="H244" s="3" t="s">
        <v>10</v>
      </c>
      <c r="I244" s="3" t="s">
        <v>491</v>
      </c>
    </row>
    <row r="245" customHeight="1" spans="1:9">
      <c r="A245" s="4" t="s">
        <v>492</v>
      </c>
      <c r="B245" s="4">
        <f>VLOOKUP($A245,[1]彩未分析60315!$A:$M,8,0)</f>
        <v>28</v>
      </c>
      <c r="C245" s="4">
        <f>VLOOKUP($A245,[1]彩未分析60315!$A:$M,9,0)</f>
        <v>27</v>
      </c>
      <c r="D245" s="4">
        <f>VLOOKUP($A245,[1]彩未分析60315!$A:$M,10,0)</f>
        <v>26</v>
      </c>
      <c r="E245" s="4">
        <f>VLOOKUP($A245,[1]彩未分析60315!$A:$M,11,0)</f>
        <v>25</v>
      </c>
      <c r="F245" s="4">
        <f>VLOOKUP($A245,[1]彩未分析60315!$A:$M,12,0)</f>
        <v>24</v>
      </c>
      <c r="G245" s="4">
        <f>VLOOKUP($A245,[1]彩未分析60315!$A:$M,13,0)</f>
        <v>23</v>
      </c>
      <c r="H245" s="3" t="s">
        <v>10</v>
      </c>
      <c r="I245" s="3" t="s">
        <v>493</v>
      </c>
    </row>
    <row r="246" customHeight="1" spans="1:9">
      <c r="A246" s="4" t="s">
        <v>494</v>
      </c>
      <c r="B246" s="4">
        <f>VLOOKUP($A246,[1]彩未分析60315!$A:$M,8,0)</f>
        <v>113</v>
      </c>
      <c r="C246" s="4">
        <f>VLOOKUP($A246,[1]彩未分析60315!$A:$M,9,0)</f>
        <v>111</v>
      </c>
      <c r="D246" s="4">
        <f>VLOOKUP($A246,[1]彩未分析60315!$A:$M,10,0)</f>
        <v>109</v>
      </c>
      <c r="E246" s="4">
        <f>VLOOKUP($A246,[1]彩未分析60315!$A:$M,11,0)</f>
        <v>107</v>
      </c>
      <c r="F246" s="4">
        <f>VLOOKUP($A246,[1]彩未分析60315!$A:$M,12,0)</f>
        <v>106</v>
      </c>
      <c r="G246" s="4">
        <f>VLOOKUP($A246,[1]彩未分析60315!$A:$M,13,0)</f>
        <v>105</v>
      </c>
      <c r="H246" s="3" t="s">
        <v>39</v>
      </c>
      <c r="I246" s="3" t="s">
        <v>495</v>
      </c>
    </row>
    <row r="247" customHeight="1" spans="1:9">
      <c r="A247" s="4" t="s">
        <v>496</v>
      </c>
      <c r="B247" s="4">
        <f>VLOOKUP($A247,[1]彩未分析60315!$A:$M,8,0)</f>
        <v>60</v>
      </c>
      <c r="C247" s="4">
        <f>VLOOKUP($A247,[1]彩未分析60315!$A:$M,9,0)</f>
        <v>59</v>
      </c>
      <c r="D247" s="4">
        <f>VLOOKUP($A247,[1]彩未分析60315!$A:$M,10,0)</f>
        <v>58</v>
      </c>
      <c r="E247" s="4">
        <f>VLOOKUP($A247,[1]彩未分析60315!$A:$M,11,0)</f>
        <v>57</v>
      </c>
      <c r="F247" s="4">
        <f>VLOOKUP($A247,[1]彩未分析60315!$A:$M,12,0)</f>
        <v>56</v>
      </c>
      <c r="G247" s="4">
        <f>VLOOKUP($A247,[1]彩未分析60315!$A:$M,13,0)</f>
        <v>55</v>
      </c>
      <c r="H247" s="3" t="s">
        <v>39</v>
      </c>
      <c r="I247" s="3" t="s">
        <v>497</v>
      </c>
    </row>
    <row r="248" customHeight="1" spans="1:9">
      <c r="A248" s="4" t="s">
        <v>498</v>
      </c>
      <c r="B248" s="4">
        <f>VLOOKUP($A248,[1]彩未分析60315!$A:$M,8,0)</f>
        <v>35</v>
      </c>
      <c r="C248" s="4">
        <f>VLOOKUP($A248,[1]彩未分析60315!$A:$M,9,0)</f>
        <v>34</v>
      </c>
      <c r="D248" s="4">
        <f>VLOOKUP($A248,[1]彩未分析60315!$A:$M,10,0)</f>
        <v>33</v>
      </c>
      <c r="E248" s="4">
        <f>VLOOKUP($A248,[1]彩未分析60315!$A:$M,11,0)</f>
        <v>31</v>
      </c>
      <c r="F248" s="4">
        <f>VLOOKUP($A248,[1]彩未分析60315!$A:$M,12,0)</f>
        <v>30</v>
      </c>
      <c r="G248" s="4">
        <f>VLOOKUP($A248,[1]彩未分析60315!$A:$M,13,0)</f>
        <v>29</v>
      </c>
      <c r="H248" s="3" t="s">
        <v>10</v>
      </c>
      <c r="I248" s="3" t="s">
        <v>135</v>
      </c>
    </row>
    <row r="249" customHeight="1" spans="1:9">
      <c r="A249" s="4" t="s">
        <v>499</v>
      </c>
      <c r="B249" s="4">
        <f>VLOOKUP($A249,[1]彩未分析60315!$A:$M,8,0)</f>
        <v>37</v>
      </c>
      <c r="C249" s="4">
        <f>VLOOKUP($A249,[1]彩未分析60315!$A:$M,9,0)</f>
        <v>36</v>
      </c>
      <c r="D249" s="4">
        <f>VLOOKUP($A249,[1]彩未分析60315!$A:$M,10,0)</f>
        <v>35</v>
      </c>
      <c r="E249" s="4">
        <f>VLOOKUP($A249,[1]彩未分析60315!$A:$M,11,0)</f>
        <v>33</v>
      </c>
      <c r="F249" s="4">
        <f>VLOOKUP($A249,[1]彩未分析60315!$A:$M,12,0)</f>
        <v>32</v>
      </c>
      <c r="G249" s="4">
        <f>VLOOKUP($A249,[1]彩未分析60315!$A:$M,13,0)</f>
        <v>31</v>
      </c>
      <c r="H249" s="3" t="s">
        <v>10</v>
      </c>
      <c r="I249" s="3" t="s">
        <v>77</v>
      </c>
    </row>
    <row r="250" customHeight="1" spans="1:9">
      <c r="A250" s="4" t="s">
        <v>500</v>
      </c>
      <c r="B250" s="4">
        <f>VLOOKUP($A250,[1]彩未分析60315!$A:$M,8,0)</f>
        <v>32</v>
      </c>
      <c r="C250" s="4">
        <f>VLOOKUP($A250,[1]彩未分析60315!$A:$M,9,0)</f>
        <v>31</v>
      </c>
      <c r="D250" s="4">
        <f>VLOOKUP($A250,[1]彩未分析60315!$A:$M,10,0)</f>
        <v>29</v>
      </c>
      <c r="E250" s="4">
        <f>VLOOKUP($A250,[1]彩未分析60315!$A:$M,11,0)</f>
        <v>28</v>
      </c>
      <c r="F250" s="4">
        <f>VLOOKUP($A250,[1]彩未分析60315!$A:$M,12,0)</f>
        <v>27</v>
      </c>
      <c r="G250" s="4">
        <f>VLOOKUP($A250,[1]彩未分析60315!$A:$M,13,0)</f>
        <v>26</v>
      </c>
      <c r="H250" s="3" t="s">
        <v>10</v>
      </c>
      <c r="I250" s="3" t="s">
        <v>501</v>
      </c>
    </row>
    <row r="251" customHeight="1" spans="1:9">
      <c r="A251" s="4" t="s">
        <v>502</v>
      </c>
      <c r="B251" s="4">
        <f>VLOOKUP($A251,[1]彩未分析60315!$A:$M,8,0)</f>
        <v>31</v>
      </c>
      <c r="C251" s="4">
        <f>VLOOKUP($A251,[1]彩未分析60315!$A:$M,9,0)</f>
        <v>30</v>
      </c>
      <c r="D251" s="4">
        <f>VLOOKUP($A251,[1]彩未分析60315!$A:$M,10,0)</f>
        <v>29</v>
      </c>
      <c r="E251" s="4">
        <f>VLOOKUP($A251,[1]彩未分析60315!$A:$M,11,0)</f>
        <v>27</v>
      </c>
      <c r="F251" s="4">
        <f>VLOOKUP($A251,[1]彩未分析60315!$A:$M,12,0)</f>
        <v>26</v>
      </c>
      <c r="G251" s="4">
        <f>VLOOKUP($A251,[1]彩未分析60315!$A:$M,13,0)</f>
        <v>25</v>
      </c>
      <c r="H251" s="3" t="s">
        <v>10</v>
      </c>
      <c r="I251" s="3" t="s">
        <v>503</v>
      </c>
    </row>
    <row r="252" customHeight="1" spans="1:9">
      <c r="A252" s="4" t="s">
        <v>504</v>
      </c>
      <c r="B252" s="4">
        <f>VLOOKUP($A252,[1]彩未分析60315!$A:$M,8,0)</f>
        <v>28</v>
      </c>
      <c r="C252" s="4">
        <f>VLOOKUP($A252,[1]彩未分析60315!$A:$M,9,0)</f>
        <v>27</v>
      </c>
      <c r="D252" s="4">
        <f>VLOOKUP($A252,[1]彩未分析60315!$A:$M,10,0)</f>
        <v>26</v>
      </c>
      <c r="E252" s="4">
        <f>VLOOKUP($A252,[1]彩未分析60315!$A:$M,11,0)</f>
        <v>25</v>
      </c>
      <c r="F252" s="4">
        <f>VLOOKUP($A252,[1]彩未分析60315!$A:$M,12,0)</f>
        <v>24</v>
      </c>
      <c r="G252" s="4">
        <f>VLOOKUP($A252,[1]彩未分析60315!$A:$M,13,0)</f>
        <v>23</v>
      </c>
      <c r="H252" s="3" t="s">
        <v>10</v>
      </c>
      <c r="I252" s="3" t="s">
        <v>505</v>
      </c>
    </row>
    <row r="253" customHeight="1" spans="1:9">
      <c r="A253" s="4" t="s">
        <v>506</v>
      </c>
      <c r="B253" s="4">
        <f>VLOOKUP($A253,[1]彩未分析60315!$A:$M,8,0)</f>
        <v>37</v>
      </c>
      <c r="C253" s="4">
        <f>VLOOKUP($A253,[1]彩未分析60315!$A:$M,9,0)</f>
        <v>35</v>
      </c>
      <c r="D253" s="4">
        <f>VLOOKUP($A253,[1]彩未分析60315!$A:$M,10,0)</f>
        <v>34</v>
      </c>
      <c r="E253" s="4">
        <f>VLOOKUP($A253,[1]彩未分析60315!$A:$M,11,0)</f>
        <v>33</v>
      </c>
      <c r="F253" s="4">
        <f>VLOOKUP($A253,[1]彩未分析60315!$A:$M,12,0)</f>
        <v>31</v>
      </c>
      <c r="G253" s="4">
        <f>VLOOKUP($A253,[1]彩未分析60315!$A:$M,13,0)</f>
        <v>30</v>
      </c>
      <c r="H253" s="3" t="s">
        <v>10</v>
      </c>
      <c r="I253" s="3" t="s">
        <v>507</v>
      </c>
    </row>
    <row r="254" customHeight="1" spans="1:9">
      <c r="A254" s="4" t="s">
        <v>508</v>
      </c>
      <c r="B254" s="4">
        <f>VLOOKUP($A254,[1]彩未分析60315!$A:$M,8,0)</f>
        <v>32</v>
      </c>
      <c r="C254" s="4">
        <f>VLOOKUP($A254,[1]彩未分析60315!$A:$M,9,0)</f>
        <v>31</v>
      </c>
      <c r="D254" s="4">
        <f>VLOOKUP($A254,[1]彩未分析60315!$A:$M,10,0)</f>
        <v>29</v>
      </c>
      <c r="E254" s="4">
        <f>VLOOKUP($A254,[1]彩未分析60315!$A:$M,11,0)</f>
        <v>28</v>
      </c>
      <c r="F254" s="4">
        <f>VLOOKUP($A254,[1]彩未分析60315!$A:$M,12,0)</f>
        <v>27</v>
      </c>
      <c r="G254" s="4">
        <f>VLOOKUP($A254,[1]彩未分析60315!$A:$M,13,0)</f>
        <v>26</v>
      </c>
      <c r="H254" s="3" t="s">
        <v>10</v>
      </c>
      <c r="I254" s="3" t="s">
        <v>509</v>
      </c>
    </row>
    <row r="255" customHeight="1" spans="1:9">
      <c r="A255" s="4" t="s">
        <v>510</v>
      </c>
      <c r="B255" s="4">
        <f>VLOOKUP($A255,[1]彩未分析60315!$A:$M,8,0)</f>
        <v>31</v>
      </c>
      <c r="C255" s="4">
        <f>VLOOKUP($A255,[1]彩未分析60315!$A:$M,9,0)</f>
        <v>30</v>
      </c>
      <c r="D255" s="4">
        <f>VLOOKUP($A255,[1]彩未分析60315!$A:$M,10,0)</f>
        <v>29</v>
      </c>
      <c r="E255" s="4">
        <f>VLOOKUP($A255,[1]彩未分析60315!$A:$M,11,0)</f>
        <v>27</v>
      </c>
      <c r="F255" s="4">
        <f>VLOOKUP($A255,[1]彩未分析60315!$A:$M,12,0)</f>
        <v>26</v>
      </c>
      <c r="G255" s="4">
        <f>VLOOKUP($A255,[1]彩未分析60315!$A:$M,13,0)</f>
        <v>25</v>
      </c>
      <c r="H255" s="3" t="s">
        <v>10</v>
      </c>
      <c r="I255" s="3" t="s">
        <v>511</v>
      </c>
    </row>
    <row r="256" customHeight="1" spans="1:9">
      <c r="A256" s="4" t="s">
        <v>512</v>
      </c>
      <c r="B256" s="4">
        <f>VLOOKUP($A256,[1]彩未分析60315!$A:$M,8,0)</f>
        <v>41</v>
      </c>
      <c r="C256" s="4">
        <f>VLOOKUP($A256,[1]彩未分析60315!$A:$M,9,0)</f>
        <v>39</v>
      </c>
      <c r="D256" s="4">
        <f>VLOOKUP($A256,[1]彩未分析60315!$A:$M,10,0)</f>
        <v>38</v>
      </c>
      <c r="E256" s="4">
        <f>VLOOKUP($A256,[1]彩未分析60315!$A:$M,11,0)</f>
        <v>36</v>
      </c>
      <c r="F256" s="4">
        <f>VLOOKUP($A256,[1]彩未分析60315!$A:$M,12,0)</f>
        <v>35</v>
      </c>
      <c r="G256" s="4">
        <f>VLOOKUP($A256,[1]彩未分析60315!$A:$M,13,0)</f>
        <v>33</v>
      </c>
      <c r="H256" s="3" t="s">
        <v>10</v>
      </c>
      <c r="I256" s="3" t="s">
        <v>513</v>
      </c>
    </row>
    <row r="257" customHeight="1" spans="1:9">
      <c r="A257" s="4" t="s">
        <v>514</v>
      </c>
      <c r="B257" s="4">
        <f>VLOOKUP($A257,[1]彩未分析60315!$A:$M,8,0)</f>
        <v>125</v>
      </c>
      <c r="C257" s="4">
        <f>VLOOKUP($A257,[1]彩未分析60315!$A:$M,9,0)</f>
        <v>123</v>
      </c>
      <c r="D257" s="4">
        <f>VLOOKUP($A257,[1]彩未分析60315!$A:$M,10,0)</f>
        <v>121</v>
      </c>
      <c r="E257" s="4">
        <f>VLOOKUP($A257,[1]彩未分析60315!$A:$M,11,0)</f>
        <v>119</v>
      </c>
      <c r="F257" s="4">
        <f>VLOOKUP($A257,[1]彩未分析60315!$A:$M,12,0)</f>
        <v>118</v>
      </c>
      <c r="G257" s="4">
        <f>VLOOKUP($A257,[1]彩未分析60315!$A:$M,13,0)</f>
        <v>116</v>
      </c>
      <c r="H257" s="3" t="s">
        <v>39</v>
      </c>
      <c r="I257" s="3" t="s">
        <v>515</v>
      </c>
    </row>
    <row r="258" customHeight="1" spans="1:9">
      <c r="A258" s="4" t="s">
        <v>516</v>
      </c>
      <c r="B258" s="4">
        <f>VLOOKUP($A258,[1]彩未分析60315!$A:$M,8,0)</f>
        <v>32</v>
      </c>
      <c r="C258" s="4">
        <f>VLOOKUP($A258,[1]彩未分析60315!$A:$M,9,0)</f>
        <v>31</v>
      </c>
      <c r="D258" s="4">
        <f>VLOOKUP($A258,[1]彩未分析60315!$A:$M,10,0)</f>
        <v>29</v>
      </c>
      <c r="E258" s="4">
        <f>VLOOKUP($A258,[1]彩未分析60315!$A:$M,11,0)</f>
        <v>28</v>
      </c>
      <c r="F258" s="4">
        <f>VLOOKUP($A258,[1]彩未分析60315!$A:$M,12,0)</f>
        <v>27</v>
      </c>
      <c r="G258" s="4">
        <f>VLOOKUP($A258,[1]彩未分析60315!$A:$M,13,0)</f>
        <v>26</v>
      </c>
      <c r="H258" s="3" t="s">
        <v>10</v>
      </c>
      <c r="I258" s="3" t="s">
        <v>517</v>
      </c>
    </row>
    <row r="259" customHeight="1" spans="1:9">
      <c r="A259" s="4" t="s">
        <v>518</v>
      </c>
      <c r="B259" s="4">
        <f>VLOOKUP($A259,[1]彩未分析60315!$A:$M,8,0)</f>
        <v>31</v>
      </c>
      <c r="C259" s="4">
        <f>VLOOKUP($A259,[1]彩未分析60315!$A:$M,9,0)</f>
        <v>30</v>
      </c>
      <c r="D259" s="4">
        <f>VLOOKUP($A259,[1]彩未分析60315!$A:$M,10,0)</f>
        <v>29</v>
      </c>
      <c r="E259" s="4">
        <f>VLOOKUP($A259,[1]彩未分析60315!$A:$M,11,0)</f>
        <v>28</v>
      </c>
      <c r="F259" s="4">
        <f>VLOOKUP($A259,[1]彩未分析60315!$A:$M,12,0)</f>
        <v>27</v>
      </c>
      <c r="G259" s="4">
        <f>VLOOKUP($A259,[1]彩未分析60315!$A:$M,13,0)</f>
        <v>26</v>
      </c>
      <c r="H259" s="3" t="s">
        <v>10</v>
      </c>
      <c r="I259" s="3" t="s">
        <v>519</v>
      </c>
    </row>
    <row r="260" customHeight="1" spans="1:9">
      <c r="A260" s="4" t="s">
        <v>520</v>
      </c>
      <c r="B260" s="4">
        <f>VLOOKUP($A260,[1]彩未分析60315!$A:$M,8,0)</f>
        <v>42</v>
      </c>
      <c r="C260" s="4">
        <f>VLOOKUP($A260,[1]彩未分析60315!$A:$M,9,0)</f>
        <v>40</v>
      </c>
      <c r="D260" s="4">
        <f>VLOOKUP($A260,[1]彩未分析60315!$A:$M,10,0)</f>
        <v>39</v>
      </c>
      <c r="E260" s="4">
        <f>VLOOKUP($A260,[1]彩未分析60315!$A:$M,11,0)</f>
        <v>37</v>
      </c>
      <c r="F260" s="4">
        <f>VLOOKUP($A260,[1]彩未分析60315!$A:$M,12,0)</f>
        <v>36</v>
      </c>
      <c r="G260" s="4">
        <f>VLOOKUP($A260,[1]彩未分析60315!$A:$M,13,0)</f>
        <v>34</v>
      </c>
      <c r="H260" s="3" t="s">
        <v>10</v>
      </c>
      <c r="I260" s="3" t="s">
        <v>521</v>
      </c>
    </row>
    <row r="261" customHeight="1" spans="1:9">
      <c r="A261" s="4" t="s">
        <v>522</v>
      </c>
      <c r="B261" s="4">
        <f>VLOOKUP($A261,[1]彩未分析60315!$A:$M,8,0)</f>
        <v>42</v>
      </c>
      <c r="C261" s="4">
        <f>VLOOKUP($A261,[1]彩未分析60315!$A:$M,9,0)</f>
        <v>40</v>
      </c>
      <c r="D261" s="4">
        <f>VLOOKUP($A261,[1]彩未分析60315!$A:$M,10,0)</f>
        <v>39</v>
      </c>
      <c r="E261" s="4">
        <f>VLOOKUP($A261,[1]彩未分析60315!$A:$M,11,0)</f>
        <v>37</v>
      </c>
      <c r="F261" s="4">
        <f>VLOOKUP($A261,[1]彩未分析60315!$A:$M,12,0)</f>
        <v>36</v>
      </c>
      <c r="G261" s="4">
        <f>VLOOKUP($A261,[1]彩未分析60315!$A:$M,13,0)</f>
        <v>34</v>
      </c>
      <c r="H261" s="3" t="s">
        <v>10</v>
      </c>
      <c r="I261" s="3" t="s">
        <v>523</v>
      </c>
    </row>
    <row r="262" customHeight="1" spans="1:9">
      <c r="A262" s="4" t="s">
        <v>524</v>
      </c>
      <c r="B262" s="4">
        <f>VLOOKUP($A262,[1]彩未分析60315!$A:$M,8,0)</f>
        <v>88</v>
      </c>
      <c r="C262" s="4">
        <f>VLOOKUP($A262,[1]彩未分析60315!$A:$M,9,0)</f>
        <v>85</v>
      </c>
      <c r="D262" s="4">
        <f>VLOOKUP($A262,[1]彩未分析60315!$A:$M,10,0)</f>
        <v>81</v>
      </c>
      <c r="E262" s="4">
        <f>VLOOKUP($A262,[1]彩未分析60315!$A:$M,11,0)</f>
        <v>78</v>
      </c>
      <c r="F262" s="4">
        <f>VLOOKUP($A262,[1]彩未分析60315!$A:$M,12,0)</f>
        <v>75</v>
      </c>
      <c r="G262" s="4">
        <f>VLOOKUP($A262,[1]彩未分析60315!$A:$M,13,0)</f>
        <v>72</v>
      </c>
      <c r="H262" s="3" t="s">
        <v>10</v>
      </c>
      <c r="I262" s="3" t="s">
        <v>525</v>
      </c>
    </row>
    <row r="263" customHeight="1" spans="1:9">
      <c r="A263" s="4" t="s">
        <v>526</v>
      </c>
      <c r="B263" s="4">
        <f>VLOOKUP($A263,[1]彩未分析60315!$A:$M,8,0)</f>
        <v>54</v>
      </c>
      <c r="C263" s="4">
        <f>VLOOKUP($A263,[1]彩未分析60315!$A:$M,9,0)</f>
        <v>53</v>
      </c>
      <c r="D263" s="4">
        <f>VLOOKUP($A263,[1]彩未分析60315!$A:$M,10,0)</f>
        <v>52</v>
      </c>
      <c r="E263" s="4">
        <f>VLOOKUP($A263,[1]彩未分析60315!$A:$M,11,0)</f>
        <v>51</v>
      </c>
      <c r="F263" s="4">
        <f>VLOOKUP($A263,[1]彩未分析60315!$A:$M,12,0)</f>
        <v>51</v>
      </c>
      <c r="G263" s="4">
        <f>VLOOKUP($A263,[1]彩未分析60315!$A:$M,13,0)</f>
        <v>50</v>
      </c>
      <c r="H263" s="3" t="s">
        <v>39</v>
      </c>
      <c r="I263" s="3" t="s">
        <v>527</v>
      </c>
    </row>
    <row r="264" customHeight="1" spans="1:9">
      <c r="A264" s="4" t="s">
        <v>528</v>
      </c>
      <c r="B264" s="4">
        <f>VLOOKUP($A264,[1]彩未分析60315!$A:$M,8,0)</f>
        <v>38</v>
      </c>
      <c r="C264" s="4">
        <f>VLOOKUP($A264,[1]彩未分析60315!$A:$M,9,0)</f>
        <v>37</v>
      </c>
      <c r="D264" s="4">
        <f>VLOOKUP($A264,[1]彩未分析60315!$A:$M,10,0)</f>
        <v>35</v>
      </c>
      <c r="E264" s="4">
        <f>VLOOKUP($A264,[1]彩未分析60315!$A:$M,11,0)</f>
        <v>34</v>
      </c>
      <c r="F264" s="4">
        <f>VLOOKUP($A264,[1]彩未分析60315!$A:$M,12,0)</f>
        <v>33</v>
      </c>
      <c r="G264" s="4">
        <f>VLOOKUP($A264,[1]彩未分析60315!$A:$M,13,0)</f>
        <v>31</v>
      </c>
      <c r="H264" s="3" t="s">
        <v>10</v>
      </c>
      <c r="I264" s="3" t="s">
        <v>529</v>
      </c>
    </row>
    <row r="265" customHeight="1" spans="1:9">
      <c r="A265" s="4" t="s">
        <v>530</v>
      </c>
      <c r="B265" s="4">
        <f>VLOOKUP($A265,[1]彩未分析60315!$A:$M,8,0)</f>
        <v>113</v>
      </c>
      <c r="C265" s="4">
        <f>VLOOKUP($A265,[1]彩未分析60315!$A:$M,9,0)</f>
        <v>111</v>
      </c>
      <c r="D265" s="4">
        <f>VLOOKUP($A265,[1]彩未分析60315!$A:$M,10,0)</f>
        <v>109</v>
      </c>
      <c r="E265" s="4">
        <f>VLOOKUP($A265,[1]彩未分析60315!$A:$M,11,0)</f>
        <v>107</v>
      </c>
      <c r="F265" s="4">
        <f>VLOOKUP($A265,[1]彩未分析60315!$A:$M,12,0)</f>
        <v>106</v>
      </c>
      <c r="G265" s="4">
        <f>VLOOKUP($A265,[1]彩未分析60315!$A:$M,13,0)</f>
        <v>105</v>
      </c>
      <c r="H265" s="3" t="s">
        <v>39</v>
      </c>
      <c r="I265" s="3" t="s">
        <v>531</v>
      </c>
    </row>
    <row r="266" customHeight="1" spans="1:9">
      <c r="A266" s="4" t="s">
        <v>532</v>
      </c>
      <c r="B266" s="4">
        <f>VLOOKUP($A266,[1]彩未分析60315!$A:$M,8,0)</f>
        <v>44</v>
      </c>
      <c r="C266" s="4">
        <f>VLOOKUP($A266,[1]彩未分析60315!$A:$M,9,0)</f>
        <v>43</v>
      </c>
      <c r="D266" s="4">
        <f>VLOOKUP($A266,[1]彩未分析60315!$A:$M,10,0)</f>
        <v>41</v>
      </c>
      <c r="E266" s="4">
        <f>VLOOKUP($A266,[1]彩未分析60315!$A:$M,11,0)</f>
        <v>39</v>
      </c>
      <c r="F266" s="4">
        <f>VLOOKUP($A266,[1]彩未分析60315!$A:$M,12,0)</f>
        <v>38</v>
      </c>
      <c r="G266" s="4">
        <f>VLOOKUP($A266,[1]彩未分析60315!$A:$M,13,0)</f>
        <v>36</v>
      </c>
      <c r="H266" s="3" t="s">
        <v>10</v>
      </c>
      <c r="I266" s="3" t="s">
        <v>533</v>
      </c>
    </row>
    <row r="267" customHeight="1" spans="1:9">
      <c r="A267" s="4" t="s">
        <v>534</v>
      </c>
      <c r="B267" s="4">
        <f>VLOOKUP($A267,[1]彩未分析60315!$A:$M,8,0)</f>
        <v>65</v>
      </c>
      <c r="C267" s="4">
        <f>VLOOKUP($A267,[1]彩未分析60315!$A:$M,9,0)</f>
        <v>64</v>
      </c>
      <c r="D267" s="4">
        <f>VLOOKUP($A267,[1]彩未分析60315!$A:$M,10,0)</f>
        <v>63</v>
      </c>
      <c r="E267" s="4">
        <f>VLOOKUP($A267,[1]彩未分析60315!$A:$M,11,0)</f>
        <v>62</v>
      </c>
      <c r="F267" s="4">
        <f>VLOOKUP($A267,[1]彩未分析60315!$A:$M,12,0)</f>
        <v>61</v>
      </c>
      <c r="G267" s="4">
        <f>VLOOKUP($A267,[1]彩未分析60315!$A:$M,13,0)</f>
        <v>60</v>
      </c>
      <c r="H267" s="3" t="s">
        <v>39</v>
      </c>
      <c r="I267" s="3" t="s">
        <v>535</v>
      </c>
    </row>
    <row r="268" customHeight="1" spans="1:9">
      <c r="A268" s="4" t="s">
        <v>536</v>
      </c>
      <c r="B268" s="4">
        <f>VLOOKUP($A268,[1]彩未分析60315!$A:$M,8,0)</f>
        <v>54</v>
      </c>
      <c r="C268" s="4">
        <f>VLOOKUP($A268,[1]彩未分析60315!$A:$M,9,0)</f>
        <v>52</v>
      </c>
      <c r="D268" s="4">
        <f>VLOOKUP($A268,[1]彩未分析60315!$A:$M,10,0)</f>
        <v>50</v>
      </c>
      <c r="E268" s="4">
        <f>VLOOKUP($A268,[1]彩未分析60315!$A:$M,11,0)</f>
        <v>48</v>
      </c>
      <c r="F268" s="4">
        <f>VLOOKUP($A268,[1]彩未分析60315!$A:$M,12,0)</f>
        <v>46</v>
      </c>
      <c r="G268" s="4">
        <f>VLOOKUP($A268,[1]彩未分析60315!$A:$M,13,0)</f>
        <v>44</v>
      </c>
      <c r="H268" s="3" t="s">
        <v>10</v>
      </c>
      <c r="I268" s="3" t="s">
        <v>537</v>
      </c>
    </row>
    <row r="269" customHeight="1" spans="1:9">
      <c r="A269" s="4" t="s">
        <v>538</v>
      </c>
      <c r="B269" s="4">
        <f>VLOOKUP($A269,[1]彩未分析60315!$A:$M,8,0)</f>
        <v>41</v>
      </c>
      <c r="C269" s="4">
        <f>VLOOKUP($A269,[1]彩未分析60315!$A:$M,9,0)</f>
        <v>40</v>
      </c>
      <c r="D269" s="4">
        <f>VLOOKUP($A269,[1]彩未分析60315!$A:$M,10,0)</f>
        <v>38</v>
      </c>
      <c r="E269" s="4">
        <f>VLOOKUP($A269,[1]彩未分析60315!$A:$M,11,0)</f>
        <v>37</v>
      </c>
      <c r="F269" s="4">
        <f>VLOOKUP($A269,[1]彩未分析60315!$A:$M,12,0)</f>
        <v>35</v>
      </c>
      <c r="G269" s="4">
        <f>VLOOKUP($A269,[1]彩未分析60315!$A:$M,13,0)</f>
        <v>34</v>
      </c>
      <c r="H269" s="3" t="s">
        <v>10</v>
      </c>
      <c r="I269" s="3" t="s">
        <v>539</v>
      </c>
    </row>
    <row r="270" customHeight="1" spans="1:9">
      <c r="A270" s="4" t="s">
        <v>540</v>
      </c>
      <c r="B270" s="4">
        <f>VLOOKUP($A270,[1]彩未分析60315!$A:$M,8,0)</f>
        <v>112</v>
      </c>
      <c r="C270" s="4">
        <f>VLOOKUP($A270,[1]彩未分析60315!$A:$M,9,0)</f>
        <v>110</v>
      </c>
      <c r="D270" s="4">
        <f>VLOOKUP($A270,[1]彩未分析60315!$A:$M,10,0)</f>
        <v>108</v>
      </c>
      <c r="E270" s="4">
        <f>VLOOKUP($A270,[1]彩未分析60315!$A:$M,11,0)</f>
        <v>106</v>
      </c>
      <c r="F270" s="4">
        <f>VLOOKUP($A270,[1]彩未分析60315!$A:$M,12,0)</f>
        <v>105</v>
      </c>
      <c r="G270" s="4">
        <f>VLOOKUP($A270,[1]彩未分析60315!$A:$M,13,0)</f>
        <v>103</v>
      </c>
      <c r="H270" s="3" t="s">
        <v>39</v>
      </c>
      <c r="I270" s="3" t="s">
        <v>541</v>
      </c>
    </row>
    <row r="271" customHeight="1" spans="1:9">
      <c r="A271" s="4" t="s">
        <v>542</v>
      </c>
      <c r="B271" s="4">
        <f>VLOOKUP($A271,[1]彩未分析60315!$A:$M,8,0)</f>
        <v>32</v>
      </c>
      <c r="C271" s="4">
        <f>VLOOKUP($A271,[1]彩未分析60315!$A:$M,9,0)</f>
        <v>30</v>
      </c>
      <c r="D271" s="4">
        <f>VLOOKUP($A271,[1]彩未分析60315!$A:$M,10,0)</f>
        <v>29</v>
      </c>
      <c r="E271" s="4">
        <f>VLOOKUP($A271,[1]彩未分析60315!$A:$M,11,0)</f>
        <v>28</v>
      </c>
      <c r="F271" s="4">
        <f>VLOOKUP($A271,[1]彩未分析60315!$A:$M,12,0)</f>
        <v>27</v>
      </c>
      <c r="G271" s="4">
        <f>VLOOKUP($A271,[1]彩未分析60315!$A:$M,13,0)</f>
        <v>26</v>
      </c>
      <c r="H271" s="3" t="s">
        <v>10</v>
      </c>
      <c r="I271" s="3" t="s">
        <v>543</v>
      </c>
    </row>
    <row r="272" customHeight="1" spans="1:9">
      <c r="A272" s="4" t="s">
        <v>544</v>
      </c>
      <c r="B272" s="4">
        <f>VLOOKUP($A272,[1]彩未分析60315!$A:$M,8,0)</f>
        <v>46</v>
      </c>
      <c r="C272" s="4">
        <f>VLOOKUP($A272,[1]彩未分析60315!$A:$M,9,0)</f>
        <v>44</v>
      </c>
      <c r="D272" s="4">
        <f>VLOOKUP($A272,[1]彩未分析60315!$A:$M,10,0)</f>
        <v>43</v>
      </c>
      <c r="E272" s="4">
        <f>VLOOKUP($A272,[1]彩未分析60315!$A:$M,11,0)</f>
        <v>41</v>
      </c>
      <c r="F272" s="4">
        <f>VLOOKUP($A272,[1]彩未分析60315!$A:$M,12,0)</f>
        <v>39</v>
      </c>
      <c r="G272" s="4">
        <f>VLOOKUP($A272,[1]彩未分析60315!$A:$M,13,0)</f>
        <v>38</v>
      </c>
      <c r="H272" s="3" t="s">
        <v>10</v>
      </c>
      <c r="I272" s="3" t="s">
        <v>545</v>
      </c>
    </row>
    <row r="273" customHeight="1" spans="1:9">
      <c r="A273" s="4" t="s">
        <v>546</v>
      </c>
      <c r="B273" s="4">
        <f>VLOOKUP($A273,[1]彩未分析60315!$A:$M,8,0)</f>
        <v>35</v>
      </c>
      <c r="C273" s="4">
        <f>VLOOKUP($A273,[1]彩未分析60315!$A:$M,9,0)</f>
        <v>33</v>
      </c>
      <c r="D273" s="4">
        <f>VLOOKUP($A273,[1]彩未分析60315!$A:$M,10,0)</f>
        <v>32</v>
      </c>
      <c r="E273" s="4">
        <f>VLOOKUP($A273,[1]彩未分析60315!$A:$M,11,0)</f>
        <v>31</v>
      </c>
      <c r="F273" s="4">
        <f>VLOOKUP($A273,[1]彩未分析60315!$A:$M,12,0)</f>
        <v>30</v>
      </c>
      <c r="G273" s="4">
        <f>VLOOKUP($A273,[1]彩未分析60315!$A:$M,13,0)</f>
        <v>28</v>
      </c>
      <c r="H273" s="3" t="s">
        <v>10</v>
      </c>
      <c r="I273" s="3" t="s">
        <v>547</v>
      </c>
    </row>
    <row r="274" customHeight="1" spans="1:9">
      <c r="A274" s="4" t="s">
        <v>548</v>
      </c>
      <c r="B274" s="4">
        <f>VLOOKUP($A274,[1]彩未分析60315!$A:$M,8,0)</f>
        <v>37</v>
      </c>
      <c r="C274" s="4">
        <f>VLOOKUP($A274,[1]彩未分析60315!$A:$M,9,0)</f>
        <v>36</v>
      </c>
      <c r="D274" s="4">
        <f>VLOOKUP($A274,[1]彩未分析60315!$A:$M,10,0)</f>
        <v>35</v>
      </c>
      <c r="E274" s="4">
        <f>VLOOKUP($A274,[1]彩未分析60315!$A:$M,11,0)</f>
        <v>33</v>
      </c>
      <c r="F274" s="4">
        <f>VLOOKUP($A274,[1]彩未分析60315!$A:$M,12,0)</f>
        <v>32</v>
      </c>
      <c r="G274" s="4">
        <f>VLOOKUP($A274,[1]彩未分析60315!$A:$M,13,0)</f>
        <v>31</v>
      </c>
      <c r="H274" s="3" t="s">
        <v>10</v>
      </c>
      <c r="I274" s="3" t="s">
        <v>549</v>
      </c>
    </row>
    <row r="275" customHeight="1" spans="1:9">
      <c r="A275" s="4" t="s">
        <v>550</v>
      </c>
      <c r="B275" s="4">
        <f>VLOOKUP($A275,[1]彩未分析60315!$A:$M,8,0)</f>
        <v>188</v>
      </c>
      <c r="C275" s="4">
        <f>VLOOKUP($A275,[1]彩未分析60315!$A:$M,9,0)</f>
        <v>181</v>
      </c>
      <c r="D275" s="4">
        <f>VLOOKUP($A275,[1]彩未分析60315!$A:$M,10,0)</f>
        <v>174</v>
      </c>
      <c r="E275" s="4">
        <f>VLOOKUP($A275,[1]彩未分析60315!$A:$M,11,0)</f>
        <v>167</v>
      </c>
      <c r="F275" s="4">
        <f>VLOOKUP($A275,[1]彩未分析60315!$A:$M,12,0)</f>
        <v>160</v>
      </c>
      <c r="G275" s="4">
        <f>VLOOKUP($A275,[1]彩未分析60315!$A:$M,13,0)</f>
        <v>153</v>
      </c>
      <c r="H275" s="3" t="s">
        <v>10</v>
      </c>
      <c r="I275" s="3" t="s">
        <v>551</v>
      </c>
    </row>
    <row r="276" customHeight="1" spans="1:9">
      <c r="A276" s="4" t="s">
        <v>552</v>
      </c>
      <c r="B276" s="4">
        <f>VLOOKUP($A276,[1]彩未分析60315!$A:$M,8,0)</f>
        <v>36</v>
      </c>
      <c r="C276" s="4">
        <f>VLOOKUP($A276,[1]彩未分析60315!$A:$M,9,0)</f>
        <v>35</v>
      </c>
      <c r="D276" s="4">
        <f>VLOOKUP($A276,[1]彩未分析60315!$A:$M,10,0)</f>
        <v>33</v>
      </c>
      <c r="E276" s="4">
        <f>VLOOKUP($A276,[1]彩未分析60315!$A:$M,11,0)</f>
        <v>32</v>
      </c>
      <c r="F276" s="4">
        <f>VLOOKUP($A276,[1]彩未分析60315!$A:$M,12,0)</f>
        <v>31</v>
      </c>
      <c r="G276" s="4">
        <f>VLOOKUP($A276,[1]彩未分析60315!$A:$M,13,0)</f>
        <v>29</v>
      </c>
      <c r="H276" s="3" t="s">
        <v>10</v>
      </c>
      <c r="I276" s="3" t="s">
        <v>553</v>
      </c>
    </row>
    <row r="277" customHeight="1" spans="1:9">
      <c r="A277" s="4" t="s">
        <v>554</v>
      </c>
      <c r="B277" s="4">
        <f>VLOOKUP($A277,[1]彩未分析60315!$A:$M,8,0)</f>
        <v>42</v>
      </c>
      <c r="C277" s="4">
        <f>VLOOKUP($A277,[1]彩未分析60315!$A:$M,9,0)</f>
        <v>40</v>
      </c>
      <c r="D277" s="4">
        <f>VLOOKUP($A277,[1]彩未分析60315!$A:$M,10,0)</f>
        <v>39</v>
      </c>
      <c r="E277" s="4">
        <f>VLOOKUP($A277,[1]彩未分析60315!$A:$M,11,0)</f>
        <v>37</v>
      </c>
      <c r="F277" s="4">
        <f>VLOOKUP($A277,[1]彩未分析60315!$A:$M,12,0)</f>
        <v>36</v>
      </c>
      <c r="G277" s="4">
        <f>VLOOKUP($A277,[1]彩未分析60315!$A:$M,13,0)</f>
        <v>34</v>
      </c>
      <c r="H277" s="3" t="s">
        <v>10</v>
      </c>
      <c r="I277" s="3" t="s">
        <v>555</v>
      </c>
    </row>
    <row r="278" customHeight="1" spans="1:9">
      <c r="A278" s="4" t="s">
        <v>556</v>
      </c>
      <c r="B278" s="4">
        <f>VLOOKUP($A278,[1]彩未分析60315!$A:$M,8,0)</f>
        <v>30</v>
      </c>
      <c r="C278" s="4">
        <f>VLOOKUP($A278,[1]彩未分析60315!$A:$M,9,0)</f>
        <v>30</v>
      </c>
      <c r="D278" s="4">
        <f>VLOOKUP($A278,[1]彩未分析60315!$A:$M,10,0)</f>
        <v>29</v>
      </c>
      <c r="E278" s="4">
        <f>VLOOKUP($A278,[1]彩未分析60315!$A:$M,11,0)</f>
        <v>29</v>
      </c>
      <c r="F278" s="4">
        <f>VLOOKUP($A278,[1]彩未分析60315!$A:$M,12,0)</f>
        <v>28</v>
      </c>
      <c r="G278" s="4">
        <f>VLOOKUP($A278,[1]彩未分析60315!$A:$M,13,0)</f>
        <v>28</v>
      </c>
      <c r="H278" s="3" t="s">
        <v>39</v>
      </c>
      <c r="I278" s="3" t="s">
        <v>557</v>
      </c>
    </row>
    <row r="279" customHeight="1" spans="1:9">
      <c r="A279" s="4" t="s">
        <v>558</v>
      </c>
      <c r="B279" s="4">
        <f>VLOOKUP($A279,[1]彩未分析60315!$A:$M,8,0)</f>
        <v>47</v>
      </c>
      <c r="C279" s="4">
        <f>VLOOKUP($A279,[1]彩未分析60315!$A:$M,9,0)</f>
        <v>45</v>
      </c>
      <c r="D279" s="4">
        <f>VLOOKUP($A279,[1]彩未分析60315!$A:$M,10,0)</f>
        <v>43</v>
      </c>
      <c r="E279" s="4">
        <f>VLOOKUP($A279,[1]彩未分析60315!$A:$M,11,0)</f>
        <v>42</v>
      </c>
      <c r="F279" s="4">
        <f>VLOOKUP($A279,[1]彩未分析60315!$A:$M,12,0)</f>
        <v>40</v>
      </c>
      <c r="G279" s="4">
        <f>VLOOKUP($A279,[1]彩未分析60315!$A:$M,13,0)</f>
        <v>38</v>
      </c>
      <c r="H279" s="3" t="s">
        <v>10</v>
      </c>
      <c r="I279" s="3" t="s">
        <v>559</v>
      </c>
    </row>
    <row r="280" customHeight="1" spans="1:9">
      <c r="A280" s="4" t="s">
        <v>560</v>
      </c>
      <c r="B280" s="4">
        <f>VLOOKUP($A280,[1]彩未分析60315!$A:$M,8,0)</f>
        <v>49</v>
      </c>
      <c r="C280" s="4">
        <f>VLOOKUP($A280,[1]彩未分析60315!$A:$M,9,0)</f>
        <v>47</v>
      </c>
      <c r="D280" s="4">
        <f>VLOOKUP($A280,[1]彩未分析60315!$A:$M,10,0)</f>
        <v>45</v>
      </c>
      <c r="E280" s="4">
        <f>VLOOKUP($A280,[1]彩未分析60315!$A:$M,11,0)</f>
        <v>44</v>
      </c>
      <c r="F280" s="4">
        <f>VLOOKUP($A280,[1]彩未分析60315!$A:$M,12,0)</f>
        <v>42</v>
      </c>
      <c r="G280" s="4">
        <f>VLOOKUP($A280,[1]彩未分析60315!$A:$M,13,0)</f>
        <v>40</v>
      </c>
      <c r="H280" s="3" t="s">
        <v>10</v>
      </c>
      <c r="I280" s="3" t="s">
        <v>561</v>
      </c>
    </row>
    <row r="281" customHeight="1" spans="1:9">
      <c r="A281" s="4" t="s">
        <v>562</v>
      </c>
      <c r="B281" s="4">
        <f>VLOOKUP($A281,[1]彩未分析60315!$A:$M,8,0)</f>
        <v>35</v>
      </c>
      <c r="C281" s="4">
        <f>VLOOKUP($A281,[1]彩未分析60315!$A:$M,9,0)</f>
        <v>34</v>
      </c>
      <c r="D281" s="4">
        <f>VLOOKUP($A281,[1]彩未分析60315!$A:$M,10,0)</f>
        <v>33</v>
      </c>
      <c r="E281" s="4">
        <f>VLOOKUP($A281,[1]彩未分析60315!$A:$M,11,0)</f>
        <v>31</v>
      </c>
      <c r="F281" s="4">
        <f>VLOOKUP($A281,[1]彩未分析60315!$A:$M,12,0)</f>
        <v>30</v>
      </c>
      <c r="G281" s="4">
        <f>VLOOKUP($A281,[1]彩未分析60315!$A:$M,13,0)</f>
        <v>29</v>
      </c>
      <c r="H281" s="3" t="s">
        <v>10</v>
      </c>
      <c r="I281" s="3" t="s">
        <v>563</v>
      </c>
    </row>
    <row r="282" customHeight="1" spans="1:9">
      <c r="A282" s="4" t="s">
        <v>564</v>
      </c>
      <c r="B282" s="4">
        <f>VLOOKUP($A282,[1]彩未分析60315!$A:$M,8,0)</f>
        <v>33</v>
      </c>
      <c r="C282" s="4">
        <f>VLOOKUP($A282,[1]彩未分析60315!$A:$M,9,0)</f>
        <v>32</v>
      </c>
      <c r="D282" s="4">
        <f>VLOOKUP($A282,[1]彩未分析60315!$A:$M,10,0)</f>
        <v>31</v>
      </c>
      <c r="E282" s="4">
        <f>VLOOKUP($A282,[1]彩未分析60315!$A:$M,11,0)</f>
        <v>31</v>
      </c>
      <c r="F282" s="4">
        <f>VLOOKUP($A282,[1]彩未分析60315!$A:$M,12,0)</f>
        <v>31</v>
      </c>
      <c r="G282" s="4">
        <f>VLOOKUP($A282,[1]彩未分析60315!$A:$M,13,0)</f>
        <v>30</v>
      </c>
      <c r="H282" s="3" t="s">
        <v>39</v>
      </c>
      <c r="I282" s="3" t="s">
        <v>565</v>
      </c>
    </row>
    <row r="283" customHeight="1" spans="1:9">
      <c r="A283" s="4" t="s">
        <v>566</v>
      </c>
      <c r="B283" s="4">
        <f>VLOOKUP($A283,[1]彩未分析60315!$A:$M,8,0)</f>
        <v>33</v>
      </c>
      <c r="C283" s="4">
        <f>VLOOKUP($A283,[1]彩未分析60315!$A:$M,9,0)</f>
        <v>31</v>
      </c>
      <c r="D283" s="4">
        <f>VLOOKUP($A283,[1]彩未分析60315!$A:$M,10,0)</f>
        <v>30</v>
      </c>
      <c r="E283" s="4">
        <f>VLOOKUP($A283,[1]彩未分析60315!$A:$M,11,0)</f>
        <v>29</v>
      </c>
      <c r="F283" s="4">
        <f>VLOOKUP($A283,[1]彩未分析60315!$A:$M,12,0)</f>
        <v>28</v>
      </c>
      <c r="G283" s="4">
        <f>VLOOKUP($A283,[1]彩未分析60315!$A:$M,13,0)</f>
        <v>27</v>
      </c>
      <c r="H283" s="3" t="s">
        <v>10</v>
      </c>
      <c r="I283" s="3" t="s">
        <v>567</v>
      </c>
    </row>
    <row r="284" customHeight="1" spans="1:9">
      <c r="A284" s="4" t="s">
        <v>568</v>
      </c>
      <c r="B284" s="4">
        <f>VLOOKUP($A284,[1]彩未分析60315!$A:$M,8,0)</f>
        <v>30</v>
      </c>
      <c r="C284" s="4">
        <f>VLOOKUP($A284,[1]彩未分析60315!$A:$M,9,0)</f>
        <v>30</v>
      </c>
      <c r="D284" s="4">
        <f>VLOOKUP($A284,[1]彩未分析60315!$A:$M,10,0)</f>
        <v>29</v>
      </c>
      <c r="E284" s="4">
        <f>VLOOKUP($A284,[1]彩未分析60315!$A:$M,11,0)</f>
        <v>29</v>
      </c>
      <c r="F284" s="4">
        <f>VLOOKUP($A284,[1]彩未分析60315!$A:$M,12,0)</f>
        <v>28</v>
      </c>
      <c r="G284" s="4">
        <f>VLOOKUP($A284,[1]彩未分析60315!$A:$M,13,0)</f>
        <v>28</v>
      </c>
      <c r="H284" s="3" t="s">
        <v>39</v>
      </c>
      <c r="I284" s="3" t="s">
        <v>569</v>
      </c>
    </row>
    <row r="285" customHeight="1" spans="1:9">
      <c r="A285" s="4" t="s">
        <v>570</v>
      </c>
      <c r="B285" s="4">
        <f>VLOOKUP($A285,[1]彩未分析60315!$A:$M,8,0)</f>
        <v>41</v>
      </c>
      <c r="C285" s="4">
        <f>VLOOKUP($A285,[1]彩未分析60315!$A:$M,9,0)</f>
        <v>39</v>
      </c>
      <c r="D285" s="4">
        <f>VLOOKUP($A285,[1]彩未分析60315!$A:$M,10,0)</f>
        <v>38</v>
      </c>
      <c r="E285" s="4">
        <f>VLOOKUP($A285,[1]彩未分析60315!$A:$M,11,0)</f>
        <v>36</v>
      </c>
      <c r="F285" s="4">
        <f>VLOOKUP($A285,[1]彩未分析60315!$A:$M,12,0)</f>
        <v>35</v>
      </c>
      <c r="G285" s="4">
        <f>VLOOKUP($A285,[1]彩未分析60315!$A:$M,13,0)</f>
        <v>33</v>
      </c>
      <c r="H285" s="3" t="s">
        <v>10</v>
      </c>
      <c r="I285" s="3" t="s">
        <v>37</v>
      </c>
    </row>
    <row r="286" customHeight="1" spans="1:9">
      <c r="A286" s="4" t="s">
        <v>571</v>
      </c>
      <c r="B286" s="4">
        <f>VLOOKUP($A286,[1]彩未分析60315!$A:$M,8,0)</f>
        <v>41</v>
      </c>
      <c r="C286" s="4">
        <f>VLOOKUP($A286,[1]彩未分析60315!$A:$M,9,0)</f>
        <v>39</v>
      </c>
      <c r="D286" s="4">
        <f>VLOOKUP($A286,[1]彩未分析60315!$A:$M,10,0)</f>
        <v>38</v>
      </c>
      <c r="E286" s="4">
        <f>VLOOKUP($A286,[1]彩未分析60315!$A:$M,11,0)</f>
        <v>36</v>
      </c>
      <c r="F286" s="4">
        <f>VLOOKUP($A286,[1]彩未分析60315!$A:$M,12,0)</f>
        <v>35</v>
      </c>
      <c r="G286" s="4">
        <f>VLOOKUP($A286,[1]彩未分析60315!$A:$M,13,0)</f>
        <v>33</v>
      </c>
      <c r="H286" s="3" t="s">
        <v>10</v>
      </c>
      <c r="I286" s="3" t="s">
        <v>572</v>
      </c>
    </row>
    <row r="287" customHeight="1" spans="1:9">
      <c r="A287" s="4" t="s">
        <v>573</v>
      </c>
      <c r="B287" s="4">
        <f>VLOOKUP($A287,[1]彩未分析60315!$A:$M,8,0)</f>
        <v>70</v>
      </c>
      <c r="C287" s="4">
        <f>VLOOKUP($A287,[1]彩未分析60315!$A:$M,9,0)</f>
        <v>69</v>
      </c>
      <c r="D287" s="4">
        <f>VLOOKUP($A287,[1]彩未分析60315!$A:$M,10,0)</f>
        <v>68</v>
      </c>
      <c r="E287" s="4">
        <f>VLOOKUP($A287,[1]彩未分析60315!$A:$M,11,0)</f>
        <v>67</v>
      </c>
      <c r="F287" s="4">
        <f>VLOOKUP($A287,[1]彩未分析60315!$A:$M,12,0)</f>
        <v>66</v>
      </c>
      <c r="G287" s="4">
        <f>VLOOKUP($A287,[1]彩未分析60315!$A:$M,13,0)</f>
        <v>65</v>
      </c>
      <c r="H287" s="3" t="s">
        <v>39</v>
      </c>
      <c r="I287" s="3" t="s">
        <v>574</v>
      </c>
    </row>
    <row r="288" customHeight="1" spans="1:9">
      <c r="A288" s="4" t="s">
        <v>575</v>
      </c>
      <c r="B288" s="4">
        <f>VLOOKUP($A288,[1]彩未分析60315!$A:$M,8,0)</f>
        <v>42</v>
      </c>
      <c r="C288" s="4">
        <f>VLOOKUP($A288,[1]彩未分析60315!$A:$M,9,0)</f>
        <v>41</v>
      </c>
      <c r="D288" s="4">
        <f>VLOOKUP($A288,[1]彩未分析60315!$A:$M,10,0)</f>
        <v>39</v>
      </c>
      <c r="E288" s="4">
        <f>VLOOKUP($A288,[1]彩未分析60315!$A:$M,11,0)</f>
        <v>38</v>
      </c>
      <c r="F288" s="4">
        <f>VLOOKUP($A288,[1]彩未分析60315!$A:$M,12,0)</f>
        <v>36</v>
      </c>
      <c r="G288" s="4">
        <f>VLOOKUP($A288,[1]彩未分析60315!$A:$M,13,0)</f>
        <v>34</v>
      </c>
      <c r="H288" s="3" t="s">
        <v>10</v>
      </c>
      <c r="I288" s="3" t="s">
        <v>576</v>
      </c>
    </row>
    <row r="289" customHeight="1" spans="1:9">
      <c r="A289" s="4" t="s">
        <v>577</v>
      </c>
      <c r="B289" s="4">
        <f>VLOOKUP($A289,[1]彩未分析60315!$A:$M,8,0)</f>
        <v>37</v>
      </c>
      <c r="C289" s="4">
        <f>VLOOKUP($A289,[1]彩未分析60315!$A:$M,9,0)</f>
        <v>35</v>
      </c>
      <c r="D289" s="4">
        <f>VLOOKUP($A289,[1]彩未分析60315!$A:$M,10,0)</f>
        <v>34</v>
      </c>
      <c r="E289" s="4">
        <f>VLOOKUP($A289,[1]彩未分析60315!$A:$M,11,0)</f>
        <v>33</v>
      </c>
      <c r="F289" s="4">
        <f>VLOOKUP($A289,[1]彩未分析60315!$A:$M,12,0)</f>
        <v>31</v>
      </c>
      <c r="G289" s="4">
        <f>VLOOKUP($A289,[1]彩未分析60315!$A:$M,13,0)</f>
        <v>30</v>
      </c>
      <c r="H289" s="3" t="s">
        <v>10</v>
      </c>
      <c r="I289" s="3" t="s">
        <v>578</v>
      </c>
    </row>
    <row r="290" customHeight="1" spans="1:9">
      <c r="A290" s="4" t="s">
        <v>579</v>
      </c>
      <c r="B290" s="4">
        <f>VLOOKUP($A290,[1]彩未分析60315!$A:$M,8,0)</f>
        <v>137</v>
      </c>
      <c r="C290" s="4">
        <f>VLOOKUP($A290,[1]彩未分析60315!$A:$M,9,0)</f>
        <v>135</v>
      </c>
      <c r="D290" s="4">
        <f>VLOOKUP($A290,[1]彩未分析60315!$A:$M,10,0)</f>
        <v>133</v>
      </c>
      <c r="E290" s="4">
        <f>VLOOKUP($A290,[1]彩未分析60315!$A:$M,11,0)</f>
        <v>131</v>
      </c>
      <c r="F290" s="4">
        <f>VLOOKUP($A290,[1]彩未分析60315!$A:$M,12,0)</f>
        <v>129</v>
      </c>
      <c r="G290" s="4">
        <f>VLOOKUP($A290,[1]彩未分析60315!$A:$M,13,0)</f>
        <v>127</v>
      </c>
      <c r="H290" s="3" t="s">
        <v>39</v>
      </c>
      <c r="I290" s="3" t="s">
        <v>580</v>
      </c>
    </row>
    <row r="291" customHeight="1" spans="1:9">
      <c r="A291" s="4" t="s">
        <v>581</v>
      </c>
      <c r="B291" s="4">
        <f>VLOOKUP($A291,[1]彩未分析60315!$A:$M,8,0)</f>
        <v>57</v>
      </c>
      <c r="C291" s="4">
        <f>VLOOKUP($A291,[1]彩未分析60315!$A:$M,9,0)</f>
        <v>56</v>
      </c>
      <c r="D291" s="4">
        <f>VLOOKUP($A291,[1]彩未分析60315!$A:$M,10,0)</f>
        <v>55</v>
      </c>
      <c r="E291" s="4">
        <f>VLOOKUP($A291,[1]彩未分析60315!$A:$M,11,0)</f>
        <v>54</v>
      </c>
      <c r="F291" s="4">
        <f>VLOOKUP($A291,[1]彩未分析60315!$A:$M,12,0)</f>
        <v>53</v>
      </c>
      <c r="G291" s="4">
        <f>VLOOKUP($A291,[1]彩未分析60315!$A:$M,13,0)</f>
        <v>52</v>
      </c>
      <c r="H291" s="3" t="s">
        <v>39</v>
      </c>
      <c r="I291" s="3" t="s">
        <v>582</v>
      </c>
    </row>
    <row r="292" customHeight="1" spans="1:9">
      <c r="A292" s="4" t="s">
        <v>583</v>
      </c>
      <c r="B292" s="4">
        <f>VLOOKUP($A292,[1]彩未分析60315!$A:$M,8,0)</f>
        <v>48</v>
      </c>
      <c r="C292" s="4">
        <f>VLOOKUP($A292,[1]彩未分析60315!$A:$M,9,0)</f>
        <v>47</v>
      </c>
      <c r="D292" s="4">
        <f>VLOOKUP($A292,[1]彩未分析60315!$A:$M,10,0)</f>
        <v>46</v>
      </c>
      <c r="E292" s="4">
        <f>VLOOKUP($A292,[1]彩未分析60315!$A:$M,11,0)</f>
        <v>46</v>
      </c>
      <c r="F292" s="4">
        <f>VLOOKUP($A292,[1]彩未分析60315!$A:$M,12,0)</f>
        <v>45</v>
      </c>
      <c r="G292" s="4">
        <f>VLOOKUP($A292,[1]彩未分析60315!$A:$M,13,0)</f>
        <v>44</v>
      </c>
      <c r="H292" s="3" t="s">
        <v>39</v>
      </c>
      <c r="I292" s="3" t="s">
        <v>584</v>
      </c>
    </row>
    <row r="293" customHeight="1" spans="1:9">
      <c r="A293" s="4" t="s">
        <v>585</v>
      </c>
      <c r="B293" s="4">
        <f>VLOOKUP($A293,[1]彩未分析60315!$A:$M,8,0)</f>
        <v>48</v>
      </c>
      <c r="C293" s="4">
        <f>VLOOKUP($A293,[1]彩未分析60315!$A:$M,9,0)</f>
        <v>47</v>
      </c>
      <c r="D293" s="4">
        <f>VLOOKUP($A293,[1]彩未分析60315!$A:$M,10,0)</f>
        <v>46</v>
      </c>
      <c r="E293" s="4">
        <f>VLOOKUP($A293,[1]彩未分析60315!$A:$M,11,0)</f>
        <v>45</v>
      </c>
      <c r="F293" s="4">
        <f>VLOOKUP($A293,[1]彩未分析60315!$A:$M,12,0)</f>
        <v>45</v>
      </c>
      <c r="G293" s="4">
        <f>VLOOKUP($A293,[1]彩未分析60315!$A:$M,13,0)</f>
        <v>44</v>
      </c>
      <c r="H293" s="3" t="s">
        <v>39</v>
      </c>
      <c r="I293" s="3" t="s">
        <v>586</v>
      </c>
    </row>
    <row r="294" customHeight="1" spans="1:9">
      <c r="A294" s="4" t="s">
        <v>587</v>
      </c>
      <c r="B294" s="4">
        <f>VLOOKUP($A294,[1]彩未分析60315!$A:$M,8,0)</f>
        <v>44</v>
      </c>
      <c r="C294" s="4">
        <f>VLOOKUP($A294,[1]彩未分析60315!$A:$M,9,0)</f>
        <v>43</v>
      </c>
      <c r="D294" s="4">
        <f>VLOOKUP($A294,[1]彩未分析60315!$A:$M,10,0)</f>
        <v>42</v>
      </c>
      <c r="E294" s="4">
        <f>VLOOKUP($A294,[1]彩未分析60315!$A:$M,11,0)</f>
        <v>42</v>
      </c>
      <c r="F294" s="4">
        <f>VLOOKUP($A294,[1]彩未分析60315!$A:$M,12,0)</f>
        <v>41</v>
      </c>
      <c r="G294" s="4">
        <f>VLOOKUP($A294,[1]彩未分析60315!$A:$M,13,0)</f>
        <v>41</v>
      </c>
      <c r="H294" s="3" t="s">
        <v>39</v>
      </c>
      <c r="I294" s="3" t="s">
        <v>588</v>
      </c>
    </row>
    <row r="295" customHeight="1" spans="1:9">
      <c r="A295" s="4" t="s">
        <v>589</v>
      </c>
      <c r="B295" s="4">
        <f>VLOOKUP($A295,[1]彩未分析60315!$A:$M,8,0)</f>
        <v>45</v>
      </c>
      <c r="C295" s="4">
        <f>VLOOKUP($A295,[1]彩未分析60315!$A:$M,9,0)</f>
        <v>44</v>
      </c>
      <c r="D295" s="4">
        <f>VLOOKUP($A295,[1]彩未分析60315!$A:$M,10,0)</f>
        <v>42</v>
      </c>
      <c r="E295" s="4">
        <f>VLOOKUP($A295,[1]彩未分析60315!$A:$M,11,0)</f>
        <v>40</v>
      </c>
      <c r="F295" s="4">
        <f>VLOOKUP($A295,[1]彩未分析60315!$A:$M,12,0)</f>
        <v>39</v>
      </c>
      <c r="G295" s="4">
        <f>VLOOKUP($A295,[1]彩未分析60315!$A:$M,13,0)</f>
        <v>37</v>
      </c>
      <c r="H295" s="3" t="s">
        <v>10</v>
      </c>
      <c r="I295" s="3" t="s">
        <v>590</v>
      </c>
    </row>
    <row r="296" customHeight="1" spans="1:9">
      <c r="A296" s="4" t="s">
        <v>591</v>
      </c>
      <c r="B296" s="4">
        <f>VLOOKUP($A296,[1]彩未分析60315!$A:$M,8,0)</f>
        <v>45</v>
      </c>
      <c r="C296" s="4">
        <f>VLOOKUP($A296,[1]彩未分析60315!$A:$M,9,0)</f>
        <v>43</v>
      </c>
      <c r="D296" s="4">
        <f>VLOOKUP($A296,[1]彩未分析60315!$A:$M,10,0)</f>
        <v>41</v>
      </c>
      <c r="E296" s="4">
        <f>VLOOKUP($A296,[1]彩未分析60315!$A:$M,11,0)</f>
        <v>40</v>
      </c>
      <c r="F296" s="4">
        <f>VLOOKUP($A296,[1]彩未分析60315!$A:$M,12,0)</f>
        <v>38</v>
      </c>
      <c r="G296" s="4">
        <f>VLOOKUP($A296,[1]彩未分析60315!$A:$M,13,0)</f>
        <v>36</v>
      </c>
      <c r="H296" s="3" t="s">
        <v>10</v>
      </c>
      <c r="I296" s="3" t="s">
        <v>592</v>
      </c>
    </row>
    <row r="297" customHeight="1" spans="1:9">
      <c r="A297" s="4" t="s">
        <v>593</v>
      </c>
      <c r="B297" s="4">
        <f>VLOOKUP($A297,[1]彩未分析60315!$A:$M,8,0)</f>
        <v>30</v>
      </c>
      <c r="C297" s="4">
        <f>VLOOKUP($A297,[1]彩未分析60315!$A:$M,9,0)</f>
        <v>29</v>
      </c>
      <c r="D297" s="4">
        <f>VLOOKUP($A297,[1]彩未分析60315!$A:$M,10,0)</f>
        <v>28</v>
      </c>
      <c r="E297" s="4">
        <f>VLOOKUP($A297,[1]彩未分析60315!$A:$M,11,0)</f>
        <v>27</v>
      </c>
      <c r="F297" s="4">
        <f>VLOOKUP($A297,[1]彩未分析60315!$A:$M,12,0)</f>
        <v>26</v>
      </c>
      <c r="G297" s="4">
        <f>VLOOKUP($A297,[1]彩未分析60315!$A:$M,13,0)</f>
        <v>25</v>
      </c>
      <c r="H297" s="3" t="s">
        <v>10</v>
      </c>
      <c r="I297" s="3" t="s">
        <v>594</v>
      </c>
    </row>
    <row r="298" customHeight="1" spans="1:9">
      <c r="A298" s="4" t="s">
        <v>595</v>
      </c>
      <c r="B298" s="4">
        <f>VLOOKUP($A298,[1]彩未分析60315!$A:$M,8,0)</f>
        <v>50</v>
      </c>
      <c r="C298" s="4">
        <f>VLOOKUP($A298,[1]彩未分析60315!$A:$M,9,0)</f>
        <v>49</v>
      </c>
      <c r="D298" s="4">
        <f>VLOOKUP($A298,[1]彩未分析60315!$A:$M,10,0)</f>
        <v>48</v>
      </c>
      <c r="E298" s="4">
        <f>VLOOKUP($A298,[1]彩未分析60315!$A:$M,11,0)</f>
        <v>48</v>
      </c>
      <c r="F298" s="4">
        <f>VLOOKUP($A298,[1]彩未分析60315!$A:$M,12,0)</f>
        <v>47</v>
      </c>
      <c r="G298" s="4">
        <f>VLOOKUP($A298,[1]彩未分析60315!$A:$M,13,0)</f>
        <v>46</v>
      </c>
      <c r="H298" s="3" t="s">
        <v>39</v>
      </c>
      <c r="I298" s="3" t="s">
        <v>596</v>
      </c>
    </row>
    <row r="299" customHeight="1" spans="1:9">
      <c r="A299" s="4" t="s">
        <v>597</v>
      </c>
      <c r="B299" s="4">
        <f>VLOOKUP($A299,[1]彩未分析60315!$A:$M,8,0)</f>
        <v>42</v>
      </c>
      <c r="C299" s="4">
        <f>VLOOKUP($A299,[1]彩未分析60315!$A:$M,9,0)</f>
        <v>41</v>
      </c>
      <c r="D299" s="4">
        <f>VLOOKUP($A299,[1]彩未分析60315!$A:$M,10,0)</f>
        <v>39</v>
      </c>
      <c r="E299" s="4">
        <f>VLOOKUP($A299,[1]彩未分析60315!$A:$M,11,0)</f>
        <v>38</v>
      </c>
      <c r="F299" s="4">
        <f>VLOOKUP($A299,[1]彩未分析60315!$A:$M,12,0)</f>
        <v>36</v>
      </c>
      <c r="G299" s="4">
        <f>VLOOKUP($A299,[1]彩未分析60315!$A:$M,13,0)</f>
        <v>34</v>
      </c>
      <c r="H299" s="3" t="s">
        <v>10</v>
      </c>
      <c r="I299" s="3" t="s">
        <v>598</v>
      </c>
    </row>
    <row r="300" customHeight="1" spans="1:9">
      <c r="A300" s="4" t="s">
        <v>599</v>
      </c>
      <c r="B300" s="4">
        <f>VLOOKUP($A300,[1]彩未分析60315!$A:$M,8,0)</f>
        <v>34</v>
      </c>
      <c r="C300" s="4">
        <f>VLOOKUP($A300,[1]彩未分析60315!$A:$M,9,0)</f>
        <v>33</v>
      </c>
      <c r="D300" s="4">
        <f>VLOOKUP($A300,[1]彩未分析60315!$A:$M,10,0)</f>
        <v>32</v>
      </c>
      <c r="E300" s="4">
        <f>VLOOKUP($A300,[1]彩未分析60315!$A:$M,11,0)</f>
        <v>31</v>
      </c>
      <c r="F300" s="4">
        <f>VLOOKUP($A300,[1]彩未分析60315!$A:$M,12,0)</f>
        <v>29</v>
      </c>
      <c r="G300" s="4">
        <f>VLOOKUP($A300,[1]彩未分析60315!$A:$M,13,0)</f>
        <v>28</v>
      </c>
      <c r="H300" s="3" t="s">
        <v>10</v>
      </c>
      <c r="I300" s="3" t="s">
        <v>600</v>
      </c>
    </row>
    <row r="301" customHeight="1" spans="1:9">
      <c r="A301" s="4" t="s">
        <v>601</v>
      </c>
      <c r="B301" s="4">
        <f>VLOOKUP($A301,[1]彩未分析60315!$A:$M,8,0)</f>
        <v>40</v>
      </c>
      <c r="C301" s="4">
        <f>VLOOKUP($A301,[1]彩未分析60315!$A:$M,9,0)</f>
        <v>38</v>
      </c>
      <c r="D301" s="4">
        <f>VLOOKUP($A301,[1]彩未分析60315!$A:$M,10,0)</f>
        <v>37</v>
      </c>
      <c r="E301" s="4">
        <f>VLOOKUP($A301,[1]彩未分析60315!$A:$M,11,0)</f>
        <v>35</v>
      </c>
      <c r="F301" s="4">
        <f>VLOOKUP($A301,[1]彩未分析60315!$A:$M,12,0)</f>
        <v>34</v>
      </c>
      <c r="G301" s="4">
        <f>VLOOKUP($A301,[1]彩未分析60315!$A:$M,13,0)</f>
        <v>33</v>
      </c>
      <c r="H301" s="3" t="s">
        <v>10</v>
      </c>
      <c r="I301" s="3" t="s">
        <v>602</v>
      </c>
    </row>
    <row r="302" customHeight="1" spans="1:9">
      <c r="A302" s="4" t="s">
        <v>603</v>
      </c>
      <c r="B302" s="4">
        <f>VLOOKUP($A302,[1]彩未分析60315!$A:$M,8,0)</f>
        <v>32</v>
      </c>
      <c r="C302" s="4">
        <f>VLOOKUP($A302,[1]彩未分析60315!$A:$M,9,0)</f>
        <v>31</v>
      </c>
      <c r="D302" s="4">
        <f>VLOOKUP($A302,[1]彩未分析60315!$A:$M,10,0)</f>
        <v>30</v>
      </c>
      <c r="E302" s="4">
        <f>VLOOKUP($A302,[1]彩未分析60315!$A:$M,11,0)</f>
        <v>29</v>
      </c>
      <c r="F302" s="4">
        <f>VLOOKUP($A302,[1]彩未分析60315!$A:$M,12,0)</f>
        <v>27</v>
      </c>
      <c r="G302" s="4">
        <f>VLOOKUP($A302,[1]彩未分析60315!$A:$M,13,0)</f>
        <v>26</v>
      </c>
      <c r="H302" s="3" t="s">
        <v>10</v>
      </c>
      <c r="I302" s="3" t="s">
        <v>604</v>
      </c>
    </row>
    <row r="303" customHeight="1" spans="1:9">
      <c r="A303" s="4" t="s">
        <v>605</v>
      </c>
      <c r="B303" s="4">
        <f>VLOOKUP($A303,[1]彩未分析60315!$A:$M,8,0)</f>
        <v>52</v>
      </c>
      <c r="C303" s="4">
        <f>VLOOKUP($A303,[1]彩未分析60315!$A:$M,9,0)</f>
        <v>52</v>
      </c>
      <c r="D303" s="4">
        <f>VLOOKUP($A303,[1]彩未分析60315!$A:$M,10,0)</f>
        <v>51</v>
      </c>
      <c r="E303" s="4">
        <f>VLOOKUP($A303,[1]彩未分析60315!$A:$M,11,0)</f>
        <v>50</v>
      </c>
      <c r="F303" s="4">
        <f>VLOOKUP($A303,[1]彩未分析60315!$A:$M,12,0)</f>
        <v>49</v>
      </c>
      <c r="G303" s="4">
        <f>VLOOKUP($A303,[1]彩未分析60315!$A:$M,13,0)</f>
        <v>48</v>
      </c>
      <c r="H303" s="3" t="s">
        <v>39</v>
      </c>
      <c r="I303" s="3" t="s">
        <v>606</v>
      </c>
    </row>
    <row r="304" customHeight="1" spans="1:9">
      <c r="A304" s="4" t="s">
        <v>607</v>
      </c>
      <c r="B304" s="4">
        <f>VLOOKUP($A304,[1]彩未分析60315!$A:$M,8,0)</f>
        <v>38</v>
      </c>
      <c r="C304" s="4">
        <f>VLOOKUP($A304,[1]彩未分析60315!$A:$M,9,0)</f>
        <v>37</v>
      </c>
      <c r="D304" s="4">
        <f>VLOOKUP($A304,[1]彩未分析60315!$A:$M,10,0)</f>
        <v>35</v>
      </c>
      <c r="E304" s="4">
        <f>VLOOKUP($A304,[1]彩未分析60315!$A:$M,11,0)</f>
        <v>34</v>
      </c>
      <c r="F304" s="4">
        <f>VLOOKUP($A304,[1]彩未分析60315!$A:$M,12,0)</f>
        <v>32</v>
      </c>
      <c r="G304" s="4">
        <f>VLOOKUP($A304,[1]彩未分析60315!$A:$M,13,0)</f>
        <v>31</v>
      </c>
      <c r="H304" s="3" t="s">
        <v>10</v>
      </c>
      <c r="I304" s="3" t="s">
        <v>608</v>
      </c>
    </row>
    <row r="305" customHeight="1" spans="1:9">
      <c r="A305" s="4" t="s">
        <v>609</v>
      </c>
      <c r="B305" s="4">
        <f>VLOOKUP($A305,[1]彩未分析60315!$A:$M,8,0)</f>
        <v>69</v>
      </c>
      <c r="C305" s="4">
        <f>VLOOKUP($A305,[1]彩未分析60315!$A:$M,9,0)</f>
        <v>68</v>
      </c>
      <c r="D305" s="4">
        <f>VLOOKUP($A305,[1]彩未分析60315!$A:$M,10,0)</f>
        <v>67</v>
      </c>
      <c r="E305" s="4">
        <f>VLOOKUP($A305,[1]彩未分析60315!$A:$M,11,0)</f>
        <v>66</v>
      </c>
      <c r="F305" s="4">
        <f>VLOOKUP($A305,[1]彩未分析60315!$A:$M,12,0)</f>
        <v>65</v>
      </c>
      <c r="G305" s="4">
        <f>VLOOKUP($A305,[1]彩未分析60315!$A:$M,13,0)</f>
        <v>64</v>
      </c>
      <c r="H305" s="3" t="s">
        <v>39</v>
      </c>
      <c r="I305" s="3" t="s">
        <v>610</v>
      </c>
    </row>
    <row r="306" customHeight="1" spans="1:9">
      <c r="A306" s="4" t="s">
        <v>611</v>
      </c>
      <c r="B306" s="4">
        <f>VLOOKUP($A306,[1]彩未分析60315!$A:$M,8,0)</f>
        <v>42</v>
      </c>
      <c r="C306" s="4">
        <f>VLOOKUP($A306,[1]彩未分析60315!$A:$M,9,0)</f>
        <v>40</v>
      </c>
      <c r="D306" s="4">
        <f>VLOOKUP($A306,[1]彩未分析60315!$A:$M,10,0)</f>
        <v>39</v>
      </c>
      <c r="E306" s="4">
        <f>VLOOKUP($A306,[1]彩未分析60315!$A:$M,11,0)</f>
        <v>37</v>
      </c>
      <c r="F306" s="4">
        <f>VLOOKUP($A306,[1]彩未分析60315!$A:$M,12,0)</f>
        <v>36</v>
      </c>
      <c r="G306" s="4">
        <f>VLOOKUP($A306,[1]彩未分析60315!$A:$M,13,0)</f>
        <v>34</v>
      </c>
      <c r="H306" s="3" t="s">
        <v>10</v>
      </c>
      <c r="I306" s="3" t="s">
        <v>612</v>
      </c>
    </row>
    <row r="307" customHeight="1" spans="1:9">
      <c r="A307" s="4" t="s">
        <v>613</v>
      </c>
      <c r="B307" s="4">
        <f>VLOOKUP($A307,[1]彩未分析60315!$A:$M,8,0)</f>
        <v>23</v>
      </c>
      <c r="C307" s="4">
        <f>VLOOKUP($A307,[1]彩未分析60315!$A:$M,9,0)</f>
        <v>22</v>
      </c>
      <c r="D307" s="4">
        <f>VLOOKUP($A307,[1]彩未分析60315!$A:$M,10,0)</f>
        <v>21</v>
      </c>
      <c r="E307" s="4">
        <f>VLOOKUP($A307,[1]彩未分析60315!$A:$M,11,0)</f>
        <v>21</v>
      </c>
      <c r="F307" s="4">
        <f>VLOOKUP($A307,[1]彩未分析60315!$A:$M,12,0)</f>
        <v>20</v>
      </c>
      <c r="G307" s="4">
        <f>VLOOKUP($A307,[1]彩未分析60315!$A:$M,13,0)</f>
        <v>19</v>
      </c>
      <c r="H307" s="3" t="s">
        <v>10</v>
      </c>
      <c r="I307" s="3" t="s">
        <v>614</v>
      </c>
    </row>
    <row r="308" customHeight="1" spans="1:9">
      <c r="A308" s="4" t="s">
        <v>615</v>
      </c>
      <c r="B308" s="4">
        <f>VLOOKUP($A308,[1]彩未分析60315!$A:$M,8,0)</f>
        <v>84</v>
      </c>
      <c r="C308" s="4">
        <f>VLOOKUP($A308,[1]彩未分析60315!$A:$M,9,0)</f>
        <v>80</v>
      </c>
      <c r="D308" s="4">
        <f>VLOOKUP($A308,[1]彩未分析60315!$A:$M,10,0)</f>
        <v>77</v>
      </c>
      <c r="E308" s="4">
        <f>VLOOKUP($A308,[1]彩未分析60315!$A:$M,11,0)</f>
        <v>74</v>
      </c>
      <c r="F308" s="4">
        <f>VLOOKUP($A308,[1]彩未分析60315!$A:$M,12,0)</f>
        <v>71</v>
      </c>
      <c r="G308" s="4">
        <f>VLOOKUP($A308,[1]彩未分析60315!$A:$M,13,0)</f>
        <v>68</v>
      </c>
      <c r="H308" s="3" t="s">
        <v>10</v>
      </c>
      <c r="I308" s="3" t="s">
        <v>616</v>
      </c>
    </row>
    <row r="309" customHeight="1" spans="1:9">
      <c r="A309" s="4" t="s">
        <v>617</v>
      </c>
      <c r="B309" s="4">
        <f>VLOOKUP($A309,[1]彩未分析60315!$A:$M,8,0)</f>
        <v>44</v>
      </c>
      <c r="C309" s="4">
        <f>VLOOKUP($A309,[1]彩未分析60315!$A:$M,9,0)</f>
        <v>43</v>
      </c>
      <c r="D309" s="4">
        <f>VLOOKUP($A309,[1]彩未分析60315!$A:$M,10,0)</f>
        <v>41</v>
      </c>
      <c r="E309" s="4">
        <f>VLOOKUP($A309,[1]彩未分析60315!$A:$M,11,0)</f>
        <v>39</v>
      </c>
      <c r="F309" s="4">
        <f>VLOOKUP($A309,[1]彩未分析60315!$A:$M,12,0)</f>
        <v>38</v>
      </c>
      <c r="G309" s="4">
        <f>VLOOKUP($A309,[1]彩未分析60315!$A:$M,13,0)</f>
        <v>36</v>
      </c>
      <c r="H309" s="3" t="s">
        <v>10</v>
      </c>
      <c r="I309" s="3" t="s">
        <v>618</v>
      </c>
    </row>
    <row r="310" customHeight="1" spans="1:9">
      <c r="A310" s="4" t="s">
        <v>619</v>
      </c>
      <c r="B310" s="4">
        <f>VLOOKUP($A310,[1]彩未分析60315!$A:$M,8,0)</f>
        <v>40</v>
      </c>
      <c r="C310" s="4">
        <f>VLOOKUP($A310,[1]彩未分析60315!$A:$M,9,0)</f>
        <v>39</v>
      </c>
      <c r="D310" s="4">
        <f>VLOOKUP($A310,[1]彩未分析60315!$A:$M,10,0)</f>
        <v>38</v>
      </c>
      <c r="E310" s="4">
        <f>VLOOKUP($A310,[1]彩未分析60315!$A:$M,11,0)</f>
        <v>36</v>
      </c>
      <c r="F310" s="4">
        <f>VLOOKUP($A310,[1]彩未分析60315!$A:$M,12,0)</f>
        <v>35</v>
      </c>
      <c r="G310" s="4">
        <f>VLOOKUP($A310,[1]彩未分析60315!$A:$M,13,0)</f>
        <v>33</v>
      </c>
      <c r="H310" s="3" t="s">
        <v>10</v>
      </c>
      <c r="I310" s="3" t="s">
        <v>179</v>
      </c>
    </row>
    <row r="311" customHeight="1" spans="1:9">
      <c r="A311" s="4" t="s">
        <v>620</v>
      </c>
      <c r="B311" s="4">
        <f>VLOOKUP($A311,[1]彩未分析60315!$A:$M,8,0)</f>
        <v>34</v>
      </c>
      <c r="C311" s="4">
        <f>VLOOKUP($A311,[1]彩未分析60315!$A:$M,9,0)</f>
        <v>33</v>
      </c>
      <c r="D311" s="4">
        <f>VLOOKUP($A311,[1]彩未分析60315!$A:$M,10,0)</f>
        <v>32</v>
      </c>
      <c r="E311" s="4">
        <f>VLOOKUP($A311,[1]彩未分析60315!$A:$M,11,0)</f>
        <v>30</v>
      </c>
      <c r="F311" s="4">
        <f>VLOOKUP($A311,[1]彩未分析60315!$A:$M,12,0)</f>
        <v>29</v>
      </c>
      <c r="G311" s="4">
        <f>VLOOKUP($A311,[1]彩未分析60315!$A:$M,13,0)</f>
        <v>28</v>
      </c>
      <c r="H311" s="3" t="s">
        <v>10</v>
      </c>
      <c r="I311" s="3" t="s">
        <v>31</v>
      </c>
    </row>
    <row r="312" customHeight="1" spans="1:9">
      <c r="A312" s="4" t="s">
        <v>621</v>
      </c>
      <c r="B312" s="4">
        <f>VLOOKUP($A312,[1]彩未分析60315!$A:$M,8,0)</f>
        <v>37</v>
      </c>
      <c r="C312" s="4">
        <f>VLOOKUP($A312,[1]彩未分析60315!$A:$M,9,0)</f>
        <v>36</v>
      </c>
      <c r="D312" s="4">
        <f>VLOOKUP($A312,[1]彩未分析60315!$A:$M,10,0)</f>
        <v>34</v>
      </c>
      <c r="E312" s="4">
        <f>VLOOKUP($A312,[1]彩未分析60315!$A:$M,11,0)</f>
        <v>33</v>
      </c>
      <c r="F312" s="4">
        <f>VLOOKUP($A312,[1]彩未分析60315!$A:$M,12,0)</f>
        <v>32</v>
      </c>
      <c r="G312" s="4">
        <f>VLOOKUP($A312,[1]彩未分析60315!$A:$M,13,0)</f>
        <v>30</v>
      </c>
      <c r="H312" s="3" t="s">
        <v>10</v>
      </c>
      <c r="I312" s="3" t="s">
        <v>622</v>
      </c>
    </row>
    <row r="313" customHeight="1" spans="1:9">
      <c r="A313" s="4" t="s">
        <v>623</v>
      </c>
      <c r="B313" s="4">
        <f>VLOOKUP($A313,[1]彩未分析60315!$A:$M,8,0)</f>
        <v>37</v>
      </c>
      <c r="C313" s="4">
        <f>VLOOKUP($A313,[1]彩未分析60315!$A:$M,9,0)</f>
        <v>36</v>
      </c>
      <c r="D313" s="4">
        <f>VLOOKUP($A313,[1]彩未分析60315!$A:$M,10,0)</f>
        <v>34</v>
      </c>
      <c r="E313" s="4">
        <f>VLOOKUP($A313,[1]彩未分析60315!$A:$M,11,0)</f>
        <v>33</v>
      </c>
      <c r="F313" s="4">
        <f>VLOOKUP($A313,[1]彩未分析60315!$A:$M,12,0)</f>
        <v>32</v>
      </c>
      <c r="G313" s="4">
        <f>VLOOKUP($A313,[1]彩未分析60315!$A:$M,13,0)</f>
        <v>30</v>
      </c>
      <c r="H313" s="3" t="s">
        <v>10</v>
      </c>
      <c r="I313" s="3" t="s">
        <v>624</v>
      </c>
    </row>
    <row r="314" customHeight="1" spans="1:9">
      <c r="A314" s="4" t="s">
        <v>625</v>
      </c>
      <c r="B314" s="4">
        <f>VLOOKUP($A314,[1]彩未分析60315!$A:$M,8,0)</f>
        <v>46</v>
      </c>
      <c r="C314" s="4">
        <f>VLOOKUP($A314,[1]彩未分析60315!$A:$M,9,0)</f>
        <v>45</v>
      </c>
      <c r="D314" s="4">
        <f>VLOOKUP($A314,[1]彩未分析60315!$A:$M,10,0)</f>
        <v>45</v>
      </c>
      <c r="E314" s="4">
        <f>VLOOKUP($A314,[1]彩未分析60315!$A:$M,11,0)</f>
        <v>44</v>
      </c>
      <c r="F314" s="4">
        <f>VLOOKUP($A314,[1]彩未分析60315!$A:$M,12,0)</f>
        <v>44</v>
      </c>
      <c r="G314" s="4">
        <f>VLOOKUP($A314,[1]彩未分析60315!$A:$M,13,0)</f>
        <v>43</v>
      </c>
      <c r="H314" s="3" t="s">
        <v>39</v>
      </c>
      <c r="I314" s="3" t="s">
        <v>626</v>
      </c>
    </row>
    <row r="315" customHeight="1" spans="1:9">
      <c r="A315" s="4" t="s">
        <v>627</v>
      </c>
      <c r="B315" s="4">
        <f>VLOOKUP($A315,[1]彩未分析60315!$A:$M,8,0)</f>
        <v>43</v>
      </c>
      <c r="C315" s="4">
        <f>VLOOKUP($A315,[1]彩未分析60315!$A:$M,9,0)</f>
        <v>41</v>
      </c>
      <c r="D315" s="4">
        <f>VLOOKUP($A315,[1]彩未分析60315!$A:$M,10,0)</f>
        <v>39</v>
      </c>
      <c r="E315" s="4">
        <f>VLOOKUP($A315,[1]彩未分析60315!$A:$M,11,0)</f>
        <v>38</v>
      </c>
      <c r="F315" s="4">
        <f>VLOOKUP($A315,[1]彩未分析60315!$A:$M,12,0)</f>
        <v>36</v>
      </c>
      <c r="G315" s="4">
        <f>VLOOKUP($A315,[1]彩未分析60315!$A:$M,13,0)</f>
        <v>35</v>
      </c>
      <c r="H315" s="3" t="s">
        <v>10</v>
      </c>
      <c r="I315" s="3" t="s">
        <v>628</v>
      </c>
    </row>
    <row r="316" customHeight="1" spans="1:9">
      <c r="A316" s="4" t="s">
        <v>629</v>
      </c>
      <c r="B316" s="4">
        <f>VLOOKUP($A316,[1]彩未分析60315!$A:$M,8,0)</f>
        <v>53</v>
      </c>
      <c r="C316" s="4">
        <f>VLOOKUP($A316,[1]彩未分析60315!$A:$M,9,0)</f>
        <v>52</v>
      </c>
      <c r="D316" s="4">
        <f>VLOOKUP($A316,[1]彩未分析60315!$A:$M,10,0)</f>
        <v>51</v>
      </c>
      <c r="E316" s="4">
        <f>VLOOKUP($A316,[1]彩未分析60315!$A:$M,11,0)</f>
        <v>50</v>
      </c>
      <c r="F316" s="4">
        <f>VLOOKUP($A316,[1]彩未分析60315!$A:$M,12,0)</f>
        <v>50</v>
      </c>
      <c r="G316" s="4">
        <f>VLOOKUP($A316,[1]彩未分析60315!$A:$M,13,0)</f>
        <v>49</v>
      </c>
      <c r="H316" s="3" t="s">
        <v>39</v>
      </c>
      <c r="I316" s="3" t="s">
        <v>630</v>
      </c>
    </row>
    <row r="317" customHeight="1" spans="1:9">
      <c r="A317" s="4" t="s">
        <v>631</v>
      </c>
      <c r="B317" s="4">
        <f>VLOOKUP($A317,[1]彩未分析60315!$A:$M,8,0)</f>
        <v>39</v>
      </c>
      <c r="C317" s="4">
        <f>VLOOKUP($A317,[1]彩未分析60315!$A:$M,9,0)</f>
        <v>37</v>
      </c>
      <c r="D317" s="4">
        <f>VLOOKUP($A317,[1]彩未分析60315!$A:$M,10,0)</f>
        <v>36</v>
      </c>
      <c r="E317" s="4">
        <f>VLOOKUP($A317,[1]彩未分析60315!$A:$M,11,0)</f>
        <v>34</v>
      </c>
      <c r="F317" s="4">
        <f>VLOOKUP($A317,[1]彩未分析60315!$A:$M,12,0)</f>
        <v>33</v>
      </c>
      <c r="G317" s="4">
        <f>VLOOKUP($A317,[1]彩未分析60315!$A:$M,13,0)</f>
        <v>32</v>
      </c>
      <c r="H317" s="3" t="s">
        <v>10</v>
      </c>
      <c r="I317" s="3" t="s">
        <v>632</v>
      </c>
    </row>
    <row r="318" customHeight="1" spans="1:9">
      <c r="A318" s="4" t="s">
        <v>633</v>
      </c>
      <c r="B318" s="4">
        <f>VLOOKUP($A318,[1]彩未分析60315!$A:$M,8,0)</f>
        <v>22</v>
      </c>
      <c r="C318" s="4">
        <f>VLOOKUP($A318,[1]彩未分析60315!$A:$M,9,0)</f>
        <v>21</v>
      </c>
      <c r="D318" s="4">
        <f>VLOOKUP($A318,[1]彩未分析60315!$A:$M,10,0)</f>
        <v>20</v>
      </c>
      <c r="E318" s="4">
        <f>VLOOKUP($A318,[1]彩未分析60315!$A:$M,11,0)</f>
        <v>20</v>
      </c>
      <c r="F318" s="4">
        <f>VLOOKUP($A318,[1]彩未分析60315!$A:$M,12,0)</f>
        <v>19</v>
      </c>
      <c r="G318" s="4">
        <f>VLOOKUP($A318,[1]彩未分析60315!$A:$M,13,0)</f>
        <v>18</v>
      </c>
      <c r="H318" s="3" t="s">
        <v>10</v>
      </c>
      <c r="I318" s="3" t="s">
        <v>634</v>
      </c>
    </row>
    <row r="319" customHeight="1" spans="1:9">
      <c r="A319" s="4" t="s">
        <v>635</v>
      </c>
      <c r="B319" s="4">
        <f>VLOOKUP($A319,[1]彩未分析60315!$A:$M,8,0)</f>
        <v>40</v>
      </c>
      <c r="C319" s="4">
        <f>VLOOKUP($A319,[1]彩未分析60315!$A:$M,9,0)</f>
        <v>39</v>
      </c>
      <c r="D319" s="4">
        <f>VLOOKUP($A319,[1]彩未分析60315!$A:$M,10,0)</f>
        <v>37</v>
      </c>
      <c r="E319" s="4">
        <f>VLOOKUP($A319,[1]彩未分析60315!$A:$M,11,0)</f>
        <v>36</v>
      </c>
      <c r="F319" s="4">
        <f>VLOOKUP($A319,[1]彩未分析60315!$A:$M,12,0)</f>
        <v>34</v>
      </c>
      <c r="G319" s="4">
        <f>VLOOKUP($A319,[1]彩未分析60315!$A:$M,13,0)</f>
        <v>33</v>
      </c>
      <c r="H319" s="3" t="s">
        <v>10</v>
      </c>
      <c r="I319" s="3" t="s">
        <v>636</v>
      </c>
    </row>
    <row r="320" customHeight="1" spans="1:9">
      <c r="A320" s="4" t="s">
        <v>637</v>
      </c>
      <c r="B320" s="4">
        <f>VLOOKUP($A320,[1]彩未分析60315!$A:$M,8,0)</f>
        <v>38</v>
      </c>
      <c r="C320" s="4">
        <f>VLOOKUP($A320,[1]彩未分析60315!$A:$M,9,0)</f>
        <v>36</v>
      </c>
      <c r="D320" s="4">
        <f>VLOOKUP($A320,[1]彩未分析60315!$A:$M,10,0)</f>
        <v>35</v>
      </c>
      <c r="E320" s="4">
        <f>VLOOKUP($A320,[1]彩未分析60315!$A:$M,11,0)</f>
        <v>33</v>
      </c>
      <c r="F320" s="4">
        <f>VLOOKUP($A320,[1]彩未分析60315!$A:$M,12,0)</f>
        <v>32</v>
      </c>
      <c r="G320" s="4">
        <f>VLOOKUP($A320,[1]彩未分析60315!$A:$M,13,0)</f>
        <v>31</v>
      </c>
      <c r="H320" s="3" t="s">
        <v>10</v>
      </c>
      <c r="I320" s="3" t="s">
        <v>638</v>
      </c>
    </row>
    <row r="321" customHeight="1" spans="1:9">
      <c r="A321" s="4" t="s">
        <v>639</v>
      </c>
      <c r="B321" s="4">
        <f>VLOOKUP($A321,[1]彩未分析60315!$A:$M,8,0)</f>
        <v>37</v>
      </c>
      <c r="C321" s="4">
        <f>VLOOKUP($A321,[1]彩未分析60315!$A:$M,9,0)</f>
        <v>36</v>
      </c>
      <c r="D321" s="4">
        <f>VLOOKUP($A321,[1]彩未分析60315!$A:$M,10,0)</f>
        <v>35</v>
      </c>
      <c r="E321" s="4">
        <f>VLOOKUP($A321,[1]彩未分析60315!$A:$M,11,0)</f>
        <v>33</v>
      </c>
      <c r="F321" s="4">
        <f>VLOOKUP($A321,[1]彩未分析60315!$A:$M,12,0)</f>
        <v>32</v>
      </c>
      <c r="G321" s="4">
        <f>VLOOKUP($A321,[1]彩未分析60315!$A:$M,13,0)</f>
        <v>30</v>
      </c>
      <c r="H321" s="3" t="s">
        <v>10</v>
      </c>
      <c r="I321" s="3" t="s">
        <v>640</v>
      </c>
    </row>
    <row r="322" customHeight="1" spans="1:9">
      <c r="A322" s="4" t="s">
        <v>641</v>
      </c>
      <c r="B322" s="4">
        <f>VLOOKUP($A322,[1]彩未分析60315!$A:$M,8,0)</f>
        <v>29</v>
      </c>
      <c r="C322" s="4">
        <f>VLOOKUP($A322,[1]彩未分析60315!$A:$M,9,0)</f>
        <v>28</v>
      </c>
      <c r="D322" s="4">
        <f>VLOOKUP($A322,[1]彩未分析60315!$A:$M,10,0)</f>
        <v>27</v>
      </c>
      <c r="E322" s="4">
        <f>VLOOKUP($A322,[1]彩未分析60315!$A:$M,11,0)</f>
        <v>26</v>
      </c>
      <c r="F322" s="4">
        <f>VLOOKUP($A322,[1]彩未分析60315!$A:$M,12,0)</f>
        <v>25</v>
      </c>
      <c r="G322" s="4">
        <f>VLOOKUP($A322,[1]彩未分析60315!$A:$M,13,0)</f>
        <v>24</v>
      </c>
      <c r="H322" s="3" t="s">
        <v>10</v>
      </c>
      <c r="I322" s="3" t="s">
        <v>642</v>
      </c>
    </row>
    <row r="323" customHeight="1" spans="1:9">
      <c r="A323" s="4" t="s">
        <v>643</v>
      </c>
      <c r="B323" s="4">
        <f>VLOOKUP($A323,[1]彩未分析60315!$A:$M,8,0)</f>
        <v>41</v>
      </c>
      <c r="C323" s="4">
        <f>VLOOKUP($A323,[1]彩未分析60315!$A:$M,9,0)</f>
        <v>39</v>
      </c>
      <c r="D323" s="4">
        <f>VLOOKUP($A323,[1]彩未分析60315!$A:$M,10,0)</f>
        <v>38</v>
      </c>
      <c r="E323" s="4">
        <f>VLOOKUP($A323,[1]彩未分析60315!$A:$M,11,0)</f>
        <v>36</v>
      </c>
      <c r="F323" s="4">
        <f>VLOOKUP($A323,[1]彩未分析60315!$A:$M,12,0)</f>
        <v>35</v>
      </c>
      <c r="G323" s="4">
        <f>VLOOKUP($A323,[1]彩未分析60315!$A:$M,13,0)</f>
        <v>33</v>
      </c>
      <c r="H323" s="3" t="s">
        <v>10</v>
      </c>
      <c r="I323" s="3" t="s">
        <v>644</v>
      </c>
    </row>
    <row r="324" customHeight="1" spans="1:9">
      <c r="A324" s="4" t="s">
        <v>645</v>
      </c>
      <c r="B324" s="4">
        <f>VLOOKUP($A324,[1]彩未分析60315!$A:$M,8,0)</f>
        <v>41</v>
      </c>
      <c r="C324" s="4">
        <f>VLOOKUP($A324,[1]彩未分析60315!$A:$M,9,0)</f>
        <v>40</v>
      </c>
      <c r="D324" s="4">
        <f>VLOOKUP($A324,[1]彩未分析60315!$A:$M,10,0)</f>
        <v>38</v>
      </c>
      <c r="E324" s="4">
        <f>VLOOKUP($A324,[1]彩未分析60315!$A:$M,11,0)</f>
        <v>37</v>
      </c>
      <c r="F324" s="4">
        <f>VLOOKUP($A324,[1]彩未分析60315!$A:$M,12,0)</f>
        <v>35</v>
      </c>
      <c r="G324" s="4">
        <f>VLOOKUP($A324,[1]彩未分析60315!$A:$M,13,0)</f>
        <v>34</v>
      </c>
      <c r="H324" s="3" t="s">
        <v>10</v>
      </c>
      <c r="I324" s="3" t="s">
        <v>646</v>
      </c>
    </row>
    <row r="325" customHeight="1" spans="1:9">
      <c r="A325" s="4" t="s">
        <v>647</v>
      </c>
      <c r="B325" s="4">
        <f>VLOOKUP($A325,[1]彩未分析60315!$A:$M,8,0)</f>
        <v>50</v>
      </c>
      <c r="C325" s="4">
        <f>VLOOKUP($A325,[1]彩未分析60315!$A:$M,9,0)</f>
        <v>49</v>
      </c>
      <c r="D325" s="4">
        <f>VLOOKUP($A325,[1]彩未分析60315!$A:$M,10,0)</f>
        <v>48</v>
      </c>
      <c r="E325" s="4">
        <f>VLOOKUP($A325,[1]彩未分析60315!$A:$M,11,0)</f>
        <v>48</v>
      </c>
      <c r="F325" s="4">
        <f>VLOOKUP($A325,[1]彩未分析60315!$A:$M,12,0)</f>
        <v>47</v>
      </c>
      <c r="G325" s="4">
        <f>VLOOKUP($A325,[1]彩未分析60315!$A:$M,13,0)</f>
        <v>46</v>
      </c>
      <c r="H325" s="3" t="s">
        <v>39</v>
      </c>
      <c r="I325" s="3" t="s">
        <v>310</v>
      </c>
    </row>
    <row r="326" customHeight="1" spans="1:9">
      <c r="A326" s="4" t="s">
        <v>648</v>
      </c>
      <c r="B326" s="4">
        <f>VLOOKUP($A326,[1]彩未分析60315!$A:$M,8,0)</f>
        <v>34</v>
      </c>
      <c r="C326" s="4">
        <f>VLOOKUP($A326,[1]彩未分析60315!$A:$M,9,0)</f>
        <v>33</v>
      </c>
      <c r="D326" s="4">
        <f>VLOOKUP($A326,[1]彩未分析60315!$A:$M,10,0)</f>
        <v>32</v>
      </c>
      <c r="E326" s="4">
        <f>VLOOKUP($A326,[1]彩未分析60315!$A:$M,11,0)</f>
        <v>30</v>
      </c>
      <c r="F326" s="4">
        <f>VLOOKUP($A326,[1]彩未分析60315!$A:$M,12,0)</f>
        <v>29</v>
      </c>
      <c r="G326" s="4">
        <f>VLOOKUP($A326,[1]彩未分析60315!$A:$M,13,0)</f>
        <v>28</v>
      </c>
      <c r="H326" s="3" t="s">
        <v>10</v>
      </c>
      <c r="I326" s="3" t="s">
        <v>649</v>
      </c>
    </row>
    <row r="327" customHeight="1" spans="1:9">
      <c r="A327" s="4" t="s">
        <v>650</v>
      </c>
      <c r="B327" s="4">
        <f>VLOOKUP($A327,[1]彩未分析60315!$A:$M,8,0)</f>
        <v>44</v>
      </c>
      <c r="C327" s="4">
        <f>VLOOKUP($A327,[1]彩未分析60315!$A:$M,9,0)</f>
        <v>42</v>
      </c>
      <c r="D327" s="4">
        <f>VLOOKUP($A327,[1]彩未分析60315!$A:$M,10,0)</f>
        <v>40</v>
      </c>
      <c r="E327" s="4">
        <f>VLOOKUP($A327,[1]彩未分析60315!$A:$M,11,0)</f>
        <v>39</v>
      </c>
      <c r="F327" s="4">
        <f>VLOOKUP($A327,[1]彩未分析60315!$A:$M,12,0)</f>
        <v>37</v>
      </c>
      <c r="G327" s="4">
        <f>VLOOKUP($A327,[1]彩未分析60315!$A:$M,13,0)</f>
        <v>36</v>
      </c>
      <c r="H327" s="3" t="s">
        <v>10</v>
      </c>
      <c r="I327" s="3" t="s">
        <v>651</v>
      </c>
    </row>
    <row r="328" customHeight="1" spans="1:9">
      <c r="A328" s="4" t="s">
        <v>652</v>
      </c>
      <c r="B328" s="4">
        <f>VLOOKUP($A328,[1]彩未分析60315!$A:$M,8,0)</f>
        <v>56</v>
      </c>
      <c r="C328" s="4">
        <f>VLOOKUP($A328,[1]彩未分析60315!$A:$M,9,0)</f>
        <v>55</v>
      </c>
      <c r="D328" s="4">
        <f>VLOOKUP($A328,[1]彩未分析60315!$A:$M,10,0)</f>
        <v>54</v>
      </c>
      <c r="E328" s="4">
        <f>VLOOKUP($A328,[1]彩未分析60315!$A:$M,11,0)</f>
        <v>53</v>
      </c>
      <c r="F328" s="4">
        <f>VLOOKUP($A328,[1]彩未分析60315!$A:$M,12,0)</f>
        <v>53</v>
      </c>
      <c r="G328" s="4">
        <f>VLOOKUP($A328,[1]彩未分析60315!$A:$M,13,0)</f>
        <v>52</v>
      </c>
      <c r="H328" s="3" t="s">
        <v>39</v>
      </c>
      <c r="I328" s="3" t="s">
        <v>653</v>
      </c>
    </row>
    <row r="329" customHeight="1" spans="1:9">
      <c r="A329" s="4" t="s">
        <v>654</v>
      </c>
      <c r="B329" s="4">
        <f>VLOOKUP($A329,[1]彩未分析60315!$A:$M,8,0)</f>
        <v>57</v>
      </c>
      <c r="C329" s="4">
        <f>VLOOKUP($A329,[1]彩未分析60315!$A:$M,9,0)</f>
        <v>56</v>
      </c>
      <c r="D329" s="4">
        <f>VLOOKUP($A329,[1]彩未分析60315!$A:$M,10,0)</f>
        <v>55</v>
      </c>
      <c r="E329" s="4">
        <f>VLOOKUP($A329,[1]彩未分析60315!$A:$M,11,0)</f>
        <v>54</v>
      </c>
      <c r="F329" s="4">
        <f>VLOOKUP($A329,[1]彩未分析60315!$A:$M,12,0)</f>
        <v>53</v>
      </c>
      <c r="G329" s="4">
        <f>VLOOKUP($A329,[1]彩未分析60315!$A:$M,13,0)</f>
        <v>52</v>
      </c>
      <c r="H329" s="3" t="s">
        <v>39</v>
      </c>
      <c r="I329" s="3" t="s">
        <v>655</v>
      </c>
    </row>
    <row r="330" customHeight="1" spans="1:9">
      <c r="A330" s="4" t="s">
        <v>656</v>
      </c>
      <c r="B330" s="4">
        <f>VLOOKUP($A330,[1]彩未分析60315!$A:$M,8,0)</f>
        <v>30</v>
      </c>
      <c r="C330" s="4">
        <f>VLOOKUP($A330,[1]彩未分析60315!$A:$M,9,0)</f>
        <v>29</v>
      </c>
      <c r="D330" s="4">
        <f>VLOOKUP($A330,[1]彩未分析60315!$A:$M,10,0)</f>
        <v>28</v>
      </c>
      <c r="E330" s="4">
        <f>VLOOKUP($A330,[1]彩未分析60315!$A:$M,11,0)</f>
        <v>27</v>
      </c>
      <c r="F330" s="4">
        <f>VLOOKUP($A330,[1]彩未分析60315!$A:$M,12,0)</f>
        <v>26</v>
      </c>
      <c r="G330" s="4">
        <f>VLOOKUP($A330,[1]彩未分析60315!$A:$M,13,0)</f>
        <v>25</v>
      </c>
      <c r="H330" s="3" t="s">
        <v>10</v>
      </c>
      <c r="I330" s="3" t="s">
        <v>657</v>
      </c>
    </row>
    <row r="331" customHeight="1" spans="1:9">
      <c r="A331" s="4" t="s">
        <v>658</v>
      </c>
      <c r="B331" s="4">
        <f>VLOOKUP($A331,[1]彩未分析60315!$A:$M,8,0)</f>
        <v>48</v>
      </c>
      <c r="C331" s="4">
        <f>VLOOKUP($A331,[1]彩未分析60315!$A:$M,9,0)</f>
        <v>47</v>
      </c>
      <c r="D331" s="4">
        <f>VLOOKUP($A331,[1]彩未分析60315!$A:$M,10,0)</f>
        <v>46</v>
      </c>
      <c r="E331" s="4">
        <f>VLOOKUP($A331,[1]彩未分析60315!$A:$M,11,0)</f>
        <v>45</v>
      </c>
      <c r="F331" s="4">
        <f>VLOOKUP($A331,[1]彩未分析60315!$A:$M,12,0)</f>
        <v>45</v>
      </c>
      <c r="G331" s="4">
        <f>VLOOKUP($A331,[1]彩未分析60315!$A:$M,13,0)</f>
        <v>44</v>
      </c>
      <c r="H331" s="3" t="s">
        <v>39</v>
      </c>
      <c r="I331" s="3" t="s">
        <v>310</v>
      </c>
    </row>
    <row r="332" customHeight="1" spans="1:9">
      <c r="A332" s="4" t="s">
        <v>659</v>
      </c>
      <c r="B332" s="4">
        <f>VLOOKUP($A332,[1]彩未分析60315!$A:$M,8,0)</f>
        <v>38</v>
      </c>
      <c r="C332" s="4">
        <f>VLOOKUP($A332,[1]彩未分析60315!$A:$M,9,0)</f>
        <v>37</v>
      </c>
      <c r="D332" s="4">
        <f>VLOOKUP($A332,[1]彩未分析60315!$A:$M,10,0)</f>
        <v>35</v>
      </c>
      <c r="E332" s="4">
        <f>VLOOKUP($A332,[1]彩未分析60315!$A:$M,11,0)</f>
        <v>34</v>
      </c>
      <c r="F332" s="4">
        <f>VLOOKUP($A332,[1]彩未分析60315!$A:$M,12,0)</f>
        <v>32</v>
      </c>
      <c r="G332" s="4">
        <f>VLOOKUP($A332,[1]彩未分析60315!$A:$M,13,0)</f>
        <v>31</v>
      </c>
      <c r="H332" s="3" t="s">
        <v>10</v>
      </c>
      <c r="I332" s="3" t="s">
        <v>660</v>
      </c>
    </row>
    <row r="333" customHeight="1" spans="1:9">
      <c r="A333" s="4" t="s">
        <v>661</v>
      </c>
      <c r="B333" s="4">
        <f>VLOOKUP($A333,[1]彩未分析60315!$A:$M,8,0)</f>
        <v>44</v>
      </c>
      <c r="C333" s="4">
        <f>VLOOKUP($A333,[1]彩未分析60315!$A:$M,9,0)</f>
        <v>43</v>
      </c>
      <c r="D333" s="4">
        <f>VLOOKUP($A333,[1]彩未分析60315!$A:$M,10,0)</f>
        <v>41</v>
      </c>
      <c r="E333" s="4">
        <f>VLOOKUP($A333,[1]彩未分析60315!$A:$M,11,0)</f>
        <v>39</v>
      </c>
      <c r="F333" s="4">
        <f>VLOOKUP($A333,[1]彩未分析60315!$A:$M,12,0)</f>
        <v>38</v>
      </c>
      <c r="G333" s="4">
        <f>VLOOKUP($A333,[1]彩未分析60315!$A:$M,13,0)</f>
        <v>36</v>
      </c>
      <c r="H333" s="3" t="s">
        <v>10</v>
      </c>
      <c r="I333" s="3" t="s">
        <v>662</v>
      </c>
    </row>
    <row r="334" customHeight="1" spans="1:9">
      <c r="A334" s="4" t="s">
        <v>663</v>
      </c>
      <c r="B334" s="4">
        <f>VLOOKUP($A334,[1]彩未分析60315!$A:$M,8,0)</f>
        <v>39</v>
      </c>
      <c r="C334" s="4">
        <f>VLOOKUP($A334,[1]彩未分析60315!$A:$M,9,0)</f>
        <v>37</v>
      </c>
      <c r="D334" s="4">
        <f>VLOOKUP($A334,[1]彩未分析60315!$A:$M,10,0)</f>
        <v>36</v>
      </c>
      <c r="E334" s="4">
        <f>VLOOKUP($A334,[1]彩未分析60315!$A:$M,11,0)</f>
        <v>34</v>
      </c>
      <c r="F334" s="4">
        <f>VLOOKUP($A334,[1]彩未分析60315!$A:$M,12,0)</f>
        <v>33</v>
      </c>
      <c r="G334" s="4">
        <f>VLOOKUP($A334,[1]彩未分析60315!$A:$M,13,0)</f>
        <v>31</v>
      </c>
      <c r="H334" s="3" t="s">
        <v>10</v>
      </c>
      <c r="I334" s="3" t="s">
        <v>664</v>
      </c>
    </row>
    <row r="335" customHeight="1" spans="1:9">
      <c r="A335" s="4" t="s">
        <v>665</v>
      </c>
      <c r="B335" s="4">
        <f>VLOOKUP($A335,[1]彩未分析60315!$A:$M,8,0)</f>
        <v>89</v>
      </c>
      <c r="C335" s="4">
        <f>VLOOKUP($A335,[1]彩未分析60315!$A:$M,9,0)</f>
        <v>85</v>
      </c>
      <c r="D335" s="4">
        <f>VLOOKUP($A335,[1]彩未分析60315!$A:$M,10,0)</f>
        <v>82</v>
      </c>
      <c r="E335" s="4">
        <f>VLOOKUP($A335,[1]彩未分析60315!$A:$M,11,0)</f>
        <v>79</v>
      </c>
      <c r="F335" s="4">
        <f>VLOOKUP($A335,[1]彩未分析60315!$A:$M,12,0)</f>
        <v>76</v>
      </c>
      <c r="G335" s="4">
        <f>VLOOKUP($A335,[1]彩未分析60315!$A:$M,13,0)</f>
        <v>72</v>
      </c>
      <c r="H335" s="3" t="s">
        <v>10</v>
      </c>
      <c r="I335" s="3" t="s">
        <v>666</v>
      </c>
    </row>
    <row r="336" customHeight="1" spans="1:9">
      <c r="A336" s="4" t="s">
        <v>667</v>
      </c>
      <c r="B336" s="4">
        <f>VLOOKUP($A336,[1]彩未分析60315!$A:$M,8,0)</f>
        <v>48</v>
      </c>
      <c r="C336" s="4">
        <f>VLOOKUP($A336,[1]彩未分析60315!$A:$M,9,0)</f>
        <v>47</v>
      </c>
      <c r="D336" s="4">
        <f>VLOOKUP($A336,[1]彩未分析60315!$A:$M,10,0)</f>
        <v>46</v>
      </c>
      <c r="E336" s="4">
        <f>VLOOKUP($A336,[1]彩未分析60315!$A:$M,11,0)</f>
        <v>45</v>
      </c>
      <c r="F336" s="4">
        <f>VLOOKUP($A336,[1]彩未分析60315!$A:$M,12,0)</f>
        <v>45</v>
      </c>
      <c r="G336" s="4">
        <f>VLOOKUP($A336,[1]彩未分析60315!$A:$M,13,0)</f>
        <v>44</v>
      </c>
      <c r="H336" s="3" t="s">
        <v>39</v>
      </c>
      <c r="I336" s="3" t="s">
        <v>668</v>
      </c>
    </row>
    <row r="337" customHeight="1" spans="1:9">
      <c r="A337" s="4" t="s">
        <v>669</v>
      </c>
      <c r="B337" s="4">
        <f>VLOOKUP($A337,[1]彩未分析60315!$A:$M,8,0)</f>
        <v>22</v>
      </c>
      <c r="C337" s="4">
        <f>VLOOKUP($A337,[1]彩未分析60315!$A:$M,9,0)</f>
        <v>21</v>
      </c>
      <c r="D337" s="4">
        <f>VLOOKUP($A337,[1]彩未分析60315!$A:$M,10,0)</f>
        <v>20</v>
      </c>
      <c r="E337" s="4">
        <f>VLOOKUP($A337,[1]彩未分析60315!$A:$M,11,0)</f>
        <v>20</v>
      </c>
      <c r="F337" s="4">
        <f>VLOOKUP($A337,[1]彩未分析60315!$A:$M,12,0)</f>
        <v>19</v>
      </c>
      <c r="G337" s="4">
        <f>VLOOKUP($A337,[1]彩未分析60315!$A:$M,13,0)</f>
        <v>18</v>
      </c>
      <c r="H337" s="3" t="s">
        <v>10</v>
      </c>
      <c r="I337" s="3" t="s">
        <v>670</v>
      </c>
    </row>
    <row r="338" customHeight="1" spans="1:9">
      <c r="A338" s="4" t="s">
        <v>671</v>
      </c>
      <c r="B338" s="4">
        <f>VLOOKUP($A338,[1]彩未分析60315!$A:$M,8,0)</f>
        <v>55</v>
      </c>
      <c r="C338" s="4">
        <f>VLOOKUP($A338,[1]彩未分析60315!$A:$M,9,0)</f>
        <v>54</v>
      </c>
      <c r="D338" s="4">
        <f>VLOOKUP($A338,[1]彩未分析60315!$A:$M,10,0)</f>
        <v>53</v>
      </c>
      <c r="E338" s="4">
        <f>VLOOKUP($A338,[1]彩未分析60315!$A:$M,11,0)</f>
        <v>52</v>
      </c>
      <c r="F338" s="4">
        <f>VLOOKUP($A338,[1]彩未分析60315!$A:$M,12,0)</f>
        <v>52</v>
      </c>
      <c r="G338" s="4">
        <f>VLOOKUP($A338,[1]彩未分析60315!$A:$M,13,0)</f>
        <v>51</v>
      </c>
      <c r="H338" s="3" t="s">
        <v>39</v>
      </c>
      <c r="I338" s="3" t="s">
        <v>672</v>
      </c>
    </row>
    <row r="339" customHeight="1" spans="1:9">
      <c r="A339" s="4" t="s">
        <v>673</v>
      </c>
      <c r="B339" s="4">
        <f>VLOOKUP($A339,[1]彩未分析60315!$A:$M,8,0)</f>
        <v>37</v>
      </c>
      <c r="C339" s="4">
        <f>VLOOKUP($A339,[1]彩未分析60315!$A:$M,9,0)</f>
        <v>36</v>
      </c>
      <c r="D339" s="4">
        <f>VLOOKUP($A339,[1]彩未分析60315!$A:$M,10,0)</f>
        <v>34</v>
      </c>
      <c r="E339" s="4">
        <f>VLOOKUP($A339,[1]彩未分析60315!$A:$M,11,0)</f>
        <v>33</v>
      </c>
      <c r="F339" s="4">
        <f>VLOOKUP($A339,[1]彩未分析60315!$A:$M,12,0)</f>
        <v>32</v>
      </c>
      <c r="G339" s="4">
        <f>VLOOKUP($A339,[1]彩未分析60315!$A:$M,13,0)</f>
        <v>30</v>
      </c>
      <c r="H339" s="3" t="s">
        <v>10</v>
      </c>
      <c r="I339" s="3" t="s">
        <v>674</v>
      </c>
    </row>
    <row r="340" customHeight="1" spans="1:9">
      <c r="A340" s="4" t="s">
        <v>675</v>
      </c>
      <c r="B340" s="4">
        <f>VLOOKUP($A340,[1]彩未分析60315!$A:$M,8,0)</f>
        <v>26</v>
      </c>
      <c r="C340" s="4">
        <f>VLOOKUP($A340,[1]彩未分析60315!$A:$M,9,0)</f>
        <v>25</v>
      </c>
      <c r="D340" s="4">
        <f>VLOOKUP($A340,[1]彩未分析60315!$A:$M,10,0)</f>
        <v>24</v>
      </c>
      <c r="E340" s="4">
        <f>VLOOKUP($A340,[1]彩未分析60315!$A:$M,11,0)</f>
        <v>23</v>
      </c>
      <c r="F340" s="4">
        <f>VLOOKUP($A340,[1]彩未分析60315!$A:$M,12,0)</f>
        <v>22</v>
      </c>
      <c r="G340" s="4">
        <f>VLOOKUP($A340,[1]彩未分析60315!$A:$M,13,0)</f>
        <v>21</v>
      </c>
      <c r="H340" s="3" t="s">
        <v>10</v>
      </c>
      <c r="I340" s="3" t="s">
        <v>676</v>
      </c>
    </row>
    <row r="341" customHeight="1" spans="1:9">
      <c r="A341" s="4" t="s">
        <v>677</v>
      </c>
      <c r="B341" s="4">
        <f>VLOOKUP($A341,[1]彩未分析60315!$A:$M,8,0)</f>
        <v>37</v>
      </c>
      <c r="C341" s="4">
        <f>VLOOKUP($A341,[1]彩未分析60315!$A:$M,9,0)</f>
        <v>35</v>
      </c>
      <c r="D341" s="4">
        <f>VLOOKUP($A341,[1]彩未分析60315!$A:$M,10,0)</f>
        <v>34</v>
      </c>
      <c r="E341" s="4">
        <f>VLOOKUP($A341,[1]彩未分析60315!$A:$M,11,0)</f>
        <v>33</v>
      </c>
      <c r="F341" s="4">
        <f>VLOOKUP($A341,[1]彩未分析60315!$A:$M,12,0)</f>
        <v>31</v>
      </c>
      <c r="G341" s="4">
        <f>VLOOKUP($A341,[1]彩未分析60315!$A:$M,13,0)</f>
        <v>30</v>
      </c>
      <c r="H341" s="3" t="s">
        <v>10</v>
      </c>
      <c r="I341" s="3" t="s">
        <v>678</v>
      </c>
    </row>
    <row r="342" customHeight="1" spans="1:9">
      <c r="A342" s="4" t="s">
        <v>679</v>
      </c>
      <c r="B342" s="4">
        <f>VLOOKUP($A342,[1]彩未分析60315!$A:$M,8,0)</f>
        <v>35</v>
      </c>
      <c r="C342" s="4">
        <f>VLOOKUP($A342,[1]彩未分析60315!$A:$M,9,0)</f>
        <v>34</v>
      </c>
      <c r="D342" s="4">
        <f>VLOOKUP($A342,[1]彩未分析60315!$A:$M,10,0)</f>
        <v>32</v>
      </c>
      <c r="E342" s="4">
        <f>VLOOKUP($A342,[1]彩未分析60315!$A:$M,11,0)</f>
        <v>31</v>
      </c>
      <c r="F342" s="4">
        <f>VLOOKUP($A342,[1]彩未分析60315!$A:$M,12,0)</f>
        <v>30</v>
      </c>
      <c r="G342" s="4">
        <f>VLOOKUP($A342,[1]彩未分析60315!$A:$M,13,0)</f>
        <v>29</v>
      </c>
      <c r="H342" s="3" t="s">
        <v>10</v>
      </c>
      <c r="I342" s="3" t="s">
        <v>680</v>
      </c>
    </row>
    <row r="343" customHeight="1" spans="1:9">
      <c r="A343" s="4" t="s">
        <v>681</v>
      </c>
      <c r="B343" s="4">
        <f>VLOOKUP($A343,[1]彩未分析60315!$A:$M,8,0)</f>
        <v>24</v>
      </c>
      <c r="C343" s="4">
        <f>VLOOKUP($A343,[1]彩未分析60315!$A:$M,9,0)</f>
        <v>23</v>
      </c>
      <c r="D343" s="4">
        <f>VLOOKUP($A343,[1]彩未分析60315!$A:$M,10,0)</f>
        <v>22</v>
      </c>
      <c r="E343" s="4">
        <f>VLOOKUP($A343,[1]彩未分析60315!$A:$M,11,0)</f>
        <v>22</v>
      </c>
      <c r="F343" s="4">
        <f>VLOOKUP($A343,[1]彩未分析60315!$A:$M,12,0)</f>
        <v>21</v>
      </c>
      <c r="G343" s="4">
        <f>VLOOKUP($A343,[1]彩未分析60315!$A:$M,13,0)</f>
        <v>20</v>
      </c>
      <c r="H343" s="3" t="s">
        <v>10</v>
      </c>
      <c r="I343" s="3" t="s">
        <v>682</v>
      </c>
    </row>
    <row r="344" customHeight="1" spans="1:9">
      <c r="A344" s="4" t="s">
        <v>683</v>
      </c>
      <c r="B344" s="4">
        <f>VLOOKUP($A344,[1]彩未分析60315!$A:$M,8,0)</f>
        <v>53</v>
      </c>
      <c r="C344" s="4">
        <f>VLOOKUP($A344,[1]彩未分析60315!$A:$M,9,0)</f>
        <v>52</v>
      </c>
      <c r="D344" s="4">
        <f>VLOOKUP($A344,[1]彩未分析60315!$A:$M,10,0)</f>
        <v>51</v>
      </c>
      <c r="E344" s="4">
        <f>VLOOKUP($A344,[1]彩未分析60315!$A:$M,11,0)</f>
        <v>50</v>
      </c>
      <c r="F344" s="4">
        <f>VLOOKUP($A344,[1]彩未分析60315!$A:$M,12,0)</f>
        <v>50</v>
      </c>
      <c r="G344" s="4">
        <f>VLOOKUP($A344,[1]彩未分析60315!$A:$M,13,0)</f>
        <v>49</v>
      </c>
      <c r="H344" s="3" t="s">
        <v>39</v>
      </c>
      <c r="I344" s="3" t="s">
        <v>684</v>
      </c>
    </row>
    <row r="345" customHeight="1" spans="1:9">
      <c r="A345" s="4" t="s">
        <v>685</v>
      </c>
      <c r="B345" s="4">
        <f>VLOOKUP($A345,[1]彩未分析60315!$A:$M,8,0)</f>
        <v>37</v>
      </c>
      <c r="C345" s="4">
        <f>VLOOKUP($A345,[1]彩未分析60315!$A:$M,9,0)</f>
        <v>36</v>
      </c>
      <c r="D345" s="4">
        <f>VLOOKUP($A345,[1]彩未分析60315!$A:$M,10,0)</f>
        <v>35</v>
      </c>
      <c r="E345" s="4">
        <f>VLOOKUP($A345,[1]彩未分析60315!$A:$M,11,0)</f>
        <v>33</v>
      </c>
      <c r="F345" s="4">
        <f>VLOOKUP($A345,[1]彩未分析60315!$A:$M,12,0)</f>
        <v>32</v>
      </c>
      <c r="G345" s="4">
        <f>VLOOKUP($A345,[1]彩未分析60315!$A:$M,13,0)</f>
        <v>31</v>
      </c>
      <c r="H345" s="3" t="s">
        <v>10</v>
      </c>
      <c r="I345" s="3" t="s">
        <v>686</v>
      </c>
    </row>
    <row r="346" customHeight="1" spans="1:9">
      <c r="A346" s="4" t="s">
        <v>687</v>
      </c>
      <c r="B346" s="4">
        <f>VLOOKUP($A346,[1]彩未分析60315!$A:$M,8,0)</f>
        <v>33</v>
      </c>
      <c r="C346" s="4">
        <f>VLOOKUP($A346,[1]彩未分析60315!$A:$M,9,0)</f>
        <v>32</v>
      </c>
      <c r="D346" s="4">
        <f>VLOOKUP($A346,[1]彩未分析60315!$A:$M,10,0)</f>
        <v>31</v>
      </c>
      <c r="E346" s="4">
        <f>VLOOKUP($A346,[1]彩未分析60315!$A:$M,11,0)</f>
        <v>30</v>
      </c>
      <c r="F346" s="4">
        <f>VLOOKUP($A346,[1]彩未分析60315!$A:$M,12,0)</f>
        <v>28</v>
      </c>
      <c r="G346" s="4">
        <f>VLOOKUP($A346,[1]彩未分析60315!$A:$M,13,0)</f>
        <v>27</v>
      </c>
      <c r="H346" s="3" t="s">
        <v>10</v>
      </c>
      <c r="I346" s="3" t="s">
        <v>688</v>
      </c>
    </row>
    <row r="347" customHeight="1" spans="1:9">
      <c r="A347" s="4" t="s">
        <v>689</v>
      </c>
      <c r="B347" s="4">
        <f>VLOOKUP($A347,[1]彩未分析60315!$A:$M,8,0)</f>
        <v>23</v>
      </c>
      <c r="C347" s="4">
        <f>VLOOKUP($A347,[1]彩未分析60315!$A:$M,9,0)</f>
        <v>22</v>
      </c>
      <c r="D347" s="4">
        <f>VLOOKUP($A347,[1]彩未分析60315!$A:$M,10,0)</f>
        <v>21</v>
      </c>
      <c r="E347" s="4">
        <f>VLOOKUP($A347,[1]彩未分析60315!$A:$M,11,0)</f>
        <v>20</v>
      </c>
      <c r="F347" s="4">
        <f>VLOOKUP($A347,[1]彩未分析60315!$A:$M,12,0)</f>
        <v>20</v>
      </c>
      <c r="G347" s="4">
        <f>VLOOKUP($A347,[1]彩未分析60315!$A:$M,13,0)</f>
        <v>19</v>
      </c>
      <c r="H347" s="3" t="s">
        <v>10</v>
      </c>
      <c r="I347" s="3" t="s">
        <v>690</v>
      </c>
    </row>
    <row r="348" customHeight="1" spans="1:9">
      <c r="A348" s="4" t="s">
        <v>691</v>
      </c>
      <c r="B348" s="4">
        <f>VLOOKUP($A348,[1]彩未分析60315!$A:$M,8,0)</f>
        <v>27</v>
      </c>
      <c r="C348" s="4">
        <f>VLOOKUP($A348,[1]彩未分析60315!$A:$M,9,0)</f>
        <v>26</v>
      </c>
      <c r="D348" s="4">
        <f>VLOOKUP($A348,[1]彩未分析60315!$A:$M,10,0)</f>
        <v>25</v>
      </c>
      <c r="E348" s="4">
        <f>VLOOKUP($A348,[1]彩未分析60315!$A:$M,11,0)</f>
        <v>24</v>
      </c>
      <c r="F348" s="4">
        <f>VLOOKUP($A348,[1]彩未分析60315!$A:$M,12,0)</f>
        <v>23</v>
      </c>
      <c r="G348" s="4">
        <f>VLOOKUP($A348,[1]彩未分析60315!$A:$M,13,0)</f>
        <v>22</v>
      </c>
      <c r="H348" s="3" t="s">
        <v>10</v>
      </c>
      <c r="I348" s="3" t="s">
        <v>692</v>
      </c>
    </row>
    <row r="349" customHeight="1" spans="1:9">
      <c r="A349" s="4" t="s">
        <v>693</v>
      </c>
      <c r="B349" s="4">
        <f>VLOOKUP($A349,[1]彩未分析60315!$A:$M,8,0)</f>
        <v>33</v>
      </c>
      <c r="C349" s="4">
        <f>VLOOKUP($A349,[1]彩未分析60315!$A:$M,9,0)</f>
        <v>31</v>
      </c>
      <c r="D349" s="4">
        <f>VLOOKUP($A349,[1]彩未分析60315!$A:$M,10,0)</f>
        <v>30</v>
      </c>
      <c r="E349" s="4">
        <f>VLOOKUP($A349,[1]彩未分析60315!$A:$M,11,0)</f>
        <v>29</v>
      </c>
      <c r="F349" s="4">
        <f>VLOOKUP($A349,[1]彩未分析60315!$A:$M,12,0)</f>
        <v>28</v>
      </c>
      <c r="G349" s="4">
        <f>VLOOKUP($A349,[1]彩未分析60315!$A:$M,13,0)</f>
        <v>27</v>
      </c>
      <c r="H349" s="3" t="s">
        <v>10</v>
      </c>
      <c r="I349" s="3" t="s">
        <v>694</v>
      </c>
    </row>
    <row r="350" customHeight="1" spans="1:9">
      <c r="A350" s="4" t="s">
        <v>695</v>
      </c>
      <c r="B350" s="4">
        <f>VLOOKUP($A350,[1]彩未分析60315!$A:$M,8,0)</f>
        <v>21</v>
      </c>
      <c r="C350" s="4">
        <f>VLOOKUP($A350,[1]彩未分析60315!$A:$M,9,0)</f>
        <v>20</v>
      </c>
      <c r="D350" s="4">
        <f>VLOOKUP($A350,[1]彩未分析60315!$A:$M,10,0)</f>
        <v>19</v>
      </c>
      <c r="E350" s="4">
        <f>VLOOKUP($A350,[1]彩未分析60315!$A:$M,11,0)</f>
        <v>18</v>
      </c>
      <c r="F350" s="4">
        <f>VLOOKUP($A350,[1]彩未分析60315!$A:$M,12,0)</f>
        <v>18</v>
      </c>
      <c r="G350" s="4">
        <f>VLOOKUP($A350,[1]彩未分析60315!$A:$M,13,0)</f>
        <v>17</v>
      </c>
      <c r="H350" s="3" t="s">
        <v>10</v>
      </c>
      <c r="I350" s="3" t="s">
        <v>497</v>
      </c>
    </row>
    <row r="351" customHeight="1" spans="1:9">
      <c r="A351" s="4" t="s">
        <v>696</v>
      </c>
      <c r="B351" s="4">
        <f>VLOOKUP($A351,[1]彩未分析60315!$A:$M,8,0)</f>
        <v>25</v>
      </c>
      <c r="C351" s="4">
        <f>VLOOKUP($A351,[1]彩未分析60315!$A:$M,9,0)</f>
        <v>24</v>
      </c>
      <c r="D351" s="4">
        <f>VLOOKUP($A351,[1]彩未分析60315!$A:$M,10,0)</f>
        <v>23</v>
      </c>
      <c r="E351" s="4">
        <f>VLOOKUP($A351,[1]彩未分析60315!$A:$M,11,0)</f>
        <v>22</v>
      </c>
      <c r="F351" s="4">
        <f>VLOOKUP($A351,[1]彩未分析60315!$A:$M,12,0)</f>
        <v>21</v>
      </c>
      <c r="G351" s="4">
        <f>VLOOKUP($A351,[1]彩未分析60315!$A:$M,13,0)</f>
        <v>20</v>
      </c>
      <c r="H351" s="3" t="s">
        <v>10</v>
      </c>
      <c r="I351" s="3" t="s">
        <v>697</v>
      </c>
    </row>
    <row r="352" customHeight="1" spans="1:9">
      <c r="A352" s="4" t="s">
        <v>698</v>
      </c>
      <c r="B352" s="4">
        <f>VLOOKUP($A352,[1]彩未分析60315!$A:$M,8,0)</f>
        <v>35</v>
      </c>
      <c r="C352" s="4">
        <f>VLOOKUP($A352,[1]彩未分析60315!$A:$M,9,0)</f>
        <v>34</v>
      </c>
      <c r="D352" s="4">
        <f>VLOOKUP($A352,[1]彩未分析60315!$A:$M,10,0)</f>
        <v>33</v>
      </c>
      <c r="E352" s="4">
        <f>VLOOKUP($A352,[1]彩未分析60315!$A:$M,11,0)</f>
        <v>31</v>
      </c>
      <c r="F352" s="4">
        <f>VLOOKUP($A352,[1]彩未分析60315!$A:$M,12,0)</f>
        <v>30</v>
      </c>
      <c r="G352" s="4">
        <f>VLOOKUP($A352,[1]彩未分析60315!$A:$M,13,0)</f>
        <v>29</v>
      </c>
      <c r="H352" s="3" t="s">
        <v>10</v>
      </c>
      <c r="I352" s="3" t="s">
        <v>699</v>
      </c>
    </row>
    <row r="353" customHeight="1" spans="1:9">
      <c r="A353" s="4" t="s">
        <v>700</v>
      </c>
      <c r="B353" s="4">
        <f>VLOOKUP($A353,[1]彩未分析60315!$A:$M,8,0)</f>
        <v>43</v>
      </c>
      <c r="C353" s="4">
        <f>VLOOKUP($A353,[1]彩未分析60315!$A:$M,9,0)</f>
        <v>41</v>
      </c>
      <c r="D353" s="4">
        <f>VLOOKUP($A353,[1]彩未分析60315!$A:$M,10,0)</f>
        <v>39</v>
      </c>
      <c r="E353" s="4">
        <f>VLOOKUP($A353,[1]彩未分析60315!$A:$M,11,0)</f>
        <v>38</v>
      </c>
      <c r="F353" s="4">
        <f>VLOOKUP($A353,[1]彩未分析60315!$A:$M,12,0)</f>
        <v>36</v>
      </c>
      <c r="G353" s="4">
        <f>VLOOKUP($A353,[1]彩未分析60315!$A:$M,13,0)</f>
        <v>35</v>
      </c>
      <c r="H353" s="3" t="s">
        <v>10</v>
      </c>
      <c r="I353" s="3" t="s">
        <v>701</v>
      </c>
    </row>
    <row r="354" customHeight="1" spans="1:9">
      <c r="A354" s="4" t="s">
        <v>702</v>
      </c>
      <c r="B354" s="4">
        <f>VLOOKUP($A354,[1]彩未分析60315!$A:$M,8,0)</f>
        <v>38</v>
      </c>
      <c r="C354" s="4">
        <f>VLOOKUP($A354,[1]彩未分析60315!$A:$M,9,0)</f>
        <v>37</v>
      </c>
      <c r="D354" s="4">
        <f>VLOOKUP($A354,[1]彩未分析60315!$A:$M,10,0)</f>
        <v>36</v>
      </c>
      <c r="E354" s="4">
        <f>VLOOKUP($A354,[1]彩未分析60315!$A:$M,11,0)</f>
        <v>34</v>
      </c>
      <c r="F354" s="4">
        <f>VLOOKUP($A354,[1]彩未分析60315!$A:$M,12,0)</f>
        <v>33</v>
      </c>
      <c r="G354" s="4">
        <f>VLOOKUP($A354,[1]彩未分析60315!$A:$M,13,0)</f>
        <v>31</v>
      </c>
      <c r="H354" s="3" t="s">
        <v>10</v>
      </c>
      <c r="I354" s="3" t="s">
        <v>703</v>
      </c>
    </row>
    <row r="355" customHeight="1" spans="1:9">
      <c r="A355" s="4" t="s">
        <v>704</v>
      </c>
      <c r="B355" s="4">
        <f>VLOOKUP($A355,[1]彩未分析60315!$A:$M,8,0)</f>
        <v>30</v>
      </c>
      <c r="C355" s="4">
        <f>VLOOKUP($A355,[1]彩未分析60315!$A:$M,9,0)</f>
        <v>29</v>
      </c>
      <c r="D355" s="4">
        <f>VLOOKUP($A355,[1]彩未分析60315!$A:$M,10,0)</f>
        <v>28</v>
      </c>
      <c r="E355" s="4">
        <f>VLOOKUP($A355,[1]彩未分析60315!$A:$M,11,0)</f>
        <v>27</v>
      </c>
      <c r="F355" s="4">
        <f>VLOOKUP($A355,[1]彩未分析60315!$A:$M,12,0)</f>
        <v>26</v>
      </c>
      <c r="G355" s="4">
        <f>VLOOKUP($A355,[1]彩未分析60315!$A:$M,13,0)</f>
        <v>25</v>
      </c>
      <c r="H355" s="3" t="s">
        <v>10</v>
      </c>
      <c r="I355" s="3" t="s">
        <v>705</v>
      </c>
    </row>
    <row r="356" customHeight="1" spans="1:9">
      <c r="A356" s="4" t="s">
        <v>706</v>
      </c>
      <c r="B356" s="4">
        <f>VLOOKUP($A356,[1]彩未分析60315!$A:$M,8,0)</f>
        <v>83</v>
      </c>
      <c r="C356" s="4">
        <f>VLOOKUP($A356,[1]彩未分析60315!$A:$M,9,0)</f>
        <v>80</v>
      </c>
      <c r="D356" s="4">
        <f>VLOOKUP($A356,[1]彩未分析60315!$A:$M,10,0)</f>
        <v>77</v>
      </c>
      <c r="E356" s="4">
        <f>VLOOKUP($A356,[1]彩未分析60315!$A:$M,11,0)</f>
        <v>74</v>
      </c>
      <c r="F356" s="4">
        <f>VLOOKUP($A356,[1]彩未分析60315!$A:$M,12,0)</f>
        <v>71</v>
      </c>
      <c r="G356" s="4">
        <f>VLOOKUP($A356,[1]彩未分析60315!$A:$M,13,0)</f>
        <v>68</v>
      </c>
      <c r="H356" s="3" t="s">
        <v>10</v>
      </c>
      <c r="I356" s="3" t="s">
        <v>616</v>
      </c>
    </row>
    <row r="357" customHeight="1" spans="1:9">
      <c r="A357" s="4" t="s">
        <v>707</v>
      </c>
      <c r="B357" s="4">
        <f>VLOOKUP($A357,[1]彩未分析60315!$A:$M,8,0)</f>
        <v>60</v>
      </c>
      <c r="C357" s="4">
        <f>VLOOKUP($A357,[1]彩未分析60315!$A:$M,9,0)</f>
        <v>59</v>
      </c>
      <c r="D357" s="4">
        <f>VLOOKUP($A357,[1]彩未分析60315!$A:$M,10,0)</f>
        <v>58</v>
      </c>
      <c r="E357" s="4">
        <f>VLOOKUP($A357,[1]彩未分析60315!$A:$M,11,0)</f>
        <v>57</v>
      </c>
      <c r="F357" s="4">
        <f>VLOOKUP($A357,[1]彩未分析60315!$A:$M,12,0)</f>
        <v>57</v>
      </c>
      <c r="G357" s="4">
        <f>VLOOKUP($A357,[1]彩未分析60315!$A:$M,13,0)</f>
        <v>56</v>
      </c>
      <c r="H357" s="3" t="s">
        <v>39</v>
      </c>
      <c r="I357" s="3" t="s">
        <v>708</v>
      </c>
    </row>
    <row r="358" customHeight="1" spans="1:9">
      <c r="A358" s="4" t="s">
        <v>709</v>
      </c>
      <c r="B358" s="4">
        <f>VLOOKUP($A358,[1]彩未分析60315!$A:$M,8,0)</f>
        <v>48</v>
      </c>
      <c r="C358" s="4">
        <f>VLOOKUP($A358,[1]彩未分析60315!$A:$M,9,0)</f>
        <v>47</v>
      </c>
      <c r="D358" s="4">
        <f>VLOOKUP($A358,[1]彩未分析60315!$A:$M,10,0)</f>
        <v>46</v>
      </c>
      <c r="E358" s="4">
        <f>VLOOKUP($A358,[1]彩未分析60315!$A:$M,11,0)</f>
        <v>45</v>
      </c>
      <c r="F358" s="4">
        <f>VLOOKUP($A358,[1]彩未分析60315!$A:$M,12,0)</f>
        <v>45</v>
      </c>
      <c r="G358" s="4">
        <f>VLOOKUP($A358,[1]彩未分析60315!$A:$M,13,0)</f>
        <v>44</v>
      </c>
      <c r="H358" s="3" t="s">
        <v>39</v>
      </c>
      <c r="I358" s="3" t="s">
        <v>710</v>
      </c>
    </row>
    <row r="359" customHeight="1" spans="1:9">
      <c r="A359" s="4" t="s">
        <v>711</v>
      </c>
      <c r="B359" s="4">
        <f>VLOOKUP($A359,[1]彩未分析60315!$A:$M,8,0)</f>
        <v>193</v>
      </c>
      <c r="C359" s="4">
        <f>VLOOKUP($A359,[1]彩未分析60315!$A:$M,9,0)</f>
        <v>186</v>
      </c>
      <c r="D359" s="4">
        <f>VLOOKUP($A359,[1]彩未分析60315!$A:$M,10,0)</f>
        <v>179</v>
      </c>
      <c r="E359" s="4">
        <f>VLOOKUP($A359,[1]彩未分析60315!$A:$M,11,0)</f>
        <v>172</v>
      </c>
      <c r="F359" s="4">
        <f>VLOOKUP($A359,[1]彩未分析60315!$A:$M,12,0)</f>
        <v>165</v>
      </c>
      <c r="G359" s="4">
        <f>VLOOKUP($A359,[1]彩未分析60315!$A:$M,13,0)</f>
        <v>158</v>
      </c>
      <c r="H359" s="3" t="s">
        <v>10</v>
      </c>
      <c r="I359" s="3" t="s">
        <v>712</v>
      </c>
    </row>
    <row r="360" customHeight="1" spans="1:9">
      <c r="A360" s="4" t="s">
        <v>713</v>
      </c>
      <c r="B360" s="4">
        <f>VLOOKUP($A360,[1]彩未分析60315!$A:$M,8,0)</f>
        <v>29</v>
      </c>
      <c r="C360" s="4">
        <f>VLOOKUP($A360,[1]彩未分析60315!$A:$M,9,0)</f>
        <v>28</v>
      </c>
      <c r="D360" s="4">
        <f>VLOOKUP($A360,[1]彩未分析60315!$A:$M,10,0)</f>
        <v>27</v>
      </c>
      <c r="E360" s="4">
        <f>VLOOKUP($A360,[1]彩未分析60315!$A:$M,11,0)</f>
        <v>26</v>
      </c>
      <c r="F360" s="4">
        <f>VLOOKUP($A360,[1]彩未分析60315!$A:$M,12,0)</f>
        <v>25</v>
      </c>
      <c r="G360" s="4">
        <f>VLOOKUP($A360,[1]彩未分析60315!$A:$M,13,0)</f>
        <v>24</v>
      </c>
      <c r="H360" s="3" t="s">
        <v>10</v>
      </c>
      <c r="I360" s="3" t="s">
        <v>714</v>
      </c>
    </row>
    <row r="361" customHeight="1" spans="1:9">
      <c r="A361" s="4" t="s">
        <v>715</v>
      </c>
      <c r="B361" s="4">
        <f>VLOOKUP($A361,[1]彩未分析60315!$A:$M,8,0)</f>
        <v>171</v>
      </c>
      <c r="C361" s="4">
        <f>VLOOKUP($A361,[1]彩未分析60315!$A:$M,9,0)</f>
        <v>168</v>
      </c>
      <c r="D361" s="4">
        <f>VLOOKUP($A361,[1]彩未分析60315!$A:$M,10,0)</f>
        <v>165</v>
      </c>
      <c r="E361" s="4">
        <f>VLOOKUP($A361,[1]彩未分析60315!$A:$M,11,0)</f>
        <v>162</v>
      </c>
      <c r="F361" s="4">
        <f>VLOOKUP($A361,[1]彩未分析60315!$A:$M,12,0)</f>
        <v>161</v>
      </c>
      <c r="G361" s="4">
        <f>VLOOKUP($A361,[1]彩未分析60315!$A:$M,13,0)</f>
        <v>158</v>
      </c>
      <c r="H361" s="3" t="s">
        <v>39</v>
      </c>
      <c r="I361" s="3" t="s">
        <v>716</v>
      </c>
    </row>
    <row r="362" customHeight="1" spans="1:9">
      <c r="A362" s="4" t="s">
        <v>717</v>
      </c>
      <c r="B362" s="4">
        <f>VLOOKUP($A362,[1]彩未分析60315!$A:$M,8,0)</f>
        <v>38</v>
      </c>
      <c r="C362" s="4">
        <f>VLOOKUP($A362,[1]彩未分析60315!$A:$M,9,0)</f>
        <v>36</v>
      </c>
      <c r="D362" s="4">
        <f>VLOOKUP($A362,[1]彩未分析60315!$A:$M,10,0)</f>
        <v>35</v>
      </c>
      <c r="E362" s="4">
        <f>VLOOKUP($A362,[1]彩未分析60315!$A:$M,11,0)</f>
        <v>34</v>
      </c>
      <c r="F362" s="4">
        <f>VLOOKUP($A362,[1]彩未分析60315!$A:$M,12,0)</f>
        <v>32</v>
      </c>
      <c r="G362" s="4">
        <f>VLOOKUP($A362,[1]彩未分析60315!$A:$M,13,0)</f>
        <v>31</v>
      </c>
      <c r="H362" s="3" t="s">
        <v>10</v>
      </c>
      <c r="I362" s="3" t="s">
        <v>718</v>
      </c>
    </row>
    <row r="363" customHeight="1" spans="1:9">
      <c r="A363" s="4" t="s">
        <v>719</v>
      </c>
      <c r="B363" s="4">
        <f>VLOOKUP($A363,[1]彩未分析60315!$A:$M,8,0)</f>
        <v>43</v>
      </c>
      <c r="C363" s="4">
        <f>VLOOKUP($A363,[1]彩未分析60315!$A:$M,9,0)</f>
        <v>42</v>
      </c>
      <c r="D363" s="4">
        <f>VLOOKUP($A363,[1]彩未分析60315!$A:$M,10,0)</f>
        <v>40</v>
      </c>
      <c r="E363" s="4">
        <f>VLOOKUP($A363,[1]彩未分析60315!$A:$M,11,0)</f>
        <v>38</v>
      </c>
      <c r="F363" s="4">
        <f>VLOOKUP($A363,[1]彩未分析60315!$A:$M,12,0)</f>
        <v>37</v>
      </c>
      <c r="G363" s="4">
        <f>VLOOKUP($A363,[1]彩未分析60315!$A:$M,13,0)</f>
        <v>35</v>
      </c>
      <c r="H363" s="3" t="s">
        <v>10</v>
      </c>
      <c r="I363" s="3" t="s">
        <v>720</v>
      </c>
    </row>
    <row r="364" customHeight="1" spans="1:9">
      <c r="A364" s="4" t="s">
        <v>721</v>
      </c>
      <c r="B364" s="4">
        <f>VLOOKUP($A364,[1]彩未分析60315!$A:$M,8,0)</f>
        <v>35</v>
      </c>
      <c r="C364" s="4">
        <f>VLOOKUP($A364,[1]彩未分析60315!$A:$M,9,0)</f>
        <v>34</v>
      </c>
      <c r="D364" s="4">
        <f>VLOOKUP($A364,[1]彩未分析60315!$A:$M,10,0)</f>
        <v>33</v>
      </c>
      <c r="E364" s="4">
        <f>VLOOKUP($A364,[1]彩未分析60315!$A:$M,11,0)</f>
        <v>31</v>
      </c>
      <c r="F364" s="4">
        <f>VLOOKUP($A364,[1]彩未分析60315!$A:$M,12,0)</f>
        <v>30</v>
      </c>
      <c r="G364" s="4">
        <f>VLOOKUP($A364,[1]彩未分析60315!$A:$M,13,0)</f>
        <v>29</v>
      </c>
      <c r="H364" s="3" t="s">
        <v>10</v>
      </c>
      <c r="I364" s="3" t="s">
        <v>722</v>
      </c>
    </row>
    <row r="365" customHeight="1" spans="1:9">
      <c r="A365" s="4" t="s">
        <v>723</v>
      </c>
      <c r="B365" s="4">
        <f>VLOOKUP($A365,[1]彩未分析60315!$A:$M,8,0)</f>
        <v>56</v>
      </c>
      <c r="C365" s="4">
        <f>VLOOKUP($A365,[1]彩未分析60315!$A:$M,9,0)</f>
        <v>55</v>
      </c>
      <c r="D365" s="4">
        <f>VLOOKUP($A365,[1]彩未分析60315!$A:$M,10,0)</f>
        <v>54</v>
      </c>
      <c r="E365" s="4">
        <f>VLOOKUP($A365,[1]彩未分析60315!$A:$M,11,0)</f>
        <v>53</v>
      </c>
      <c r="F365" s="4">
        <f>VLOOKUP($A365,[1]彩未分析60315!$A:$M,12,0)</f>
        <v>53</v>
      </c>
      <c r="G365" s="4">
        <f>VLOOKUP($A365,[1]彩未分析60315!$A:$M,13,0)</f>
        <v>52</v>
      </c>
      <c r="H365" s="3" t="s">
        <v>39</v>
      </c>
      <c r="I365" s="3" t="s">
        <v>724</v>
      </c>
    </row>
    <row r="366" customHeight="1" spans="1:9">
      <c r="A366" s="4" t="s">
        <v>725</v>
      </c>
      <c r="B366" s="4">
        <f>VLOOKUP($A366,[1]彩未分析60315!$A:$M,8,0)</f>
        <v>53</v>
      </c>
      <c r="C366" s="4">
        <f>VLOOKUP($A366,[1]彩未分析60315!$A:$M,9,0)</f>
        <v>51</v>
      </c>
      <c r="D366" s="4">
        <f>VLOOKUP($A366,[1]彩未分析60315!$A:$M,10,0)</f>
        <v>49</v>
      </c>
      <c r="E366" s="4">
        <f>VLOOKUP($A366,[1]彩未分析60315!$A:$M,11,0)</f>
        <v>47</v>
      </c>
      <c r="F366" s="4">
        <f>VLOOKUP($A366,[1]彩未分析60315!$A:$M,12,0)</f>
        <v>45</v>
      </c>
      <c r="G366" s="4">
        <f>VLOOKUP($A366,[1]彩未分析60315!$A:$M,13,0)</f>
        <v>43</v>
      </c>
      <c r="H366" s="3" t="s">
        <v>10</v>
      </c>
      <c r="I366" s="3" t="s">
        <v>726</v>
      </c>
    </row>
    <row r="367" customHeight="1" spans="1:9">
      <c r="A367" s="4" t="s">
        <v>727</v>
      </c>
      <c r="B367" s="4">
        <f>VLOOKUP($A367,[1]彩未分析60315!$A:$M,8,0)</f>
        <v>116</v>
      </c>
      <c r="C367" s="4">
        <f>VLOOKUP($A367,[1]彩未分析60315!$A:$M,9,0)</f>
        <v>114</v>
      </c>
      <c r="D367" s="4">
        <f>VLOOKUP($A367,[1]彩未分析60315!$A:$M,10,0)</f>
        <v>112</v>
      </c>
      <c r="E367" s="4">
        <f>VLOOKUP($A367,[1]彩未分析60315!$A:$M,11,0)</f>
        <v>110</v>
      </c>
      <c r="F367" s="4">
        <f>VLOOKUP($A367,[1]彩未分析60315!$A:$M,12,0)</f>
        <v>109</v>
      </c>
      <c r="G367" s="4">
        <f>VLOOKUP($A367,[1]彩未分析60315!$A:$M,13,0)</f>
        <v>108</v>
      </c>
      <c r="H367" s="3" t="s">
        <v>39</v>
      </c>
      <c r="I367" s="3" t="s">
        <v>728</v>
      </c>
    </row>
    <row r="368" customHeight="1" spans="1:9">
      <c r="A368" s="4" t="s">
        <v>729</v>
      </c>
      <c r="B368" s="4">
        <f>VLOOKUP($A368,[1]彩未分析60315!$A:$M,8,0)</f>
        <v>31</v>
      </c>
      <c r="C368" s="4">
        <f>VLOOKUP($A368,[1]彩未分析60315!$A:$M,9,0)</f>
        <v>30</v>
      </c>
      <c r="D368" s="4">
        <f>VLOOKUP($A368,[1]彩未分析60315!$A:$M,10,0)</f>
        <v>29</v>
      </c>
      <c r="E368" s="4">
        <f>VLOOKUP($A368,[1]彩未分析60315!$A:$M,11,0)</f>
        <v>28</v>
      </c>
      <c r="F368" s="4">
        <f>VLOOKUP($A368,[1]彩未分析60315!$A:$M,12,0)</f>
        <v>26</v>
      </c>
      <c r="G368" s="4">
        <f>VLOOKUP($A368,[1]彩未分析60315!$A:$M,13,0)</f>
        <v>25</v>
      </c>
      <c r="H368" s="3" t="s">
        <v>10</v>
      </c>
      <c r="I368" s="3" t="s">
        <v>730</v>
      </c>
    </row>
    <row r="369" customHeight="1" spans="1:9">
      <c r="A369" s="4" t="s">
        <v>731</v>
      </c>
      <c r="B369" s="4">
        <f>VLOOKUP($A369,[1]彩未分析60315!$A:$M,8,0)</f>
        <v>25</v>
      </c>
      <c r="C369" s="4">
        <f>VLOOKUP($A369,[1]彩未分析60315!$A:$M,9,0)</f>
        <v>24</v>
      </c>
      <c r="D369" s="4">
        <f>VLOOKUP($A369,[1]彩未分析60315!$A:$M,10,0)</f>
        <v>23</v>
      </c>
      <c r="E369" s="4">
        <f>VLOOKUP($A369,[1]彩未分析60315!$A:$M,11,0)</f>
        <v>22</v>
      </c>
      <c r="F369" s="4">
        <f>VLOOKUP($A369,[1]彩未分析60315!$A:$M,12,0)</f>
        <v>21</v>
      </c>
      <c r="G369" s="4">
        <f>VLOOKUP($A369,[1]彩未分析60315!$A:$M,13,0)</f>
        <v>20</v>
      </c>
      <c r="H369" s="3" t="s">
        <v>10</v>
      </c>
      <c r="I369" s="3" t="s">
        <v>732</v>
      </c>
    </row>
    <row r="370" customHeight="1" spans="1:9">
      <c r="A370" s="4" t="s">
        <v>733</v>
      </c>
      <c r="B370" s="4">
        <f>VLOOKUP($A370,[1]彩未分析60315!$A:$M,8,0)</f>
        <v>31</v>
      </c>
      <c r="C370" s="4">
        <f>VLOOKUP($A370,[1]彩未分析60315!$A:$M,9,0)</f>
        <v>30</v>
      </c>
      <c r="D370" s="4">
        <f>VLOOKUP($A370,[1]彩未分析60315!$A:$M,10,0)</f>
        <v>29</v>
      </c>
      <c r="E370" s="4">
        <f>VLOOKUP($A370,[1]彩未分析60315!$A:$M,11,0)</f>
        <v>28</v>
      </c>
      <c r="F370" s="4">
        <f>VLOOKUP($A370,[1]彩未分析60315!$A:$M,12,0)</f>
        <v>27</v>
      </c>
      <c r="G370" s="4">
        <f>VLOOKUP($A370,[1]彩未分析60315!$A:$M,13,0)</f>
        <v>26</v>
      </c>
      <c r="H370" s="3" t="s">
        <v>10</v>
      </c>
      <c r="I370" s="3" t="s">
        <v>734</v>
      </c>
    </row>
    <row r="371" customHeight="1" spans="1:9">
      <c r="A371" s="4" t="s">
        <v>735</v>
      </c>
      <c r="B371" s="4">
        <f>VLOOKUP($A371,[1]彩未分析60315!$A:$M,8,0)</f>
        <v>61</v>
      </c>
      <c r="C371" s="4">
        <f>VLOOKUP($A371,[1]彩未分析60315!$A:$M,9,0)</f>
        <v>59</v>
      </c>
      <c r="D371" s="4">
        <f>VLOOKUP($A371,[1]彩未分析60315!$A:$M,10,0)</f>
        <v>57</v>
      </c>
      <c r="E371" s="4">
        <f>VLOOKUP($A371,[1]彩未分析60315!$A:$M,11,0)</f>
        <v>55</v>
      </c>
      <c r="F371" s="4">
        <f>VLOOKUP($A371,[1]彩未分析60315!$A:$M,12,0)</f>
        <v>52</v>
      </c>
      <c r="G371" s="4">
        <f>VLOOKUP($A371,[1]彩未分析60315!$A:$M,13,0)</f>
        <v>50</v>
      </c>
      <c r="H371" s="3" t="s">
        <v>10</v>
      </c>
      <c r="I371" s="3" t="s">
        <v>736</v>
      </c>
    </row>
    <row r="372" customHeight="1" spans="1:9">
      <c r="A372" s="4" t="s">
        <v>737</v>
      </c>
      <c r="B372" s="4">
        <f>VLOOKUP($A372,[1]彩未分析60315!$A:$M,8,0)</f>
        <v>40</v>
      </c>
      <c r="C372" s="4">
        <f>VLOOKUP($A372,[1]彩未分析60315!$A:$M,9,0)</f>
        <v>38</v>
      </c>
      <c r="D372" s="4">
        <f>VLOOKUP($A372,[1]彩未分析60315!$A:$M,10,0)</f>
        <v>37</v>
      </c>
      <c r="E372" s="4">
        <f>VLOOKUP($A372,[1]彩未分析60315!$A:$M,11,0)</f>
        <v>35</v>
      </c>
      <c r="F372" s="4">
        <f>VLOOKUP($A372,[1]彩未分析60315!$A:$M,12,0)</f>
        <v>34</v>
      </c>
      <c r="G372" s="4">
        <f>VLOOKUP($A372,[1]彩未分析60315!$A:$M,13,0)</f>
        <v>32</v>
      </c>
      <c r="H372" s="3" t="s">
        <v>10</v>
      </c>
      <c r="I372" s="3" t="s">
        <v>738</v>
      </c>
    </row>
    <row r="373" customHeight="1" spans="1:9">
      <c r="A373" s="4" t="s">
        <v>739</v>
      </c>
      <c r="B373" s="4">
        <f>VLOOKUP($A373,[1]彩未分析60315!$A:$M,8,0)</f>
        <v>76</v>
      </c>
      <c r="C373" s="4">
        <f>VLOOKUP($A373,[1]彩未分析60315!$A:$M,9,0)</f>
        <v>73</v>
      </c>
      <c r="D373" s="4">
        <f>VLOOKUP($A373,[1]彩未分析60315!$A:$M,10,0)</f>
        <v>70</v>
      </c>
      <c r="E373" s="4">
        <f>VLOOKUP($A373,[1]彩未分析60315!$A:$M,11,0)</f>
        <v>67</v>
      </c>
      <c r="F373" s="4">
        <f>VLOOKUP($A373,[1]彩未分析60315!$A:$M,12,0)</f>
        <v>64</v>
      </c>
      <c r="G373" s="4">
        <f>VLOOKUP($A373,[1]彩未分析60315!$A:$M,13,0)</f>
        <v>62</v>
      </c>
      <c r="H373" s="3" t="s">
        <v>10</v>
      </c>
      <c r="I373" s="3" t="s">
        <v>740</v>
      </c>
    </row>
    <row r="374" customHeight="1" spans="1:9">
      <c r="A374" s="4" t="s">
        <v>741</v>
      </c>
      <c r="B374" s="4">
        <f>VLOOKUP($A374,[1]彩未分析60315!$A:$M,8,0)</f>
        <v>37</v>
      </c>
      <c r="C374" s="4">
        <f>VLOOKUP($A374,[1]彩未分析60315!$A:$M,9,0)</f>
        <v>36</v>
      </c>
      <c r="D374" s="4">
        <f>VLOOKUP($A374,[1]彩未分析60315!$A:$M,10,0)</f>
        <v>35</v>
      </c>
      <c r="E374" s="4">
        <f>VLOOKUP($A374,[1]彩未分析60315!$A:$M,11,0)</f>
        <v>33</v>
      </c>
      <c r="F374" s="4">
        <f>VLOOKUP($A374,[1]彩未分析60315!$A:$M,12,0)</f>
        <v>32</v>
      </c>
      <c r="G374" s="4">
        <f>VLOOKUP($A374,[1]彩未分析60315!$A:$M,13,0)</f>
        <v>31</v>
      </c>
      <c r="H374" s="3" t="s">
        <v>10</v>
      </c>
      <c r="I374" s="3" t="s">
        <v>742</v>
      </c>
    </row>
    <row r="375" customHeight="1" spans="1:9">
      <c r="A375" s="4" t="s">
        <v>743</v>
      </c>
      <c r="B375" s="4">
        <f>VLOOKUP($A375,[1]彩未分析60315!$A:$M,8,0)</f>
        <v>69</v>
      </c>
      <c r="C375" s="4">
        <f>VLOOKUP($A375,[1]彩未分析60315!$A:$M,9,0)</f>
        <v>68</v>
      </c>
      <c r="D375" s="4">
        <f>VLOOKUP($A375,[1]彩未分析60315!$A:$M,10,0)</f>
        <v>67</v>
      </c>
      <c r="E375" s="4">
        <f>VLOOKUP($A375,[1]彩未分析60315!$A:$M,11,0)</f>
        <v>66</v>
      </c>
      <c r="F375" s="4">
        <f>VLOOKUP($A375,[1]彩未分析60315!$A:$M,12,0)</f>
        <v>65</v>
      </c>
      <c r="G375" s="4">
        <f>VLOOKUP($A375,[1]彩未分析60315!$A:$M,13,0)</f>
        <v>64</v>
      </c>
      <c r="H375" s="3" t="s">
        <v>39</v>
      </c>
      <c r="I375" s="3" t="s">
        <v>744</v>
      </c>
    </row>
    <row r="376" customHeight="1" spans="1:9">
      <c r="A376" s="4" t="s">
        <v>745</v>
      </c>
      <c r="B376" s="4">
        <f>VLOOKUP($A376,[1]彩未分析60315!$A:$M,8,0)</f>
        <v>68</v>
      </c>
      <c r="C376" s="4">
        <f>VLOOKUP($A376,[1]彩未分析60315!$A:$M,9,0)</f>
        <v>67</v>
      </c>
      <c r="D376" s="4">
        <f>VLOOKUP($A376,[1]彩未分析60315!$A:$M,10,0)</f>
        <v>66</v>
      </c>
      <c r="E376" s="4">
        <f>VLOOKUP($A376,[1]彩未分析60315!$A:$M,11,0)</f>
        <v>64</v>
      </c>
      <c r="F376" s="4">
        <f>VLOOKUP($A376,[1]彩未分析60315!$A:$M,12,0)</f>
        <v>64</v>
      </c>
      <c r="G376" s="4">
        <f>VLOOKUP($A376,[1]彩未分析60315!$A:$M,13,0)</f>
        <v>63</v>
      </c>
      <c r="H376" s="3" t="s">
        <v>39</v>
      </c>
      <c r="I376" s="3" t="s">
        <v>746</v>
      </c>
    </row>
    <row r="377" customHeight="1" spans="1:9">
      <c r="A377" s="4" t="s">
        <v>747</v>
      </c>
      <c r="B377" s="4">
        <f>VLOOKUP($A377,[1]彩未分析60315!$A:$M,8,0)</f>
        <v>44</v>
      </c>
      <c r="C377" s="4">
        <f>VLOOKUP($A377,[1]彩未分析60315!$A:$M,9,0)</f>
        <v>43</v>
      </c>
      <c r="D377" s="4">
        <f>VLOOKUP($A377,[1]彩未分析60315!$A:$M,10,0)</f>
        <v>41</v>
      </c>
      <c r="E377" s="4">
        <f>VLOOKUP($A377,[1]彩未分析60315!$A:$M,11,0)</f>
        <v>39</v>
      </c>
      <c r="F377" s="4">
        <f>VLOOKUP($A377,[1]彩未分析60315!$A:$M,12,0)</f>
        <v>38</v>
      </c>
      <c r="G377" s="4">
        <f>VLOOKUP($A377,[1]彩未分析60315!$A:$M,13,0)</f>
        <v>36</v>
      </c>
      <c r="H377" s="3" t="s">
        <v>10</v>
      </c>
      <c r="I377" s="3" t="s">
        <v>748</v>
      </c>
    </row>
    <row r="378" customHeight="1" spans="1:9">
      <c r="A378" s="4" t="s">
        <v>749</v>
      </c>
      <c r="B378" s="4">
        <f>VLOOKUP($A378,[1]彩未分析60315!$A:$M,8,0)</f>
        <v>44</v>
      </c>
      <c r="C378" s="4">
        <f>VLOOKUP($A378,[1]彩未分析60315!$A:$M,9,0)</f>
        <v>43</v>
      </c>
      <c r="D378" s="4">
        <f>VLOOKUP($A378,[1]彩未分析60315!$A:$M,10,0)</f>
        <v>43</v>
      </c>
      <c r="E378" s="4">
        <f>VLOOKUP($A378,[1]彩未分析60315!$A:$M,11,0)</f>
        <v>42</v>
      </c>
      <c r="F378" s="4">
        <f>VLOOKUP($A378,[1]彩未分析60315!$A:$M,12,0)</f>
        <v>42</v>
      </c>
      <c r="G378" s="4">
        <f>VLOOKUP($A378,[1]彩未分析60315!$A:$M,13,0)</f>
        <v>41</v>
      </c>
      <c r="H378" s="3" t="s">
        <v>39</v>
      </c>
      <c r="I378" s="3" t="s">
        <v>750</v>
      </c>
    </row>
    <row r="379" customHeight="1" spans="1:9">
      <c r="A379" s="4" t="s">
        <v>751</v>
      </c>
      <c r="B379" s="4">
        <f>VLOOKUP($A379,[1]彩未分析60315!$A:$M,8,0)</f>
        <v>43</v>
      </c>
      <c r="C379" s="4">
        <f>VLOOKUP($A379,[1]彩未分析60315!$A:$M,9,0)</f>
        <v>41</v>
      </c>
      <c r="D379" s="4">
        <f>VLOOKUP($A379,[1]彩未分析60315!$A:$M,10,0)</f>
        <v>40</v>
      </c>
      <c r="E379" s="4">
        <f>VLOOKUP($A379,[1]彩未分析60315!$A:$M,11,0)</f>
        <v>38</v>
      </c>
      <c r="F379" s="4">
        <f>VLOOKUP($A379,[1]彩未分析60315!$A:$M,12,0)</f>
        <v>37</v>
      </c>
      <c r="G379" s="4">
        <f>VLOOKUP($A379,[1]彩未分析60315!$A:$M,13,0)</f>
        <v>35</v>
      </c>
      <c r="H379" s="3" t="s">
        <v>10</v>
      </c>
      <c r="I379" s="3" t="s">
        <v>752</v>
      </c>
    </row>
    <row r="380" customHeight="1" spans="1:9">
      <c r="A380" s="4" t="s">
        <v>753</v>
      </c>
      <c r="B380" s="4">
        <f>VLOOKUP($A380,[1]彩未分析60315!$A:$M,8,0)</f>
        <v>63</v>
      </c>
      <c r="C380" s="4">
        <f>VLOOKUP($A380,[1]彩未分析60315!$A:$M,9,0)</f>
        <v>62</v>
      </c>
      <c r="D380" s="4">
        <f>VLOOKUP($A380,[1]彩未分析60315!$A:$M,10,0)</f>
        <v>61</v>
      </c>
      <c r="E380" s="4">
        <f>VLOOKUP($A380,[1]彩未分析60315!$A:$M,11,0)</f>
        <v>59</v>
      </c>
      <c r="F380" s="4">
        <f>VLOOKUP($A380,[1]彩未分析60315!$A:$M,12,0)</f>
        <v>59</v>
      </c>
      <c r="G380" s="4">
        <f>VLOOKUP($A380,[1]彩未分析60315!$A:$M,13,0)</f>
        <v>58</v>
      </c>
      <c r="H380" s="3" t="s">
        <v>39</v>
      </c>
      <c r="I380" s="3" t="s">
        <v>754</v>
      </c>
    </row>
    <row r="381" customHeight="1" spans="1:9">
      <c r="A381" s="4" t="s">
        <v>755</v>
      </c>
      <c r="B381" s="4">
        <f>VLOOKUP($A381,[1]彩未分析60315!$A:$M,8,0)</f>
        <v>22</v>
      </c>
      <c r="C381" s="4">
        <f>VLOOKUP($A381,[1]彩未分析60315!$A:$M,9,0)</f>
        <v>21</v>
      </c>
      <c r="D381" s="4">
        <f>VLOOKUP($A381,[1]彩未分析60315!$A:$M,10,0)</f>
        <v>21</v>
      </c>
      <c r="E381" s="4">
        <f>VLOOKUP($A381,[1]彩未分析60315!$A:$M,11,0)</f>
        <v>20</v>
      </c>
      <c r="F381" s="4">
        <f>VLOOKUP($A381,[1]彩未分析60315!$A:$M,12,0)</f>
        <v>19</v>
      </c>
      <c r="G381" s="4">
        <f>VLOOKUP($A381,[1]彩未分析60315!$A:$M,13,0)</f>
        <v>18</v>
      </c>
      <c r="H381" s="3" t="s">
        <v>10</v>
      </c>
      <c r="I381" s="3" t="s">
        <v>756</v>
      </c>
    </row>
    <row r="382" customHeight="1" spans="1:9">
      <c r="A382" s="4" t="s">
        <v>757</v>
      </c>
      <c r="B382" s="4">
        <f>VLOOKUP($A382,[1]彩未分析60315!$A:$M,8,0)</f>
        <v>44</v>
      </c>
      <c r="C382" s="4">
        <f>VLOOKUP($A382,[1]彩未分析60315!$A:$M,9,0)</f>
        <v>43</v>
      </c>
      <c r="D382" s="4">
        <f>VLOOKUP($A382,[1]彩未分析60315!$A:$M,10,0)</f>
        <v>43</v>
      </c>
      <c r="E382" s="4">
        <f>VLOOKUP($A382,[1]彩未分析60315!$A:$M,11,0)</f>
        <v>42</v>
      </c>
      <c r="F382" s="4">
        <f>VLOOKUP($A382,[1]彩未分析60315!$A:$M,12,0)</f>
        <v>42</v>
      </c>
      <c r="G382" s="4">
        <f>VLOOKUP($A382,[1]彩未分析60315!$A:$M,13,0)</f>
        <v>41</v>
      </c>
      <c r="H382" s="3" t="s">
        <v>39</v>
      </c>
      <c r="I382" s="3" t="s">
        <v>758</v>
      </c>
    </row>
    <row r="383" customHeight="1" spans="1:9">
      <c r="A383" s="4" t="s">
        <v>759</v>
      </c>
      <c r="B383" s="4">
        <f>VLOOKUP($A383,[1]彩未分析60315!$A:$M,8,0)</f>
        <v>31</v>
      </c>
      <c r="C383" s="4">
        <f>VLOOKUP($A383,[1]彩未分析60315!$A:$M,9,0)</f>
        <v>30</v>
      </c>
      <c r="D383" s="4">
        <f>VLOOKUP($A383,[1]彩未分析60315!$A:$M,10,0)</f>
        <v>29</v>
      </c>
      <c r="E383" s="4">
        <f>VLOOKUP($A383,[1]彩未分析60315!$A:$M,11,0)</f>
        <v>27</v>
      </c>
      <c r="F383" s="4">
        <f>VLOOKUP($A383,[1]彩未分析60315!$A:$M,12,0)</f>
        <v>26</v>
      </c>
      <c r="G383" s="4">
        <f>VLOOKUP($A383,[1]彩未分析60315!$A:$M,13,0)</f>
        <v>25</v>
      </c>
      <c r="H383" s="3" t="s">
        <v>10</v>
      </c>
      <c r="I383" s="3" t="s">
        <v>760</v>
      </c>
    </row>
    <row r="384" customHeight="1" spans="1:9">
      <c r="A384" s="4" t="s">
        <v>761</v>
      </c>
      <c r="B384" s="4">
        <f>VLOOKUP($A384,[1]彩未分析60315!$A:$M,8,0)</f>
        <v>39</v>
      </c>
      <c r="C384" s="4">
        <f>VLOOKUP($A384,[1]彩未分析60315!$A:$M,9,0)</f>
        <v>37</v>
      </c>
      <c r="D384" s="4">
        <f>VLOOKUP($A384,[1]彩未分析60315!$A:$M,10,0)</f>
        <v>36</v>
      </c>
      <c r="E384" s="4">
        <f>VLOOKUP($A384,[1]彩未分析60315!$A:$M,11,0)</f>
        <v>34</v>
      </c>
      <c r="F384" s="4">
        <f>VLOOKUP($A384,[1]彩未分析60315!$A:$M,12,0)</f>
        <v>33</v>
      </c>
      <c r="G384" s="4">
        <f>VLOOKUP($A384,[1]彩未分析60315!$A:$M,13,0)</f>
        <v>32</v>
      </c>
      <c r="H384" s="3" t="s">
        <v>10</v>
      </c>
      <c r="I384" s="3" t="s">
        <v>762</v>
      </c>
    </row>
    <row r="385" customHeight="1" spans="1:9">
      <c r="A385" s="4" t="s">
        <v>763</v>
      </c>
      <c r="B385" s="4">
        <f>VLOOKUP($A385,[1]彩未分析60315!$A:$M,8,0)</f>
        <v>61</v>
      </c>
      <c r="C385" s="4">
        <f>VLOOKUP($A385,[1]彩未分析60315!$A:$M,9,0)</f>
        <v>59</v>
      </c>
      <c r="D385" s="4">
        <f>VLOOKUP($A385,[1]彩未分析60315!$A:$M,10,0)</f>
        <v>57</v>
      </c>
      <c r="E385" s="4">
        <f>VLOOKUP($A385,[1]彩未分析60315!$A:$M,11,0)</f>
        <v>55</v>
      </c>
      <c r="F385" s="4">
        <f>VLOOKUP($A385,[1]彩未分析60315!$A:$M,12,0)</f>
        <v>52</v>
      </c>
      <c r="G385" s="4">
        <f>VLOOKUP($A385,[1]彩未分析60315!$A:$M,13,0)</f>
        <v>50</v>
      </c>
      <c r="H385" s="3" t="s">
        <v>10</v>
      </c>
      <c r="I385" s="3" t="s">
        <v>764</v>
      </c>
    </row>
    <row r="386" customHeight="1" spans="1:9">
      <c r="A386" s="4" t="s">
        <v>765</v>
      </c>
      <c r="B386" s="4">
        <f>VLOOKUP($A386,[1]彩未分析60315!$A:$M,8,0)</f>
        <v>127</v>
      </c>
      <c r="C386" s="4">
        <f>VLOOKUP($A386,[1]彩未分析60315!$A:$M,9,0)</f>
        <v>125</v>
      </c>
      <c r="D386" s="4">
        <f>VLOOKUP($A386,[1]彩未分析60315!$A:$M,10,0)</f>
        <v>123</v>
      </c>
      <c r="E386" s="4">
        <f>VLOOKUP($A386,[1]彩未分析60315!$A:$M,11,0)</f>
        <v>121</v>
      </c>
      <c r="F386" s="4">
        <f>VLOOKUP($A386,[1]彩未分析60315!$A:$M,12,0)</f>
        <v>120</v>
      </c>
      <c r="G386" s="4">
        <f>VLOOKUP($A386,[1]彩未分析60315!$A:$M,13,0)</f>
        <v>118</v>
      </c>
      <c r="H386" s="3" t="s">
        <v>39</v>
      </c>
      <c r="I386" s="3" t="s">
        <v>113</v>
      </c>
    </row>
    <row r="387" customHeight="1" spans="1:9">
      <c r="A387" s="4" t="s">
        <v>766</v>
      </c>
      <c r="B387" s="4">
        <f>VLOOKUP($A387,[1]彩未分析60315!$A:$M,8,0)</f>
        <v>41</v>
      </c>
      <c r="C387" s="4">
        <f>VLOOKUP($A387,[1]彩未分析60315!$A:$M,9,0)</f>
        <v>39</v>
      </c>
      <c r="D387" s="4">
        <f>VLOOKUP($A387,[1]彩未分析60315!$A:$M,10,0)</f>
        <v>38</v>
      </c>
      <c r="E387" s="4">
        <f>VLOOKUP($A387,[1]彩未分析60315!$A:$M,11,0)</f>
        <v>36</v>
      </c>
      <c r="F387" s="4">
        <f>VLOOKUP($A387,[1]彩未分析60315!$A:$M,12,0)</f>
        <v>35</v>
      </c>
      <c r="G387" s="4">
        <f>VLOOKUP($A387,[1]彩未分析60315!$A:$M,13,0)</f>
        <v>33</v>
      </c>
      <c r="H387" s="3" t="s">
        <v>10</v>
      </c>
      <c r="I387" s="3" t="s">
        <v>767</v>
      </c>
    </row>
    <row r="388" customHeight="1" spans="1:9">
      <c r="A388" s="4" t="s">
        <v>768</v>
      </c>
      <c r="B388" s="4">
        <f>VLOOKUP($A388,[1]彩未分析60315!$A:$M,8,0)</f>
        <v>43</v>
      </c>
      <c r="C388" s="4">
        <f>VLOOKUP($A388,[1]彩未分析60315!$A:$M,9,0)</f>
        <v>42</v>
      </c>
      <c r="D388" s="4">
        <f>VLOOKUP($A388,[1]彩未分析60315!$A:$M,10,0)</f>
        <v>40</v>
      </c>
      <c r="E388" s="4">
        <f>VLOOKUP($A388,[1]彩未分析60315!$A:$M,11,0)</f>
        <v>39</v>
      </c>
      <c r="F388" s="4">
        <f>VLOOKUP($A388,[1]彩未分析60315!$A:$M,12,0)</f>
        <v>37</v>
      </c>
      <c r="G388" s="4">
        <f>VLOOKUP($A388,[1]彩未分析60315!$A:$M,13,0)</f>
        <v>36</v>
      </c>
      <c r="H388" s="3" t="s">
        <v>10</v>
      </c>
      <c r="I388" s="3" t="s">
        <v>769</v>
      </c>
    </row>
    <row r="389" customHeight="1" spans="1:9">
      <c r="A389" s="4" t="s">
        <v>770</v>
      </c>
      <c r="B389" s="4">
        <f>VLOOKUP($A389,[1]彩未分析60315!$A:$M,8,0)</f>
        <v>42</v>
      </c>
      <c r="C389" s="4">
        <f>VLOOKUP($A389,[1]彩未分析60315!$A:$M,9,0)</f>
        <v>41</v>
      </c>
      <c r="D389" s="4">
        <f>VLOOKUP($A389,[1]彩未分析60315!$A:$M,10,0)</f>
        <v>39</v>
      </c>
      <c r="E389" s="4">
        <f>VLOOKUP($A389,[1]彩未分析60315!$A:$M,11,0)</f>
        <v>38</v>
      </c>
      <c r="F389" s="4">
        <f>VLOOKUP($A389,[1]彩未分析60315!$A:$M,12,0)</f>
        <v>36</v>
      </c>
      <c r="G389" s="4">
        <f>VLOOKUP($A389,[1]彩未分析60315!$A:$M,13,0)</f>
        <v>35</v>
      </c>
      <c r="H389" s="3" t="s">
        <v>10</v>
      </c>
      <c r="I389" s="3" t="s">
        <v>771</v>
      </c>
    </row>
    <row r="390" customHeight="1" spans="1:9">
      <c r="A390" s="4" t="s">
        <v>772</v>
      </c>
      <c r="B390" s="4">
        <f>VLOOKUP($A390,[1]彩未分析60315!$A:$M,8,0)</f>
        <v>41</v>
      </c>
      <c r="C390" s="4">
        <f>VLOOKUP($A390,[1]彩未分析60315!$A:$M,9,0)</f>
        <v>40</v>
      </c>
      <c r="D390" s="4">
        <f>VLOOKUP($A390,[1]彩未分析60315!$A:$M,10,0)</f>
        <v>38</v>
      </c>
      <c r="E390" s="4">
        <f>VLOOKUP($A390,[1]彩未分析60315!$A:$M,11,0)</f>
        <v>37</v>
      </c>
      <c r="F390" s="4">
        <f>VLOOKUP($A390,[1]彩未分析60315!$A:$M,12,0)</f>
        <v>35</v>
      </c>
      <c r="G390" s="4">
        <f>VLOOKUP($A390,[1]彩未分析60315!$A:$M,13,0)</f>
        <v>34</v>
      </c>
      <c r="H390" s="3" t="s">
        <v>10</v>
      </c>
      <c r="I390" s="3" t="s">
        <v>773</v>
      </c>
    </row>
    <row r="391" customHeight="1" spans="1:9">
      <c r="A391" s="4" t="s">
        <v>774</v>
      </c>
      <c r="B391" s="4">
        <f>VLOOKUP($A391,[1]彩未分析60315!$A:$M,8,0)</f>
        <v>41</v>
      </c>
      <c r="C391" s="4">
        <f>VLOOKUP($A391,[1]彩未分析60315!$A:$M,9,0)</f>
        <v>39</v>
      </c>
      <c r="D391" s="4">
        <f>VLOOKUP($A391,[1]彩未分析60315!$A:$M,10,0)</f>
        <v>38</v>
      </c>
      <c r="E391" s="4">
        <f>VLOOKUP($A391,[1]彩未分析60315!$A:$M,11,0)</f>
        <v>36</v>
      </c>
      <c r="F391" s="4">
        <f>VLOOKUP($A391,[1]彩未分析60315!$A:$M,12,0)</f>
        <v>35</v>
      </c>
      <c r="G391" s="4">
        <f>VLOOKUP($A391,[1]彩未分析60315!$A:$M,13,0)</f>
        <v>33</v>
      </c>
      <c r="H391" s="3" t="s">
        <v>10</v>
      </c>
      <c r="I391" s="3" t="s">
        <v>775</v>
      </c>
    </row>
    <row r="392" customHeight="1" spans="1:9">
      <c r="A392" s="4" t="s">
        <v>776</v>
      </c>
      <c r="B392" s="4">
        <f>VLOOKUP($A392,[1]彩未分析60315!$A:$M,8,0)</f>
        <v>129</v>
      </c>
      <c r="C392" s="4">
        <f>VLOOKUP($A392,[1]彩未分析60315!$A:$M,9,0)</f>
        <v>127</v>
      </c>
      <c r="D392" s="4">
        <f>VLOOKUP($A392,[1]彩未分析60315!$A:$M,10,0)</f>
        <v>124</v>
      </c>
      <c r="E392" s="4">
        <f>VLOOKUP($A392,[1]彩未分析60315!$A:$M,11,0)</f>
        <v>122</v>
      </c>
      <c r="F392" s="4">
        <f>VLOOKUP($A392,[1]彩未分析60315!$A:$M,12,0)</f>
        <v>121</v>
      </c>
      <c r="G392" s="4">
        <f>VLOOKUP($A392,[1]彩未分析60315!$A:$M,13,0)</f>
        <v>119</v>
      </c>
      <c r="H392" s="3" t="s">
        <v>39</v>
      </c>
      <c r="I392" s="3" t="s">
        <v>616</v>
      </c>
    </row>
    <row r="393" customHeight="1" spans="1:9">
      <c r="A393" s="4" t="s">
        <v>777</v>
      </c>
      <c r="B393" s="4">
        <f>VLOOKUP($A393,[1]彩未分析60315!$A:$M,8,0)</f>
        <v>149</v>
      </c>
      <c r="C393" s="4">
        <f>VLOOKUP($A393,[1]彩未分析60315!$A:$M,9,0)</f>
        <v>147</v>
      </c>
      <c r="D393" s="4">
        <f>VLOOKUP($A393,[1]彩未分析60315!$A:$M,10,0)</f>
        <v>144</v>
      </c>
      <c r="E393" s="4">
        <f>VLOOKUP($A393,[1]彩未分析60315!$A:$M,11,0)</f>
        <v>142</v>
      </c>
      <c r="F393" s="4">
        <f>VLOOKUP($A393,[1]彩未分析60315!$A:$M,12,0)</f>
        <v>141</v>
      </c>
      <c r="G393" s="4">
        <f>VLOOKUP($A393,[1]彩未分析60315!$A:$M,13,0)</f>
        <v>138</v>
      </c>
      <c r="H393" s="3" t="s">
        <v>39</v>
      </c>
      <c r="I393" s="3" t="s">
        <v>778</v>
      </c>
    </row>
    <row r="394" customHeight="1" spans="1:9">
      <c r="A394" s="4" t="s">
        <v>779</v>
      </c>
      <c r="B394" s="4">
        <f>VLOOKUP($A394,[1]彩未分析60315!$A:$M,8,0)</f>
        <v>39</v>
      </c>
      <c r="C394" s="4">
        <f>VLOOKUP($A394,[1]彩未分析60315!$A:$M,9,0)</f>
        <v>38</v>
      </c>
      <c r="D394" s="4">
        <f>VLOOKUP($A394,[1]彩未分析60315!$A:$M,10,0)</f>
        <v>36</v>
      </c>
      <c r="E394" s="4">
        <f>VLOOKUP($A394,[1]彩未分析60315!$A:$M,11,0)</f>
        <v>35</v>
      </c>
      <c r="F394" s="4">
        <f>VLOOKUP($A394,[1]彩未分析60315!$A:$M,12,0)</f>
        <v>33</v>
      </c>
      <c r="G394" s="4">
        <f>VLOOKUP($A394,[1]彩未分析60315!$A:$M,13,0)</f>
        <v>32</v>
      </c>
      <c r="H394" s="3" t="s">
        <v>10</v>
      </c>
      <c r="I394" s="3" t="s">
        <v>780</v>
      </c>
    </row>
    <row r="395" customHeight="1" spans="1:9">
      <c r="A395" s="4" t="s">
        <v>781</v>
      </c>
      <c r="B395" s="4">
        <f>VLOOKUP($A395,[1]彩未分析60315!$A:$M,8,0)</f>
        <v>46</v>
      </c>
      <c r="C395" s="4">
        <f>VLOOKUP($A395,[1]彩未分析60315!$A:$M,9,0)</f>
        <v>45</v>
      </c>
      <c r="D395" s="4">
        <f>VLOOKUP($A395,[1]彩未分析60315!$A:$M,10,0)</f>
        <v>45</v>
      </c>
      <c r="E395" s="4">
        <f>VLOOKUP($A395,[1]彩未分析60315!$A:$M,11,0)</f>
        <v>44</v>
      </c>
      <c r="F395" s="4">
        <f>VLOOKUP($A395,[1]彩未分析60315!$A:$M,12,0)</f>
        <v>44</v>
      </c>
      <c r="G395" s="4">
        <f>VLOOKUP($A395,[1]彩未分析60315!$A:$M,13,0)</f>
        <v>43</v>
      </c>
      <c r="H395" s="3" t="s">
        <v>39</v>
      </c>
      <c r="I395" s="3" t="s">
        <v>782</v>
      </c>
    </row>
    <row r="396" customHeight="1" spans="1:9">
      <c r="A396" s="4" t="s">
        <v>783</v>
      </c>
      <c r="B396" s="4">
        <f>VLOOKUP($A396,[1]彩未分析60315!$A:$M,8,0)</f>
        <v>51</v>
      </c>
      <c r="C396" s="4">
        <f>VLOOKUP($A396,[1]彩未分析60315!$A:$M,9,0)</f>
        <v>50</v>
      </c>
      <c r="D396" s="4">
        <f>VLOOKUP($A396,[1]彩未分析60315!$A:$M,10,0)</f>
        <v>49</v>
      </c>
      <c r="E396" s="4">
        <f>VLOOKUP($A396,[1]彩未分析60315!$A:$M,11,0)</f>
        <v>48</v>
      </c>
      <c r="F396" s="4">
        <f>VLOOKUP($A396,[1]彩未分析60315!$A:$M,12,0)</f>
        <v>48</v>
      </c>
      <c r="G396" s="4">
        <f>VLOOKUP($A396,[1]彩未分析60315!$A:$M,13,0)</f>
        <v>47</v>
      </c>
      <c r="H396" s="3" t="s">
        <v>39</v>
      </c>
      <c r="I396" s="3" t="s">
        <v>784</v>
      </c>
    </row>
    <row r="397" customHeight="1" spans="1:9">
      <c r="A397" s="4" t="s">
        <v>785</v>
      </c>
      <c r="B397" s="4">
        <f>VLOOKUP($A397,[1]彩未分析60315!$A:$M,8,0)</f>
        <v>45</v>
      </c>
      <c r="C397" s="4">
        <f>VLOOKUP($A397,[1]彩未分析60315!$A:$M,9,0)</f>
        <v>43</v>
      </c>
      <c r="D397" s="4">
        <f>VLOOKUP($A397,[1]彩未分析60315!$A:$M,10,0)</f>
        <v>41</v>
      </c>
      <c r="E397" s="4">
        <f>VLOOKUP($A397,[1]彩未分析60315!$A:$M,11,0)</f>
        <v>40</v>
      </c>
      <c r="F397" s="4">
        <f>VLOOKUP($A397,[1]彩未分析60315!$A:$M,12,0)</f>
        <v>38</v>
      </c>
      <c r="G397" s="4">
        <f>VLOOKUP($A397,[1]彩未分析60315!$A:$M,13,0)</f>
        <v>37</v>
      </c>
      <c r="H397" s="3" t="s">
        <v>10</v>
      </c>
      <c r="I397" s="3" t="s">
        <v>786</v>
      </c>
    </row>
    <row r="398" customHeight="1" spans="1:9">
      <c r="A398" s="4" t="s">
        <v>787</v>
      </c>
      <c r="B398" s="4">
        <f>VLOOKUP($A398,[1]彩未分析60315!$A:$M,8,0)</f>
        <v>38</v>
      </c>
      <c r="C398" s="4">
        <f>VLOOKUP($A398,[1]彩未分析60315!$A:$M,9,0)</f>
        <v>37</v>
      </c>
      <c r="D398" s="4">
        <f>VLOOKUP($A398,[1]彩未分析60315!$A:$M,10,0)</f>
        <v>35</v>
      </c>
      <c r="E398" s="4">
        <f>VLOOKUP($A398,[1]彩未分析60315!$A:$M,11,0)</f>
        <v>34</v>
      </c>
      <c r="F398" s="4">
        <f>VLOOKUP($A398,[1]彩未分析60315!$A:$M,12,0)</f>
        <v>33</v>
      </c>
      <c r="G398" s="4">
        <f>VLOOKUP($A398,[1]彩未分析60315!$A:$M,13,0)</f>
        <v>31</v>
      </c>
      <c r="H398" s="3" t="s">
        <v>10</v>
      </c>
      <c r="I398" s="3" t="s">
        <v>788</v>
      </c>
    </row>
    <row r="399" customHeight="1" spans="1:9">
      <c r="A399" s="4" t="s">
        <v>789</v>
      </c>
      <c r="B399" s="4">
        <f>VLOOKUP($A399,[1]彩未分析60315!$A:$M,8,0)</f>
        <v>70</v>
      </c>
      <c r="C399" s="4">
        <f>VLOOKUP($A399,[1]彩未分析60315!$A:$M,9,0)</f>
        <v>69</v>
      </c>
      <c r="D399" s="4">
        <f>VLOOKUP($A399,[1]彩未分析60315!$A:$M,10,0)</f>
        <v>68</v>
      </c>
      <c r="E399" s="4">
        <f>VLOOKUP($A399,[1]彩未分析60315!$A:$M,11,0)</f>
        <v>66</v>
      </c>
      <c r="F399" s="4">
        <f>VLOOKUP($A399,[1]彩未分析60315!$A:$M,12,0)</f>
        <v>66</v>
      </c>
      <c r="G399" s="4">
        <f>VLOOKUP($A399,[1]彩未分析60315!$A:$M,13,0)</f>
        <v>65</v>
      </c>
      <c r="H399" s="3" t="s">
        <v>39</v>
      </c>
      <c r="I399" s="3" t="s">
        <v>750</v>
      </c>
    </row>
    <row r="400" customHeight="1" spans="1:9">
      <c r="A400" s="4" t="s">
        <v>790</v>
      </c>
      <c r="B400" s="4">
        <f>VLOOKUP($A400,[1]彩未分析60315!$A:$M,8,0)</f>
        <v>34</v>
      </c>
      <c r="C400" s="4">
        <f>VLOOKUP($A400,[1]彩未分析60315!$A:$M,9,0)</f>
        <v>33</v>
      </c>
      <c r="D400" s="4">
        <f>VLOOKUP($A400,[1]彩未分析60315!$A:$M,10,0)</f>
        <v>33</v>
      </c>
      <c r="E400" s="4">
        <f>VLOOKUP($A400,[1]彩未分析60315!$A:$M,11,0)</f>
        <v>32</v>
      </c>
      <c r="F400" s="4">
        <f>VLOOKUP($A400,[1]彩未分析60315!$A:$M,12,0)</f>
        <v>32</v>
      </c>
      <c r="G400" s="4">
        <f>VLOOKUP($A400,[1]彩未分析60315!$A:$M,13,0)</f>
        <v>31</v>
      </c>
      <c r="H400" s="3" t="s">
        <v>39</v>
      </c>
      <c r="I400" s="3" t="s">
        <v>791</v>
      </c>
    </row>
    <row r="401" customHeight="1" spans="1:9">
      <c r="A401" s="4" t="s">
        <v>792</v>
      </c>
      <c r="B401" s="4">
        <f>VLOOKUP($A401,[1]彩未分析60315!$A:$M,8,0)</f>
        <v>31</v>
      </c>
      <c r="C401" s="4">
        <f>VLOOKUP($A401,[1]彩未分析60315!$A:$M,9,0)</f>
        <v>30</v>
      </c>
      <c r="D401" s="4">
        <f>VLOOKUP($A401,[1]彩未分析60315!$A:$M,10,0)</f>
        <v>30</v>
      </c>
      <c r="E401" s="4">
        <f>VLOOKUP($A401,[1]彩未分析60315!$A:$M,11,0)</f>
        <v>29</v>
      </c>
      <c r="F401" s="4">
        <f>VLOOKUP($A401,[1]彩未分析60315!$A:$M,12,0)</f>
        <v>29</v>
      </c>
      <c r="G401" s="4">
        <f>VLOOKUP($A401,[1]彩未分析60315!$A:$M,13,0)</f>
        <v>29</v>
      </c>
      <c r="H401" s="3" t="s">
        <v>39</v>
      </c>
      <c r="I401" s="3" t="s">
        <v>793</v>
      </c>
    </row>
    <row r="402" customHeight="1" spans="1:9">
      <c r="A402" s="4" t="s">
        <v>794</v>
      </c>
      <c r="B402" s="4">
        <f>VLOOKUP($A402,[1]彩未分析60315!$A:$M,8,0)</f>
        <v>38</v>
      </c>
      <c r="C402" s="4">
        <f>VLOOKUP($A402,[1]彩未分析60315!$A:$M,9,0)</f>
        <v>38</v>
      </c>
      <c r="D402" s="4">
        <f>VLOOKUP($A402,[1]彩未分析60315!$A:$M,10,0)</f>
        <v>37</v>
      </c>
      <c r="E402" s="4">
        <f>VLOOKUP($A402,[1]彩未分析60315!$A:$M,11,0)</f>
        <v>37</v>
      </c>
      <c r="F402" s="4">
        <f>VLOOKUP($A402,[1]彩未分析60315!$A:$M,12,0)</f>
        <v>36</v>
      </c>
      <c r="G402" s="4">
        <f>VLOOKUP($A402,[1]彩未分析60315!$A:$M,13,0)</f>
        <v>36</v>
      </c>
      <c r="H402" s="3" t="s">
        <v>39</v>
      </c>
      <c r="I402" s="3" t="s">
        <v>791</v>
      </c>
    </row>
    <row r="403" customHeight="1" spans="1:9">
      <c r="A403" s="4" t="s">
        <v>795</v>
      </c>
      <c r="B403" s="4">
        <f>VLOOKUP($A403,[1]彩未分析60315!$A:$M,8,0)</f>
        <v>59</v>
      </c>
      <c r="C403" s="4">
        <f>VLOOKUP($A403,[1]彩未分析60315!$A:$M,9,0)</f>
        <v>57</v>
      </c>
      <c r="D403" s="4">
        <f>VLOOKUP($A403,[1]彩未分析60315!$A:$M,10,0)</f>
        <v>55</v>
      </c>
      <c r="E403" s="4">
        <f>VLOOKUP($A403,[1]彩未分析60315!$A:$M,11,0)</f>
        <v>53</v>
      </c>
      <c r="F403" s="4">
        <f>VLOOKUP($A403,[1]彩未分析60315!$A:$M,12,0)</f>
        <v>50</v>
      </c>
      <c r="G403" s="4">
        <f>VLOOKUP($A403,[1]彩未分析60315!$A:$M,13,0)</f>
        <v>48</v>
      </c>
      <c r="H403" s="3" t="s">
        <v>10</v>
      </c>
      <c r="I403" s="3" t="s">
        <v>796</v>
      </c>
    </row>
    <row r="404" customHeight="1" spans="1:9">
      <c r="A404" s="4" t="s">
        <v>797</v>
      </c>
      <c r="B404" s="4">
        <f>VLOOKUP($A404,[1]彩未分析60315!$A:$M,8,0)</f>
        <v>32</v>
      </c>
      <c r="C404" s="4">
        <f>VLOOKUP($A404,[1]彩未分析60315!$A:$M,9,0)</f>
        <v>31</v>
      </c>
      <c r="D404" s="4">
        <f>VLOOKUP($A404,[1]彩未分析60315!$A:$M,10,0)</f>
        <v>29</v>
      </c>
      <c r="E404" s="4">
        <f>VLOOKUP($A404,[1]彩未分析60315!$A:$M,11,0)</f>
        <v>28</v>
      </c>
      <c r="F404" s="4">
        <f>VLOOKUP($A404,[1]彩未分析60315!$A:$M,12,0)</f>
        <v>27</v>
      </c>
      <c r="G404" s="4">
        <f>VLOOKUP($A404,[1]彩未分析60315!$A:$M,13,0)</f>
        <v>26</v>
      </c>
      <c r="H404" s="3" t="s">
        <v>10</v>
      </c>
      <c r="I404" s="3" t="s">
        <v>798</v>
      </c>
    </row>
    <row r="405" customHeight="1" spans="1:9">
      <c r="A405" s="4" t="s">
        <v>799</v>
      </c>
      <c r="B405" s="4">
        <f>VLOOKUP($A405,[1]彩未分析60315!$A:$M,8,0)</f>
        <v>37</v>
      </c>
      <c r="C405" s="4">
        <f>VLOOKUP($A405,[1]彩未分析60315!$A:$M,9,0)</f>
        <v>36</v>
      </c>
      <c r="D405" s="4">
        <f>VLOOKUP($A405,[1]彩未分析60315!$A:$M,10,0)</f>
        <v>35</v>
      </c>
      <c r="E405" s="4">
        <f>VLOOKUP($A405,[1]彩未分析60315!$A:$M,11,0)</f>
        <v>33</v>
      </c>
      <c r="F405" s="4">
        <f>VLOOKUP($A405,[1]彩未分析60315!$A:$M,12,0)</f>
        <v>32</v>
      </c>
      <c r="G405" s="4">
        <f>VLOOKUP($A405,[1]彩未分析60315!$A:$M,13,0)</f>
        <v>31</v>
      </c>
      <c r="H405" s="3" t="s">
        <v>10</v>
      </c>
      <c r="I405" s="3" t="s">
        <v>800</v>
      </c>
    </row>
    <row r="406" customHeight="1" spans="1:9">
      <c r="A406" s="4" t="s">
        <v>801</v>
      </c>
      <c r="B406" s="4">
        <f>VLOOKUP($A406,[1]彩未分析60315!$A:$M,8,0)</f>
        <v>38</v>
      </c>
      <c r="C406" s="4">
        <f>VLOOKUP($A406,[1]彩未分析60315!$A:$M,9,0)</f>
        <v>37</v>
      </c>
      <c r="D406" s="4">
        <f>VLOOKUP($A406,[1]彩未分析60315!$A:$M,10,0)</f>
        <v>35</v>
      </c>
      <c r="E406" s="4">
        <f>VLOOKUP($A406,[1]彩未分析60315!$A:$M,11,0)</f>
        <v>34</v>
      </c>
      <c r="F406" s="4">
        <f>VLOOKUP($A406,[1]彩未分析60315!$A:$M,12,0)</f>
        <v>33</v>
      </c>
      <c r="G406" s="4">
        <f>VLOOKUP($A406,[1]彩未分析60315!$A:$M,13,0)</f>
        <v>31</v>
      </c>
      <c r="H406" s="3" t="s">
        <v>10</v>
      </c>
      <c r="I406" s="3" t="s">
        <v>802</v>
      </c>
    </row>
    <row r="407" customHeight="1" spans="1:9">
      <c r="A407" s="4" t="s">
        <v>803</v>
      </c>
      <c r="B407" s="4">
        <f>VLOOKUP($A407,[1]彩未分析60315!$A:$M,8,0)</f>
        <v>101</v>
      </c>
      <c r="C407" s="4">
        <f>VLOOKUP($A407,[1]彩未分析60315!$A:$M,9,0)</f>
        <v>100</v>
      </c>
      <c r="D407" s="4">
        <f>VLOOKUP($A407,[1]彩未分析60315!$A:$M,10,0)</f>
        <v>98</v>
      </c>
      <c r="E407" s="4">
        <f>VLOOKUP($A407,[1]彩未分析60315!$A:$M,11,0)</f>
        <v>96</v>
      </c>
      <c r="F407" s="4">
        <f>VLOOKUP($A407,[1]彩未分析60315!$A:$M,12,0)</f>
        <v>95</v>
      </c>
      <c r="G407" s="4">
        <f>VLOOKUP($A407,[1]彩未分析60315!$A:$M,13,0)</f>
        <v>94</v>
      </c>
      <c r="H407" s="3" t="s">
        <v>39</v>
      </c>
      <c r="I407" s="3" t="s">
        <v>804</v>
      </c>
    </row>
    <row r="408" customHeight="1" spans="1:9">
      <c r="A408" s="4" t="s">
        <v>805</v>
      </c>
      <c r="B408" s="4">
        <f>VLOOKUP($A408,[1]彩未分析60315!$A:$M,8,0)</f>
        <v>45</v>
      </c>
      <c r="C408" s="4">
        <f>VLOOKUP($A408,[1]彩未分析60315!$A:$M,9,0)</f>
        <v>43</v>
      </c>
      <c r="D408" s="4">
        <f>VLOOKUP($A408,[1]彩未分析60315!$A:$M,10,0)</f>
        <v>42</v>
      </c>
      <c r="E408" s="4">
        <f>VLOOKUP($A408,[1]彩未分析60315!$A:$M,11,0)</f>
        <v>40</v>
      </c>
      <c r="F408" s="4">
        <f>VLOOKUP($A408,[1]彩未分析60315!$A:$M,12,0)</f>
        <v>38</v>
      </c>
      <c r="G408" s="4">
        <f>VLOOKUP($A408,[1]彩未分析60315!$A:$M,13,0)</f>
        <v>37</v>
      </c>
      <c r="H408" s="3" t="s">
        <v>10</v>
      </c>
      <c r="I408" s="3" t="s">
        <v>806</v>
      </c>
    </row>
    <row r="409" customHeight="1" spans="1:9">
      <c r="A409" s="4" t="s">
        <v>807</v>
      </c>
      <c r="B409" s="4">
        <f>VLOOKUP($A409,[1]彩未分析60315!$A:$M,8,0)</f>
        <v>34</v>
      </c>
      <c r="C409" s="4">
        <f>VLOOKUP($A409,[1]彩未分析60315!$A:$M,9,0)</f>
        <v>32</v>
      </c>
      <c r="D409" s="4">
        <f>VLOOKUP($A409,[1]彩未分析60315!$A:$M,10,0)</f>
        <v>31</v>
      </c>
      <c r="E409" s="4">
        <f>VLOOKUP($A409,[1]彩未分析60315!$A:$M,11,0)</f>
        <v>30</v>
      </c>
      <c r="F409" s="4">
        <f>VLOOKUP($A409,[1]彩未分析60315!$A:$M,12,0)</f>
        <v>29</v>
      </c>
      <c r="G409" s="4">
        <f>VLOOKUP($A409,[1]彩未分析60315!$A:$M,13,0)</f>
        <v>27</v>
      </c>
      <c r="H409" s="3" t="s">
        <v>10</v>
      </c>
      <c r="I409" s="3" t="s">
        <v>808</v>
      </c>
    </row>
    <row r="410" customHeight="1" spans="1:9">
      <c r="A410" s="4" t="s">
        <v>809</v>
      </c>
      <c r="B410" s="4">
        <f>VLOOKUP($A410,[1]彩未分析60315!$A:$M,8,0)</f>
        <v>33</v>
      </c>
      <c r="C410" s="4">
        <f>VLOOKUP($A410,[1]彩未分析60315!$A:$M,9,0)</f>
        <v>31</v>
      </c>
      <c r="D410" s="4">
        <f>VLOOKUP($A410,[1]彩未分析60315!$A:$M,10,0)</f>
        <v>30</v>
      </c>
      <c r="E410" s="4">
        <f>VLOOKUP($A410,[1]彩未分析60315!$A:$M,11,0)</f>
        <v>29</v>
      </c>
      <c r="F410" s="4">
        <f>VLOOKUP($A410,[1]彩未分析60315!$A:$M,12,0)</f>
        <v>28</v>
      </c>
      <c r="G410" s="4">
        <f>VLOOKUP($A410,[1]彩未分析60315!$A:$M,13,0)</f>
        <v>27</v>
      </c>
      <c r="H410" s="3" t="s">
        <v>10</v>
      </c>
      <c r="I410" s="3" t="s">
        <v>810</v>
      </c>
    </row>
    <row r="411" customHeight="1" spans="1:9">
      <c r="A411" s="4" t="s">
        <v>811</v>
      </c>
      <c r="B411" s="4">
        <f>VLOOKUP($A411,[1]彩未分析60315!$A:$M,8,0)</f>
        <v>52</v>
      </c>
      <c r="C411" s="4">
        <f>VLOOKUP($A411,[1]彩未分析60315!$A:$M,9,0)</f>
        <v>52</v>
      </c>
      <c r="D411" s="4">
        <f>VLOOKUP($A411,[1]彩未分析60315!$A:$M,10,0)</f>
        <v>51</v>
      </c>
      <c r="E411" s="4">
        <f>VLOOKUP($A411,[1]彩未分析60315!$A:$M,11,0)</f>
        <v>50</v>
      </c>
      <c r="F411" s="4">
        <f>VLOOKUP($A411,[1]彩未分析60315!$A:$M,12,0)</f>
        <v>49</v>
      </c>
      <c r="G411" s="4">
        <f>VLOOKUP($A411,[1]彩未分析60315!$A:$M,13,0)</f>
        <v>49</v>
      </c>
      <c r="H411" s="3" t="s">
        <v>39</v>
      </c>
      <c r="I411" s="3" t="s">
        <v>812</v>
      </c>
    </row>
    <row r="412" customHeight="1" spans="1:9">
      <c r="A412" s="4" t="s">
        <v>813</v>
      </c>
      <c r="B412" s="4">
        <f>VLOOKUP($A412,[1]彩未分析60315!$A:$M,8,0)</f>
        <v>44</v>
      </c>
      <c r="C412" s="4">
        <f>VLOOKUP($A412,[1]彩未分析60315!$A:$M,9,0)</f>
        <v>42</v>
      </c>
      <c r="D412" s="4">
        <f>VLOOKUP($A412,[1]彩未分析60315!$A:$M,10,0)</f>
        <v>41</v>
      </c>
      <c r="E412" s="4">
        <f>VLOOKUP($A412,[1]彩未分析60315!$A:$M,11,0)</f>
        <v>39</v>
      </c>
      <c r="F412" s="4">
        <f>VLOOKUP($A412,[1]彩未分析60315!$A:$M,12,0)</f>
        <v>37</v>
      </c>
      <c r="G412" s="4">
        <f>VLOOKUP($A412,[1]彩未分析60315!$A:$M,13,0)</f>
        <v>36</v>
      </c>
      <c r="H412" s="3" t="s">
        <v>10</v>
      </c>
      <c r="I412" s="3" t="s">
        <v>814</v>
      </c>
    </row>
    <row r="413" customHeight="1" spans="1:9">
      <c r="A413" s="4" t="s">
        <v>815</v>
      </c>
      <c r="B413" s="4">
        <f>VLOOKUP($A413,[1]彩未分析60315!$A:$M,8,0)</f>
        <v>52</v>
      </c>
      <c r="C413" s="4">
        <f>VLOOKUP($A413,[1]彩未分析60315!$A:$M,9,0)</f>
        <v>52</v>
      </c>
      <c r="D413" s="4">
        <f>VLOOKUP($A413,[1]彩未分析60315!$A:$M,10,0)</f>
        <v>51</v>
      </c>
      <c r="E413" s="4">
        <f>VLOOKUP($A413,[1]彩未分析60315!$A:$M,11,0)</f>
        <v>50</v>
      </c>
      <c r="F413" s="4">
        <f>VLOOKUP($A413,[1]彩未分析60315!$A:$M,12,0)</f>
        <v>49</v>
      </c>
      <c r="G413" s="4">
        <f>VLOOKUP($A413,[1]彩未分析60315!$A:$M,13,0)</f>
        <v>49</v>
      </c>
      <c r="H413" s="3" t="s">
        <v>39</v>
      </c>
      <c r="I413" s="3" t="s">
        <v>816</v>
      </c>
    </row>
    <row r="414" customHeight="1" spans="1:9">
      <c r="A414" s="4" t="s">
        <v>817</v>
      </c>
      <c r="B414" s="4">
        <f>VLOOKUP($A414,[1]彩未分析60315!$A:$M,8,0)</f>
        <v>50</v>
      </c>
      <c r="C414" s="4">
        <f>VLOOKUP($A414,[1]彩未分析60315!$A:$M,9,0)</f>
        <v>49</v>
      </c>
      <c r="D414" s="4">
        <f>VLOOKUP($A414,[1]彩未分析60315!$A:$M,10,0)</f>
        <v>48</v>
      </c>
      <c r="E414" s="4">
        <f>VLOOKUP($A414,[1]彩未分析60315!$A:$M,11,0)</f>
        <v>47</v>
      </c>
      <c r="F414" s="4">
        <f>VLOOKUP($A414,[1]彩未分析60315!$A:$M,12,0)</f>
        <v>47</v>
      </c>
      <c r="G414" s="4">
        <f>VLOOKUP($A414,[1]彩未分析60315!$A:$M,13,0)</f>
        <v>46</v>
      </c>
      <c r="H414" s="3" t="s">
        <v>39</v>
      </c>
      <c r="I414" s="3" t="s">
        <v>818</v>
      </c>
    </row>
    <row r="415" customHeight="1" spans="1:9">
      <c r="A415" s="4" t="s">
        <v>819</v>
      </c>
      <c r="B415" s="4">
        <f>VLOOKUP($A415,[1]彩未分析60315!$A:$M,8,0)</f>
        <v>50</v>
      </c>
      <c r="C415" s="4">
        <f>VLOOKUP($A415,[1]彩未分析60315!$A:$M,9,0)</f>
        <v>49</v>
      </c>
      <c r="D415" s="4">
        <f>VLOOKUP($A415,[1]彩未分析60315!$A:$M,10,0)</f>
        <v>48</v>
      </c>
      <c r="E415" s="4">
        <f>VLOOKUP($A415,[1]彩未分析60315!$A:$M,11,0)</f>
        <v>47</v>
      </c>
      <c r="F415" s="4">
        <f>VLOOKUP($A415,[1]彩未分析60315!$A:$M,12,0)</f>
        <v>47</v>
      </c>
      <c r="G415" s="4">
        <f>VLOOKUP($A415,[1]彩未分析60315!$A:$M,13,0)</f>
        <v>46</v>
      </c>
      <c r="H415" s="3" t="s">
        <v>39</v>
      </c>
      <c r="I415" s="3" t="s">
        <v>820</v>
      </c>
    </row>
    <row r="416" customHeight="1" spans="1:9">
      <c r="A416" s="4" t="s">
        <v>821</v>
      </c>
      <c r="B416" s="4">
        <f>VLOOKUP($A416,[1]彩未分析60315!$A:$M,8,0)</f>
        <v>46</v>
      </c>
      <c r="C416" s="4">
        <f>VLOOKUP($A416,[1]彩未分析60315!$A:$M,9,0)</f>
        <v>44</v>
      </c>
      <c r="D416" s="4">
        <f>VLOOKUP($A416,[1]彩未分析60315!$A:$M,10,0)</f>
        <v>42</v>
      </c>
      <c r="E416" s="4">
        <f>VLOOKUP($A416,[1]彩未分析60315!$A:$M,11,0)</f>
        <v>41</v>
      </c>
      <c r="F416" s="4">
        <f>VLOOKUP($A416,[1]彩未分析60315!$A:$M,12,0)</f>
        <v>39</v>
      </c>
      <c r="G416" s="4">
        <f>VLOOKUP($A416,[1]彩未分析60315!$A:$M,13,0)</f>
        <v>37</v>
      </c>
      <c r="H416" s="3" t="s">
        <v>10</v>
      </c>
      <c r="I416" s="3" t="s">
        <v>822</v>
      </c>
    </row>
    <row r="417" customHeight="1" spans="1:9">
      <c r="A417" s="4" t="s">
        <v>823</v>
      </c>
      <c r="B417" s="4">
        <f>VLOOKUP($A417,[1]彩未分析60315!$A:$M,8,0)</f>
        <v>36</v>
      </c>
      <c r="C417" s="4">
        <f>VLOOKUP($A417,[1]彩未分析60315!$A:$M,9,0)</f>
        <v>35</v>
      </c>
      <c r="D417" s="4">
        <f>VLOOKUP($A417,[1]彩未分析60315!$A:$M,10,0)</f>
        <v>33</v>
      </c>
      <c r="E417" s="4">
        <f>VLOOKUP($A417,[1]彩未分析60315!$A:$M,11,0)</f>
        <v>32</v>
      </c>
      <c r="F417" s="4">
        <f>VLOOKUP($A417,[1]彩未分析60315!$A:$M,12,0)</f>
        <v>31</v>
      </c>
      <c r="G417" s="4">
        <f>VLOOKUP($A417,[1]彩未分析60315!$A:$M,13,0)</f>
        <v>29</v>
      </c>
      <c r="H417" s="3" t="s">
        <v>10</v>
      </c>
      <c r="I417" s="3" t="s">
        <v>824</v>
      </c>
    </row>
    <row r="418" customHeight="1" spans="1:9">
      <c r="A418" s="4" t="s">
        <v>825</v>
      </c>
      <c r="B418" s="4">
        <f>VLOOKUP($A418,[1]彩未分析60315!$A:$M,8,0)</f>
        <v>65</v>
      </c>
      <c r="C418" s="4">
        <f>VLOOKUP($A418,[1]彩未分析60315!$A:$M,9,0)</f>
        <v>64</v>
      </c>
      <c r="D418" s="4">
        <f>VLOOKUP($A418,[1]彩未分析60315!$A:$M,10,0)</f>
        <v>63</v>
      </c>
      <c r="E418" s="4">
        <f>VLOOKUP($A418,[1]彩未分析60315!$A:$M,11,0)</f>
        <v>62</v>
      </c>
      <c r="F418" s="4">
        <f>VLOOKUP($A418,[1]彩未分析60315!$A:$M,12,0)</f>
        <v>61</v>
      </c>
      <c r="G418" s="4">
        <f>VLOOKUP($A418,[1]彩未分析60315!$A:$M,13,0)</f>
        <v>60</v>
      </c>
      <c r="H418" s="3" t="s">
        <v>39</v>
      </c>
      <c r="I418" s="3" t="s">
        <v>826</v>
      </c>
    </row>
    <row r="419" customHeight="1" spans="1:9">
      <c r="A419" s="4" t="s">
        <v>827</v>
      </c>
      <c r="B419" s="4">
        <f>VLOOKUP($A419,[1]彩未分析60315!$A:$M,8,0)</f>
        <v>43</v>
      </c>
      <c r="C419" s="4">
        <f>VLOOKUP($A419,[1]彩未分析60315!$A:$M,9,0)</f>
        <v>42</v>
      </c>
      <c r="D419" s="4">
        <f>VLOOKUP($A419,[1]彩未分析60315!$A:$M,10,0)</f>
        <v>41</v>
      </c>
      <c r="E419" s="4">
        <f>VLOOKUP($A419,[1]彩未分析60315!$A:$M,11,0)</f>
        <v>40</v>
      </c>
      <c r="F419" s="4">
        <f>VLOOKUP($A419,[1]彩未分析60315!$A:$M,12,0)</f>
        <v>40</v>
      </c>
      <c r="G419" s="4">
        <f>VLOOKUP($A419,[1]彩未分析60315!$A:$M,13,0)</f>
        <v>39</v>
      </c>
      <c r="H419" s="3" t="s">
        <v>39</v>
      </c>
      <c r="I419" s="3" t="s">
        <v>828</v>
      </c>
    </row>
    <row r="420" customHeight="1" spans="1:9">
      <c r="A420" s="4" t="s">
        <v>829</v>
      </c>
      <c r="B420" s="4">
        <f>VLOOKUP($A420,[1]彩未分析60315!$A:$M,8,0)</f>
        <v>45</v>
      </c>
      <c r="C420" s="4">
        <f>VLOOKUP($A420,[1]彩未分析60315!$A:$M,9,0)</f>
        <v>43</v>
      </c>
      <c r="D420" s="4">
        <f>VLOOKUP($A420,[1]彩未分析60315!$A:$M,10,0)</f>
        <v>42</v>
      </c>
      <c r="E420" s="4">
        <f>VLOOKUP($A420,[1]彩未分析60315!$A:$M,11,0)</f>
        <v>40</v>
      </c>
      <c r="F420" s="4">
        <f>VLOOKUP($A420,[1]彩未分析60315!$A:$M,12,0)</f>
        <v>38</v>
      </c>
      <c r="G420" s="4">
        <f>VLOOKUP($A420,[1]彩未分析60315!$A:$M,13,0)</f>
        <v>37</v>
      </c>
      <c r="H420" s="3" t="s">
        <v>10</v>
      </c>
      <c r="I420" s="3" t="s">
        <v>830</v>
      </c>
    </row>
    <row r="421" customHeight="1" spans="1:9">
      <c r="A421" s="4" t="s">
        <v>831</v>
      </c>
      <c r="B421" s="4">
        <f>VLOOKUP($A421,[1]彩未分析60315!$A:$M,8,0)</f>
        <v>59</v>
      </c>
      <c r="C421" s="4">
        <f>VLOOKUP($A421,[1]彩未分析60315!$A:$M,9,0)</f>
        <v>58</v>
      </c>
      <c r="D421" s="4">
        <f>VLOOKUP($A421,[1]彩未分析60315!$A:$M,10,0)</f>
        <v>57</v>
      </c>
      <c r="E421" s="4">
        <f>VLOOKUP($A421,[1]彩未分析60315!$A:$M,11,0)</f>
        <v>56</v>
      </c>
      <c r="F421" s="4">
        <f>VLOOKUP($A421,[1]彩未分析60315!$A:$M,12,0)</f>
        <v>55</v>
      </c>
      <c r="G421" s="4">
        <f>VLOOKUP($A421,[1]彩未分析60315!$A:$M,13,0)</f>
        <v>54</v>
      </c>
      <c r="H421" s="3" t="s">
        <v>39</v>
      </c>
      <c r="I421" s="3" t="s">
        <v>832</v>
      </c>
    </row>
    <row r="422" customHeight="1" spans="1:9">
      <c r="A422" s="4" t="s">
        <v>833</v>
      </c>
      <c r="B422" s="4">
        <f>VLOOKUP($A422,[1]彩未分析60315!$A:$M,8,0)</f>
        <v>55</v>
      </c>
      <c r="C422" s="4">
        <f>VLOOKUP($A422,[1]彩未分析60315!$A:$M,9,0)</f>
        <v>54</v>
      </c>
      <c r="D422" s="4">
        <f>VLOOKUP($A422,[1]彩未分析60315!$A:$M,10,0)</f>
        <v>53</v>
      </c>
      <c r="E422" s="4">
        <f>VLOOKUP($A422,[1]彩未分析60315!$A:$M,11,0)</f>
        <v>52</v>
      </c>
      <c r="F422" s="4">
        <f>VLOOKUP($A422,[1]彩未分析60315!$A:$M,12,0)</f>
        <v>52</v>
      </c>
      <c r="G422" s="4">
        <f>VLOOKUP($A422,[1]彩未分析60315!$A:$M,13,0)</f>
        <v>51</v>
      </c>
      <c r="H422" s="3" t="s">
        <v>39</v>
      </c>
      <c r="I422" s="3" t="s">
        <v>616</v>
      </c>
    </row>
    <row r="423" customHeight="1" spans="1:9">
      <c r="A423" s="4" t="s">
        <v>834</v>
      </c>
      <c r="B423" s="4">
        <f>VLOOKUP($A423,[1]彩未分析60315!$A:$M,8,0)</f>
        <v>43</v>
      </c>
      <c r="C423" s="4">
        <f>VLOOKUP($A423,[1]彩未分析60315!$A:$M,9,0)</f>
        <v>42</v>
      </c>
      <c r="D423" s="4">
        <f>VLOOKUP($A423,[1]彩未分析60315!$A:$M,10,0)</f>
        <v>41</v>
      </c>
      <c r="E423" s="4">
        <f>VLOOKUP($A423,[1]彩未分析60315!$A:$M,11,0)</f>
        <v>40</v>
      </c>
      <c r="F423" s="4">
        <f>VLOOKUP($A423,[1]彩未分析60315!$A:$M,12,0)</f>
        <v>40</v>
      </c>
      <c r="G423" s="4">
        <f>VLOOKUP($A423,[1]彩未分析60315!$A:$M,13,0)</f>
        <v>39</v>
      </c>
      <c r="H423" s="3" t="s">
        <v>39</v>
      </c>
      <c r="I423" s="3" t="s">
        <v>828</v>
      </c>
    </row>
    <row r="424" customHeight="1" spans="1:9">
      <c r="A424" s="4" t="s">
        <v>835</v>
      </c>
      <c r="B424" s="4">
        <f>VLOOKUP($A424,[1]彩未分析60315!$A:$M,8,0)</f>
        <v>62</v>
      </c>
      <c r="C424" s="4">
        <f>VLOOKUP($A424,[1]彩未分析60315!$A:$M,9,0)</f>
        <v>61</v>
      </c>
      <c r="D424" s="4">
        <f>VLOOKUP($A424,[1]彩未分析60315!$A:$M,10,0)</f>
        <v>60</v>
      </c>
      <c r="E424" s="4">
        <f>VLOOKUP($A424,[1]彩未分析60315!$A:$M,11,0)</f>
        <v>59</v>
      </c>
      <c r="F424" s="4">
        <f>VLOOKUP($A424,[1]彩未分析60315!$A:$M,12,0)</f>
        <v>59</v>
      </c>
      <c r="G424" s="4">
        <f>VLOOKUP($A424,[1]彩未分析60315!$A:$M,13,0)</f>
        <v>58</v>
      </c>
      <c r="H424" s="3" t="s">
        <v>39</v>
      </c>
      <c r="I424" s="3" t="s">
        <v>836</v>
      </c>
    </row>
    <row r="425" customHeight="1" spans="1:9">
      <c r="A425" s="4" t="s">
        <v>837</v>
      </c>
      <c r="B425" s="4">
        <f>VLOOKUP($A425,[1]彩未分析60315!$A:$M,8,0)</f>
        <v>50</v>
      </c>
      <c r="C425" s="4">
        <f>VLOOKUP($A425,[1]彩未分析60315!$A:$M,9,0)</f>
        <v>49</v>
      </c>
      <c r="D425" s="4">
        <f>VLOOKUP($A425,[1]彩未分析60315!$A:$M,10,0)</f>
        <v>48</v>
      </c>
      <c r="E425" s="4">
        <f>VLOOKUP($A425,[1]彩未分析60315!$A:$M,11,0)</f>
        <v>47</v>
      </c>
      <c r="F425" s="4">
        <f>VLOOKUP($A425,[1]彩未分析60315!$A:$M,12,0)</f>
        <v>47</v>
      </c>
      <c r="G425" s="4">
        <f>VLOOKUP($A425,[1]彩未分析60315!$A:$M,13,0)</f>
        <v>46</v>
      </c>
      <c r="H425" s="3" t="s">
        <v>39</v>
      </c>
      <c r="I425" s="3" t="s">
        <v>838</v>
      </c>
    </row>
    <row r="426" customHeight="1" spans="1:9">
      <c r="A426" s="4" t="s">
        <v>839</v>
      </c>
      <c r="B426" s="4">
        <f>VLOOKUP($A426,[1]彩未分析60315!$A:$M,8,0)</f>
        <v>43</v>
      </c>
      <c r="C426" s="4">
        <f>VLOOKUP($A426,[1]彩未分析60315!$A:$M,9,0)</f>
        <v>42</v>
      </c>
      <c r="D426" s="4">
        <f>VLOOKUP($A426,[1]彩未分析60315!$A:$M,10,0)</f>
        <v>41</v>
      </c>
      <c r="E426" s="4">
        <f>VLOOKUP($A426,[1]彩未分析60315!$A:$M,11,0)</f>
        <v>40</v>
      </c>
      <c r="F426" s="4">
        <f>VLOOKUP($A426,[1]彩未分析60315!$A:$M,12,0)</f>
        <v>40</v>
      </c>
      <c r="G426" s="4">
        <f>VLOOKUP($A426,[1]彩未分析60315!$A:$M,13,0)</f>
        <v>39</v>
      </c>
      <c r="H426" s="3" t="s">
        <v>39</v>
      </c>
      <c r="I426" s="3" t="s">
        <v>828</v>
      </c>
    </row>
    <row r="427" customHeight="1" spans="1:9">
      <c r="A427" s="4" t="s">
        <v>840</v>
      </c>
      <c r="B427" s="4">
        <f>VLOOKUP($A427,[1]彩未分析60315!$A:$M,8,0)</f>
        <v>44</v>
      </c>
      <c r="C427" s="4">
        <f>VLOOKUP($A427,[1]彩未分析60315!$A:$M,9,0)</f>
        <v>43</v>
      </c>
      <c r="D427" s="4">
        <f>VLOOKUP($A427,[1]彩未分析60315!$A:$M,10,0)</f>
        <v>42</v>
      </c>
      <c r="E427" s="4">
        <f>VLOOKUP($A427,[1]彩未分析60315!$A:$M,11,0)</f>
        <v>42</v>
      </c>
      <c r="F427" s="4">
        <f>VLOOKUP($A427,[1]彩未分析60315!$A:$M,12,0)</f>
        <v>41</v>
      </c>
      <c r="G427" s="4">
        <f>VLOOKUP($A427,[1]彩未分析60315!$A:$M,13,0)</f>
        <v>40</v>
      </c>
      <c r="H427" s="3" t="s">
        <v>39</v>
      </c>
      <c r="I427" s="3" t="s">
        <v>841</v>
      </c>
    </row>
    <row r="428" customHeight="1" spans="1:9">
      <c r="A428" s="4" t="s">
        <v>842</v>
      </c>
      <c r="B428" s="4">
        <f>VLOOKUP($A428,[1]彩未分析60315!$A:$M,8,0)</f>
        <v>47</v>
      </c>
      <c r="C428" s="4">
        <f>VLOOKUP($A428,[1]彩未分析60315!$A:$M,9,0)</f>
        <v>47</v>
      </c>
      <c r="D428" s="4">
        <f>VLOOKUP($A428,[1]彩未分析60315!$A:$M,10,0)</f>
        <v>46</v>
      </c>
      <c r="E428" s="4">
        <f>VLOOKUP($A428,[1]彩未分析60315!$A:$M,11,0)</f>
        <v>45</v>
      </c>
      <c r="F428" s="4">
        <f>VLOOKUP($A428,[1]彩未分析60315!$A:$M,12,0)</f>
        <v>45</v>
      </c>
      <c r="G428" s="4">
        <f>VLOOKUP($A428,[1]彩未分析60315!$A:$M,13,0)</f>
        <v>44</v>
      </c>
      <c r="H428" s="3" t="s">
        <v>39</v>
      </c>
      <c r="I428" s="3" t="s">
        <v>843</v>
      </c>
    </row>
    <row r="429" customHeight="1" spans="1:9">
      <c r="A429" s="4" t="s">
        <v>844</v>
      </c>
      <c r="B429" s="4">
        <f>VLOOKUP($A429,[1]彩未分析60315!$A:$M,8,0)</f>
        <v>59</v>
      </c>
      <c r="C429" s="4">
        <f>VLOOKUP($A429,[1]彩未分析60315!$A:$M,9,0)</f>
        <v>58</v>
      </c>
      <c r="D429" s="4">
        <f>VLOOKUP($A429,[1]彩未分析60315!$A:$M,10,0)</f>
        <v>57</v>
      </c>
      <c r="E429" s="4">
        <f>VLOOKUP($A429,[1]彩未分析60315!$A:$M,11,0)</f>
        <v>56</v>
      </c>
      <c r="F429" s="4">
        <f>VLOOKUP($A429,[1]彩未分析60315!$A:$M,12,0)</f>
        <v>55</v>
      </c>
      <c r="G429" s="4">
        <f>VLOOKUP($A429,[1]彩未分析60315!$A:$M,13,0)</f>
        <v>54</v>
      </c>
      <c r="H429" s="3" t="s">
        <v>39</v>
      </c>
      <c r="I429" s="3" t="s">
        <v>845</v>
      </c>
    </row>
    <row r="430" customHeight="1" spans="1:9">
      <c r="A430" s="4" t="s">
        <v>846</v>
      </c>
      <c r="B430" s="4">
        <f>VLOOKUP($A430,[1]彩未分析60315!$A:$M,8,0)</f>
        <v>63</v>
      </c>
      <c r="C430" s="4">
        <f>VLOOKUP($A430,[1]彩未分析60315!$A:$M,9,0)</f>
        <v>62</v>
      </c>
      <c r="D430" s="4">
        <f>VLOOKUP($A430,[1]彩未分析60315!$A:$M,10,0)</f>
        <v>61</v>
      </c>
      <c r="E430" s="4">
        <f>VLOOKUP($A430,[1]彩未分析60315!$A:$M,11,0)</f>
        <v>59</v>
      </c>
      <c r="F430" s="4">
        <f>VLOOKUP($A430,[1]彩未分析60315!$A:$M,12,0)</f>
        <v>59</v>
      </c>
      <c r="G430" s="4">
        <f>VLOOKUP($A430,[1]彩未分析60315!$A:$M,13,0)</f>
        <v>58</v>
      </c>
      <c r="H430" s="3" t="s">
        <v>39</v>
      </c>
      <c r="I430" s="3" t="s">
        <v>847</v>
      </c>
    </row>
    <row r="431" customHeight="1" spans="1:9">
      <c r="A431" s="4" t="s">
        <v>848</v>
      </c>
      <c r="B431" s="4">
        <f>VLOOKUP($A431,[1]彩未分析60315!$A:$M,8,0)</f>
        <v>51</v>
      </c>
      <c r="C431" s="4">
        <f>VLOOKUP($A431,[1]彩未分析60315!$A:$M,9,0)</f>
        <v>50</v>
      </c>
      <c r="D431" s="4">
        <f>VLOOKUP($A431,[1]彩未分析60315!$A:$M,10,0)</f>
        <v>50</v>
      </c>
      <c r="E431" s="4">
        <f>VLOOKUP($A431,[1]彩未分析60315!$A:$M,11,0)</f>
        <v>49</v>
      </c>
      <c r="F431" s="4">
        <f>VLOOKUP($A431,[1]彩未分析60315!$A:$M,12,0)</f>
        <v>48</v>
      </c>
      <c r="G431" s="4">
        <f>VLOOKUP($A431,[1]彩未分析60315!$A:$M,13,0)</f>
        <v>47</v>
      </c>
      <c r="H431" s="3" t="s">
        <v>39</v>
      </c>
      <c r="I431" s="3" t="s">
        <v>849</v>
      </c>
    </row>
    <row r="432" customHeight="1" spans="1:9">
      <c r="A432" s="4" t="s">
        <v>850</v>
      </c>
      <c r="B432" s="4">
        <f>VLOOKUP($A432,[1]彩未分析60315!$A:$M,8,0)</f>
        <v>60</v>
      </c>
      <c r="C432" s="4">
        <f>VLOOKUP($A432,[1]彩未分析60315!$A:$M,9,0)</f>
        <v>59</v>
      </c>
      <c r="D432" s="4">
        <f>VLOOKUP($A432,[1]彩未分析60315!$A:$M,10,0)</f>
        <v>58</v>
      </c>
      <c r="E432" s="4">
        <f>VLOOKUP($A432,[1]彩未分析60315!$A:$M,11,0)</f>
        <v>57</v>
      </c>
      <c r="F432" s="4">
        <f>VLOOKUP($A432,[1]彩未分析60315!$A:$M,12,0)</f>
        <v>57</v>
      </c>
      <c r="G432" s="4">
        <f>VLOOKUP($A432,[1]彩未分析60315!$A:$M,13,0)</f>
        <v>56</v>
      </c>
      <c r="H432" s="3" t="s">
        <v>39</v>
      </c>
      <c r="I432" s="3" t="s">
        <v>851</v>
      </c>
    </row>
    <row r="433" customHeight="1" spans="1:9">
      <c r="A433" s="4" t="s">
        <v>852</v>
      </c>
      <c r="B433" s="4">
        <f>VLOOKUP($A433,[1]彩未分析60315!$A:$M,8,0)</f>
        <v>50</v>
      </c>
      <c r="C433" s="4">
        <f>VLOOKUP($A433,[1]彩未分析60315!$A:$M,9,0)</f>
        <v>49</v>
      </c>
      <c r="D433" s="4">
        <f>VLOOKUP($A433,[1]彩未分析60315!$A:$M,10,0)</f>
        <v>48</v>
      </c>
      <c r="E433" s="4">
        <f>VLOOKUP($A433,[1]彩未分析60315!$A:$M,11,0)</f>
        <v>47</v>
      </c>
      <c r="F433" s="4">
        <f>VLOOKUP($A433,[1]彩未分析60315!$A:$M,12,0)</f>
        <v>47</v>
      </c>
      <c r="G433" s="4">
        <f>VLOOKUP($A433,[1]彩未分析60315!$A:$M,13,0)</f>
        <v>46</v>
      </c>
      <c r="H433" s="3" t="s">
        <v>39</v>
      </c>
      <c r="I433" s="3" t="s">
        <v>853</v>
      </c>
    </row>
    <row r="434" customHeight="1" spans="1:9">
      <c r="A434" s="4" t="s">
        <v>854</v>
      </c>
      <c r="B434" s="4">
        <f>VLOOKUP($A434,[1]彩未分析60315!$A:$M,8,0)</f>
        <v>44</v>
      </c>
      <c r="C434" s="4">
        <f>VLOOKUP($A434,[1]彩未分析60315!$A:$M,9,0)</f>
        <v>43</v>
      </c>
      <c r="D434" s="4">
        <f>VLOOKUP($A434,[1]彩未分析60315!$A:$M,10,0)</f>
        <v>41</v>
      </c>
      <c r="E434" s="4">
        <f>VLOOKUP($A434,[1]彩未分析60315!$A:$M,11,0)</f>
        <v>39</v>
      </c>
      <c r="F434" s="4">
        <f>VLOOKUP($A434,[1]彩未分析60315!$A:$M,12,0)</f>
        <v>38</v>
      </c>
      <c r="G434" s="4">
        <f>VLOOKUP($A434,[1]彩未分析60315!$A:$M,13,0)</f>
        <v>36</v>
      </c>
      <c r="H434" s="3" t="s">
        <v>10</v>
      </c>
      <c r="I434" s="3" t="s">
        <v>855</v>
      </c>
    </row>
    <row r="435" customHeight="1" spans="1:9">
      <c r="A435" s="5" t="s">
        <v>856</v>
      </c>
      <c r="B435" s="4">
        <f>VLOOKUP($A435,[1]彩未分析60315!$A:$M,8,0)</f>
        <v>54</v>
      </c>
      <c r="C435" s="4">
        <f>VLOOKUP($A435,[1]彩未分析60315!$A:$M,9,0)</f>
        <v>53</v>
      </c>
      <c r="D435" s="4">
        <f>VLOOKUP($A435,[1]彩未分析60315!$A:$M,10,0)</f>
        <v>52</v>
      </c>
      <c r="E435" s="4">
        <f>VLOOKUP($A435,[1]彩未分析60315!$A:$M,11,0)</f>
        <v>51</v>
      </c>
      <c r="F435" s="4">
        <f>VLOOKUP($A435,[1]彩未分析60315!$A:$M,12,0)</f>
        <v>51</v>
      </c>
      <c r="G435" s="4">
        <f>VLOOKUP($A435,[1]彩未分析60315!$A:$M,13,0)</f>
        <v>50</v>
      </c>
      <c r="H435" s="3" t="s">
        <v>39</v>
      </c>
      <c r="I435" s="3" t="s">
        <v>857</v>
      </c>
    </row>
    <row r="436" customHeight="1" spans="1:9">
      <c r="A436" s="5" t="s">
        <v>858</v>
      </c>
      <c r="B436" s="4">
        <f>VLOOKUP($A436,[1]彩未分析60315!$A:$M,8,0)</f>
        <v>32</v>
      </c>
      <c r="C436" s="4">
        <f>VLOOKUP($A436,[1]彩未分析60315!$A:$M,9,0)</f>
        <v>31</v>
      </c>
      <c r="D436" s="4">
        <f>VLOOKUP($A436,[1]彩未分析60315!$A:$M,10,0)</f>
        <v>30</v>
      </c>
      <c r="E436" s="4">
        <f>VLOOKUP($A436,[1]彩未分析60315!$A:$M,11,0)</f>
        <v>29</v>
      </c>
      <c r="F436" s="4">
        <f>VLOOKUP($A436,[1]彩未分析60315!$A:$M,12,0)</f>
        <v>28</v>
      </c>
      <c r="G436" s="4">
        <f>VLOOKUP($A436,[1]彩未分析60315!$A:$M,13,0)</f>
        <v>26</v>
      </c>
      <c r="H436" s="3" t="s">
        <v>10</v>
      </c>
      <c r="I436" s="3" t="s">
        <v>859</v>
      </c>
    </row>
    <row r="437" customHeight="1" spans="1:9">
      <c r="A437" s="5" t="s">
        <v>860</v>
      </c>
      <c r="B437" s="4">
        <f>VLOOKUP($A437,[1]彩未分析60315!$A:$M,8,0)</f>
        <v>46</v>
      </c>
      <c r="C437" s="4">
        <f>VLOOKUP($A437,[1]彩未分析60315!$A:$M,9,0)</f>
        <v>45</v>
      </c>
      <c r="D437" s="4">
        <f>VLOOKUP($A437,[1]彩未分析60315!$A:$M,10,0)</f>
        <v>43</v>
      </c>
      <c r="E437" s="4">
        <f>VLOOKUP($A437,[1]彩未分析60315!$A:$M,11,0)</f>
        <v>41</v>
      </c>
      <c r="F437" s="4">
        <f>VLOOKUP($A437,[1]彩未分析60315!$A:$M,12,0)</f>
        <v>40</v>
      </c>
      <c r="G437" s="4">
        <f>VLOOKUP($A437,[1]彩未分析60315!$A:$M,13,0)</f>
        <v>38</v>
      </c>
      <c r="H437" s="3" t="s">
        <v>10</v>
      </c>
      <c r="I437" s="3" t="s">
        <v>861</v>
      </c>
    </row>
    <row r="438" customHeight="1" spans="1:9">
      <c r="A438" s="5" t="s">
        <v>862</v>
      </c>
      <c r="B438" s="4">
        <f>VLOOKUP($A438,[1]彩未分析60315!$A:$M,8,0)</f>
        <v>47</v>
      </c>
      <c r="C438" s="4">
        <f>VLOOKUP($A438,[1]彩未分析60315!$A:$M,9,0)</f>
        <v>45</v>
      </c>
      <c r="D438" s="4">
        <f>VLOOKUP($A438,[1]彩未分析60315!$A:$M,10,0)</f>
        <v>44</v>
      </c>
      <c r="E438" s="4">
        <f>VLOOKUP($A438,[1]彩未分析60315!$A:$M,11,0)</f>
        <v>42</v>
      </c>
      <c r="F438" s="4">
        <f>VLOOKUP($A438,[1]彩未分析60315!$A:$M,12,0)</f>
        <v>40</v>
      </c>
      <c r="G438" s="4">
        <f>VLOOKUP($A438,[1]彩未分析60315!$A:$M,13,0)</f>
        <v>39</v>
      </c>
      <c r="H438" s="3" t="s">
        <v>10</v>
      </c>
      <c r="I438" s="3" t="s">
        <v>863</v>
      </c>
    </row>
    <row r="439" customHeight="1" spans="1:9">
      <c r="A439" s="5" t="s">
        <v>864</v>
      </c>
      <c r="B439" s="4">
        <f>VLOOKUP($A439,[1]彩未分析60315!$A:$M,8,0)</f>
        <v>56</v>
      </c>
      <c r="C439" s="4">
        <f>VLOOKUP($A439,[1]彩未分析60315!$A:$M,9,0)</f>
        <v>55</v>
      </c>
      <c r="D439" s="4">
        <f>VLOOKUP($A439,[1]彩未分析60315!$A:$M,10,0)</f>
        <v>54</v>
      </c>
      <c r="E439" s="4">
        <f>VLOOKUP($A439,[1]彩未分析60315!$A:$M,11,0)</f>
        <v>53</v>
      </c>
      <c r="F439" s="4">
        <f>VLOOKUP($A439,[1]彩未分析60315!$A:$M,12,0)</f>
        <v>53</v>
      </c>
      <c r="G439" s="4">
        <f>VLOOKUP($A439,[1]彩未分析60315!$A:$M,13,0)</f>
        <v>52</v>
      </c>
      <c r="H439" s="3" t="s">
        <v>39</v>
      </c>
      <c r="I439" s="3" t="s">
        <v>865</v>
      </c>
    </row>
    <row r="440" customHeight="1" spans="1:9">
      <c r="A440" s="5" t="s">
        <v>866</v>
      </c>
      <c r="B440" s="4">
        <f>VLOOKUP($A440,[1]彩未分析60315!$A:$M,8,0)</f>
        <v>52</v>
      </c>
      <c r="C440" s="4">
        <f>VLOOKUP($A440,[1]彩未分析60315!$A:$M,9,0)</f>
        <v>52</v>
      </c>
      <c r="D440" s="4">
        <f>VLOOKUP($A440,[1]彩未分析60315!$A:$M,10,0)</f>
        <v>51</v>
      </c>
      <c r="E440" s="4">
        <f>VLOOKUP($A440,[1]彩未分析60315!$A:$M,11,0)</f>
        <v>50</v>
      </c>
      <c r="F440" s="4">
        <f>VLOOKUP($A440,[1]彩未分析60315!$A:$M,12,0)</f>
        <v>49</v>
      </c>
      <c r="G440" s="4">
        <f>VLOOKUP($A440,[1]彩未分析60315!$A:$M,13,0)</f>
        <v>49</v>
      </c>
      <c r="H440" s="3" t="s">
        <v>39</v>
      </c>
      <c r="I440" s="3" t="s">
        <v>867</v>
      </c>
    </row>
    <row r="441" customHeight="1" spans="1:9">
      <c r="A441" s="5" t="s">
        <v>868</v>
      </c>
      <c r="B441" s="4">
        <f>VLOOKUP($A441,[1]彩未分析60315!$A:$M,8,0)</f>
        <v>47</v>
      </c>
      <c r="C441" s="4">
        <f>VLOOKUP($A441,[1]彩未分析60315!$A:$M,9,0)</f>
        <v>45</v>
      </c>
      <c r="D441" s="4">
        <f>VLOOKUP($A441,[1]彩未分析60315!$A:$M,10,0)</f>
        <v>43</v>
      </c>
      <c r="E441" s="4">
        <f>VLOOKUP($A441,[1]彩未分析60315!$A:$M,11,0)</f>
        <v>41</v>
      </c>
      <c r="F441" s="4">
        <f>VLOOKUP($A441,[1]彩未分析60315!$A:$M,12,0)</f>
        <v>40</v>
      </c>
      <c r="G441" s="4">
        <f>VLOOKUP($A441,[1]彩未分析60315!$A:$M,13,0)</f>
        <v>38</v>
      </c>
      <c r="H441" s="3" t="s">
        <v>10</v>
      </c>
      <c r="I441" s="3" t="s">
        <v>869</v>
      </c>
    </row>
    <row r="442" customHeight="1" spans="1:9">
      <c r="A442" s="5" t="s">
        <v>870</v>
      </c>
      <c r="B442" s="4">
        <f>VLOOKUP($A442,[1]彩未分析60315!$A:$M,8,0)</f>
        <v>50</v>
      </c>
      <c r="C442" s="4">
        <f>VLOOKUP($A442,[1]彩未分析60315!$A:$M,9,0)</f>
        <v>49</v>
      </c>
      <c r="D442" s="4">
        <f>VLOOKUP($A442,[1]彩未分析60315!$A:$M,10,0)</f>
        <v>48</v>
      </c>
      <c r="E442" s="4">
        <f>VLOOKUP($A442,[1]彩未分析60315!$A:$M,11,0)</f>
        <v>47</v>
      </c>
      <c r="F442" s="4">
        <f>VLOOKUP($A442,[1]彩未分析60315!$A:$M,12,0)</f>
        <v>47</v>
      </c>
      <c r="G442" s="4">
        <f>VLOOKUP($A442,[1]彩未分析60315!$A:$M,13,0)</f>
        <v>46</v>
      </c>
      <c r="H442" s="3" t="s">
        <v>39</v>
      </c>
      <c r="I442" s="3" t="s">
        <v>871</v>
      </c>
    </row>
    <row r="443" customHeight="1" spans="1:9">
      <c r="A443" s="5" t="s">
        <v>872</v>
      </c>
      <c r="B443" s="4">
        <f>VLOOKUP($A443,[1]彩未分析60315!$A:$M,8,0)</f>
        <v>50</v>
      </c>
      <c r="C443" s="4">
        <f>VLOOKUP($A443,[1]彩未分析60315!$A:$M,9,0)</f>
        <v>49</v>
      </c>
      <c r="D443" s="4">
        <f>VLOOKUP($A443,[1]彩未分析60315!$A:$M,10,0)</f>
        <v>48</v>
      </c>
      <c r="E443" s="4">
        <f>VLOOKUP($A443,[1]彩未分析60315!$A:$M,11,0)</f>
        <v>47</v>
      </c>
      <c r="F443" s="4">
        <f>VLOOKUP($A443,[1]彩未分析60315!$A:$M,12,0)</f>
        <v>47</v>
      </c>
      <c r="G443" s="4">
        <f>VLOOKUP($A443,[1]彩未分析60315!$A:$M,13,0)</f>
        <v>46</v>
      </c>
      <c r="H443" s="3" t="s">
        <v>39</v>
      </c>
      <c r="I443" s="3" t="s">
        <v>873</v>
      </c>
    </row>
    <row r="444" customHeight="1" spans="1:9">
      <c r="A444" s="5" t="s">
        <v>874</v>
      </c>
      <c r="B444" s="4">
        <f>VLOOKUP($A444,[1]彩未分析60315!$A:$M,8,0)</f>
        <v>40</v>
      </c>
      <c r="C444" s="4">
        <f>VLOOKUP($A444,[1]彩未分析60315!$A:$M,9,0)</f>
        <v>38</v>
      </c>
      <c r="D444" s="4">
        <f>VLOOKUP($A444,[1]彩未分析60315!$A:$M,10,0)</f>
        <v>37</v>
      </c>
      <c r="E444" s="4">
        <f>VLOOKUP($A444,[1]彩未分析60315!$A:$M,11,0)</f>
        <v>35</v>
      </c>
      <c r="F444" s="4">
        <f>VLOOKUP($A444,[1]彩未分析60315!$A:$M,12,0)</f>
        <v>34</v>
      </c>
      <c r="G444" s="4">
        <f>VLOOKUP($A444,[1]彩未分析60315!$A:$M,13,0)</f>
        <v>33</v>
      </c>
      <c r="H444" s="3" t="s">
        <v>10</v>
      </c>
      <c r="I444" s="3" t="s">
        <v>875</v>
      </c>
    </row>
    <row r="445" customHeight="1" spans="1:9">
      <c r="A445" s="5" t="s">
        <v>876</v>
      </c>
      <c r="B445" s="4">
        <f>VLOOKUP($A445,[1]彩未分析60315!$A:$M,8,0)</f>
        <v>46</v>
      </c>
      <c r="C445" s="4">
        <f>VLOOKUP($A445,[1]彩未分析60315!$A:$M,9,0)</f>
        <v>44</v>
      </c>
      <c r="D445" s="4">
        <f>VLOOKUP($A445,[1]彩未分析60315!$A:$M,10,0)</f>
        <v>42</v>
      </c>
      <c r="E445" s="4">
        <f>VLOOKUP($A445,[1]彩未分析60315!$A:$M,11,0)</f>
        <v>41</v>
      </c>
      <c r="F445" s="4">
        <f>VLOOKUP($A445,[1]彩未分析60315!$A:$M,12,0)</f>
        <v>39</v>
      </c>
      <c r="G445" s="4">
        <f>VLOOKUP($A445,[1]彩未分析60315!$A:$M,13,0)</f>
        <v>37</v>
      </c>
      <c r="H445" s="3" t="s">
        <v>10</v>
      </c>
      <c r="I445" s="3" t="s">
        <v>877</v>
      </c>
    </row>
    <row r="446" customHeight="1" spans="1:9">
      <c r="A446" s="5" t="s">
        <v>878</v>
      </c>
      <c r="B446" s="4">
        <f>VLOOKUP($A446,[1]彩未分析60315!$A:$M,8,0)</f>
        <v>33</v>
      </c>
      <c r="C446" s="4">
        <f>VLOOKUP($A446,[1]彩未分析60315!$A:$M,9,0)</f>
        <v>32</v>
      </c>
      <c r="D446" s="4">
        <f>VLOOKUP($A446,[1]彩未分析60315!$A:$M,10,0)</f>
        <v>30</v>
      </c>
      <c r="E446" s="4">
        <f>VLOOKUP($A446,[1]彩未分析60315!$A:$M,11,0)</f>
        <v>29</v>
      </c>
      <c r="F446" s="4">
        <f>VLOOKUP($A446,[1]彩未分析60315!$A:$M,12,0)</f>
        <v>28</v>
      </c>
      <c r="G446" s="4">
        <f>VLOOKUP($A446,[1]彩未分析60315!$A:$M,13,0)</f>
        <v>27</v>
      </c>
      <c r="H446" s="3" t="s">
        <v>10</v>
      </c>
      <c r="I446" s="3" t="s">
        <v>879</v>
      </c>
    </row>
    <row r="447" customHeight="1" spans="1:9">
      <c r="A447" s="5" t="s">
        <v>880</v>
      </c>
      <c r="B447" s="4">
        <f>VLOOKUP($A447,[1]彩未分析60315!$A:$M,8,0)</f>
        <v>39</v>
      </c>
      <c r="C447" s="4">
        <f>VLOOKUP($A447,[1]彩未分析60315!$A:$M,9,0)</f>
        <v>38</v>
      </c>
      <c r="D447" s="4">
        <f>VLOOKUP($A447,[1]彩未分析60315!$A:$M,10,0)</f>
        <v>36</v>
      </c>
      <c r="E447" s="4">
        <f>VLOOKUP($A447,[1]彩未分析60315!$A:$M,11,0)</f>
        <v>35</v>
      </c>
      <c r="F447" s="4">
        <f>VLOOKUP($A447,[1]彩未分析60315!$A:$M,12,0)</f>
        <v>33</v>
      </c>
      <c r="G447" s="4">
        <f>VLOOKUP($A447,[1]彩未分析60315!$A:$M,13,0)</f>
        <v>32</v>
      </c>
      <c r="H447" s="3" t="s">
        <v>10</v>
      </c>
      <c r="I447" s="3" t="s">
        <v>881</v>
      </c>
    </row>
    <row r="448" customHeight="1" spans="1:9">
      <c r="A448" s="5" t="s">
        <v>882</v>
      </c>
      <c r="B448" s="4">
        <f>VLOOKUP($A448,[1]彩未分析60315!$A:$M,8,0)</f>
        <v>49</v>
      </c>
      <c r="C448" s="4">
        <f>VLOOKUP($A448,[1]彩未分析60315!$A:$M,9,0)</f>
        <v>47</v>
      </c>
      <c r="D448" s="4">
        <f>VLOOKUP($A448,[1]彩未分析60315!$A:$M,10,0)</f>
        <v>46</v>
      </c>
      <c r="E448" s="4">
        <f>VLOOKUP($A448,[1]彩未分析60315!$A:$M,11,0)</f>
        <v>44</v>
      </c>
      <c r="F448" s="4">
        <f>VLOOKUP($A448,[1]彩未分析60315!$A:$M,12,0)</f>
        <v>42</v>
      </c>
      <c r="G448" s="4">
        <f>VLOOKUP($A448,[1]彩未分析60315!$A:$M,13,0)</f>
        <v>40</v>
      </c>
      <c r="H448" s="3" t="s">
        <v>10</v>
      </c>
      <c r="I448" s="3" t="s">
        <v>883</v>
      </c>
    </row>
    <row r="449" customHeight="1" spans="1:9">
      <c r="A449" s="4" t="s">
        <v>884</v>
      </c>
      <c r="B449" s="4">
        <f>VLOOKUP($A449,[1]彩未分析60315!$A:$M,8,0)</f>
        <v>37</v>
      </c>
      <c r="C449" s="4">
        <f>VLOOKUP($A449,[1]彩未分析60315!$A:$M,9,0)</f>
        <v>36</v>
      </c>
      <c r="D449" s="4">
        <f>VLOOKUP($A449,[1]彩未分析60315!$A:$M,10,0)</f>
        <v>34</v>
      </c>
      <c r="E449" s="4">
        <f>VLOOKUP($A449,[1]彩未分析60315!$A:$M,11,0)</f>
        <v>33</v>
      </c>
      <c r="F449" s="4">
        <f>VLOOKUP($A449,[1]彩未分析60315!$A:$M,12,0)</f>
        <v>32</v>
      </c>
      <c r="G449" s="4">
        <f>VLOOKUP($A449,[1]彩未分析60315!$A:$M,13,0)</f>
        <v>30</v>
      </c>
      <c r="H449" s="3" t="s">
        <v>10</v>
      </c>
      <c r="I449" s="3" t="s">
        <v>885</v>
      </c>
    </row>
    <row r="450" customHeight="1" spans="1:9">
      <c r="A450" s="4" t="s">
        <v>886</v>
      </c>
      <c r="B450" s="4">
        <f>VLOOKUP($A450,[1]彩未分析60315!$A:$M,8,0)</f>
        <v>38</v>
      </c>
      <c r="C450" s="4">
        <f>VLOOKUP($A450,[1]彩未分析60315!$A:$M,9,0)</f>
        <v>37</v>
      </c>
      <c r="D450" s="4">
        <f>VLOOKUP($A450,[1]彩未分析60315!$A:$M,10,0)</f>
        <v>36</v>
      </c>
      <c r="E450" s="4">
        <f>VLOOKUP($A450,[1]彩未分析60315!$A:$M,11,0)</f>
        <v>36</v>
      </c>
      <c r="F450" s="4">
        <f>VLOOKUP($A450,[1]彩未分析60315!$A:$M,12,0)</f>
        <v>35</v>
      </c>
      <c r="G450" s="4">
        <f>VLOOKUP($A450,[1]彩未分析60315!$A:$M,13,0)</f>
        <v>35</v>
      </c>
      <c r="H450" s="3" t="s">
        <v>39</v>
      </c>
      <c r="I450" s="3" t="s">
        <v>887</v>
      </c>
    </row>
    <row r="451" customHeight="1" spans="1:9">
      <c r="A451" s="4" t="s">
        <v>888</v>
      </c>
      <c r="B451" s="4">
        <f>VLOOKUP($A451,[1]彩未分析60315!$A:$M,8,0)</f>
        <v>38</v>
      </c>
      <c r="C451" s="4">
        <f>VLOOKUP($A451,[1]彩未分析60315!$A:$M,9,0)</f>
        <v>37</v>
      </c>
      <c r="D451" s="4">
        <f>VLOOKUP($A451,[1]彩未分析60315!$A:$M,10,0)</f>
        <v>36</v>
      </c>
      <c r="E451" s="4">
        <f>VLOOKUP($A451,[1]彩未分析60315!$A:$M,11,0)</f>
        <v>36</v>
      </c>
      <c r="F451" s="4">
        <f>VLOOKUP($A451,[1]彩未分析60315!$A:$M,12,0)</f>
        <v>35</v>
      </c>
      <c r="G451" s="4">
        <f>VLOOKUP($A451,[1]彩未分析60315!$A:$M,13,0)</f>
        <v>35</v>
      </c>
      <c r="H451" s="3" t="s">
        <v>39</v>
      </c>
      <c r="I451" s="3" t="s">
        <v>889</v>
      </c>
    </row>
    <row r="452" customHeight="1" spans="1:9">
      <c r="A452" s="4" t="s">
        <v>890</v>
      </c>
      <c r="B452" s="4">
        <f>VLOOKUP($A452,[1]彩未分析60315!$A:$M,8,0)</f>
        <v>27</v>
      </c>
      <c r="C452" s="4">
        <f>VLOOKUP($A452,[1]彩未分析60315!$A:$M,9,0)</f>
        <v>26</v>
      </c>
      <c r="D452" s="4">
        <f>VLOOKUP($A452,[1]彩未分析60315!$A:$M,10,0)</f>
        <v>25</v>
      </c>
      <c r="E452" s="4">
        <f>VLOOKUP($A452,[1]彩未分析60315!$A:$M,11,0)</f>
        <v>24</v>
      </c>
      <c r="F452" s="4">
        <f>VLOOKUP($A452,[1]彩未分析60315!$A:$M,12,0)</f>
        <v>23</v>
      </c>
      <c r="G452" s="4">
        <f>VLOOKUP($A452,[1]彩未分析60315!$A:$M,13,0)</f>
        <v>22</v>
      </c>
      <c r="H452" s="3" t="s">
        <v>10</v>
      </c>
      <c r="I452" s="3" t="s">
        <v>891</v>
      </c>
    </row>
    <row r="453" customHeight="1" spans="1:9">
      <c r="A453" s="4" t="s">
        <v>892</v>
      </c>
      <c r="B453" s="4">
        <f>VLOOKUP($A453,[1]彩未分析60315!$A:$M,8,0)</f>
        <v>34</v>
      </c>
      <c r="C453" s="4">
        <f>VLOOKUP($A453,[1]彩未分析60315!$A:$M,9,0)</f>
        <v>33</v>
      </c>
      <c r="D453" s="4">
        <f>VLOOKUP($A453,[1]彩未分析60315!$A:$M,10,0)</f>
        <v>31</v>
      </c>
      <c r="E453" s="4">
        <f>VLOOKUP($A453,[1]彩未分析60315!$A:$M,11,0)</f>
        <v>30</v>
      </c>
      <c r="F453" s="4">
        <f>VLOOKUP($A453,[1]彩未分析60315!$A:$M,12,0)</f>
        <v>29</v>
      </c>
      <c r="G453" s="4">
        <f>VLOOKUP($A453,[1]彩未分析60315!$A:$M,13,0)</f>
        <v>28</v>
      </c>
      <c r="H453" s="3" t="s">
        <v>10</v>
      </c>
      <c r="I453" s="3" t="s">
        <v>893</v>
      </c>
    </row>
    <row r="454" customHeight="1" spans="1:9">
      <c r="A454" s="4" t="s">
        <v>894</v>
      </c>
      <c r="B454" s="4">
        <f>VLOOKUP($A454,[1]彩未分析60315!$A:$M,8,0)</f>
        <v>31</v>
      </c>
      <c r="C454" s="4">
        <f>VLOOKUP($A454,[1]彩未分析60315!$A:$M,9,0)</f>
        <v>31</v>
      </c>
      <c r="D454" s="4">
        <f>VLOOKUP($A454,[1]彩未分析60315!$A:$M,10,0)</f>
        <v>30</v>
      </c>
      <c r="E454" s="4">
        <f>VLOOKUP($A454,[1]彩未分析60315!$A:$M,11,0)</f>
        <v>30</v>
      </c>
      <c r="F454" s="4">
        <f>VLOOKUP($A454,[1]彩未分析60315!$A:$M,12,0)</f>
        <v>29</v>
      </c>
      <c r="G454" s="4">
        <f>VLOOKUP($A454,[1]彩未分析60315!$A:$M,13,0)</f>
        <v>29</v>
      </c>
      <c r="H454" s="3" t="s">
        <v>39</v>
      </c>
      <c r="I454" s="3" t="s">
        <v>895</v>
      </c>
    </row>
    <row r="455" customHeight="1" spans="1:9">
      <c r="A455" s="4" t="s">
        <v>896</v>
      </c>
      <c r="B455" s="4">
        <f>VLOOKUP($A455,[1]彩未分析60315!$A:$M,8,0)</f>
        <v>84</v>
      </c>
      <c r="C455" s="4">
        <f>VLOOKUP($A455,[1]彩未分析60315!$A:$M,9,0)</f>
        <v>83</v>
      </c>
      <c r="D455" s="4">
        <f>VLOOKUP($A455,[1]彩未分析60315!$A:$M,10,0)</f>
        <v>81</v>
      </c>
      <c r="E455" s="4">
        <f>VLOOKUP($A455,[1]彩未分析60315!$A:$M,11,0)</f>
        <v>80</v>
      </c>
      <c r="F455" s="4">
        <f>VLOOKUP($A455,[1]彩未分析60315!$A:$M,12,0)</f>
        <v>79</v>
      </c>
      <c r="G455" s="4">
        <f>VLOOKUP($A455,[1]彩未分析60315!$A:$M,13,0)</f>
        <v>78</v>
      </c>
      <c r="H455" s="3" t="s">
        <v>39</v>
      </c>
      <c r="I455" s="3" t="s">
        <v>897</v>
      </c>
    </row>
    <row r="456" customHeight="1" spans="1:9">
      <c r="A456" s="4" t="s">
        <v>898</v>
      </c>
      <c r="B456" s="4">
        <f>VLOOKUP($A456,[1]彩未分析60315!$A:$M,8,0)</f>
        <v>48</v>
      </c>
      <c r="C456" s="4">
        <f>VLOOKUP($A456,[1]彩未分析60315!$A:$M,9,0)</f>
        <v>46</v>
      </c>
      <c r="D456" s="4">
        <f>VLOOKUP($A456,[1]彩未分析60315!$A:$M,10,0)</f>
        <v>45</v>
      </c>
      <c r="E456" s="4">
        <f>VLOOKUP($A456,[1]彩未分析60315!$A:$M,11,0)</f>
        <v>43</v>
      </c>
      <c r="F456" s="4">
        <f>VLOOKUP($A456,[1]彩未分析60315!$A:$M,12,0)</f>
        <v>41</v>
      </c>
      <c r="G456" s="4">
        <f>VLOOKUP($A456,[1]彩未分析60315!$A:$M,13,0)</f>
        <v>39</v>
      </c>
      <c r="H456" s="3" t="s">
        <v>10</v>
      </c>
      <c r="I456" s="3" t="s">
        <v>899</v>
      </c>
    </row>
    <row r="457" customHeight="1" spans="1:9">
      <c r="A457" s="4" t="s">
        <v>900</v>
      </c>
      <c r="B457" s="4">
        <f>VLOOKUP($A457,[1]彩未分析60315!$A:$M,8,0)</f>
        <v>47</v>
      </c>
      <c r="C457" s="4">
        <f>VLOOKUP($A457,[1]彩未分析60315!$A:$M,9,0)</f>
        <v>45</v>
      </c>
      <c r="D457" s="4">
        <f>VLOOKUP($A457,[1]彩未分析60315!$A:$M,10,0)</f>
        <v>44</v>
      </c>
      <c r="E457" s="4">
        <f>VLOOKUP($A457,[1]彩未分析60315!$A:$M,11,0)</f>
        <v>42</v>
      </c>
      <c r="F457" s="4">
        <f>VLOOKUP($A457,[1]彩未分析60315!$A:$M,12,0)</f>
        <v>40</v>
      </c>
      <c r="G457" s="4">
        <f>VLOOKUP($A457,[1]彩未分析60315!$A:$M,13,0)</f>
        <v>38</v>
      </c>
      <c r="H457" s="3" t="s">
        <v>10</v>
      </c>
      <c r="I457" s="3" t="s">
        <v>901</v>
      </c>
    </row>
    <row r="458" customHeight="1" spans="1:9">
      <c r="A458" s="4" t="s">
        <v>902</v>
      </c>
      <c r="B458" s="4">
        <f>VLOOKUP($A458,[1]彩未分析60315!$A:$M,8,0)</f>
        <v>59</v>
      </c>
      <c r="C458" s="4">
        <f>VLOOKUP($A458,[1]彩未分析60315!$A:$M,9,0)</f>
        <v>58</v>
      </c>
      <c r="D458" s="4">
        <f>VLOOKUP($A458,[1]彩未分析60315!$A:$M,10,0)</f>
        <v>57</v>
      </c>
      <c r="E458" s="4">
        <f>VLOOKUP($A458,[1]彩未分析60315!$A:$M,11,0)</f>
        <v>56</v>
      </c>
      <c r="F458" s="4">
        <f>VLOOKUP($A458,[1]彩未分析60315!$A:$M,12,0)</f>
        <v>55</v>
      </c>
      <c r="G458" s="4">
        <f>VLOOKUP($A458,[1]彩未分析60315!$A:$M,13,0)</f>
        <v>54</v>
      </c>
      <c r="H458" s="3" t="s">
        <v>39</v>
      </c>
      <c r="I458" s="3" t="s">
        <v>903</v>
      </c>
    </row>
    <row r="459" customHeight="1" spans="1:9">
      <c r="A459" s="4" t="s">
        <v>904</v>
      </c>
      <c r="B459" s="4">
        <f>VLOOKUP($A459,[1]彩未分析60315!$A:$M,8,0)</f>
        <v>41</v>
      </c>
      <c r="C459" s="4">
        <f>VLOOKUP($A459,[1]彩未分析60315!$A:$M,9,0)</f>
        <v>39</v>
      </c>
      <c r="D459" s="4">
        <f>VLOOKUP($A459,[1]彩未分析60315!$A:$M,10,0)</f>
        <v>38</v>
      </c>
      <c r="E459" s="4">
        <f>VLOOKUP($A459,[1]彩未分析60315!$A:$M,11,0)</f>
        <v>36</v>
      </c>
      <c r="F459" s="4">
        <f>VLOOKUP($A459,[1]彩未分析60315!$A:$M,12,0)</f>
        <v>35</v>
      </c>
      <c r="G459" s="4">
        <f>VLOOKUP($A459,[1]彩未分析60315!$A:$M,13,0)</f>
        <v>33</v>
      </c>
      <c r="H459" s="3" t="s">
        <v>10</v>
      </c>
      <c r="I459" s="3" t="s">
        <v>905</v>
      </c>
    </row>
    <row r="460" customHeight="1" spans="1:9">
      <c r="A460" s="4" t="s">
        <v>906</v>
      </c>
      <c r="B460" s="4">
        <f>VLOOKUP($A460,[1]彩未分析60315!$A:$M,8,0)</f>
        <v>30</v>
      </c>
      <c r="C460" s="4">
        <f>VLOOKUP($A460,[1]彩未分析60315!$A:$M,9,0)</f>
        <v>29</v>
      </c>
      <c r="D460" s="4">
        <f>VLOOKUP($A460,[1]彩未分析60315!$A:$M,10,0)</f>
        <v>28</v>
      </c>
      <c r="E460" s="4">
        <f>VLOOKUP($A460,[1]彩未分析60315!$A:$M,11,0)</f>
        <v>27</v>
      </c>
      <c r="F460" s="4">
        <f>VLOOKUP($A460,[1]彩未分析60315!$A:$M,12,0)</f>
        <v>26</v>
      </c>
      <c r="G460" s="4">
        <f>VLOOKUP($A460,[1]彩未分析60315!$A:$M,13,0)</f>
        <v>25</v>
      </c>
      <c r="H460" s="3" t="s">
        <v>10</v>
      </c>
      <c r="I460" s="3" t="s">
        <v>907</v>
      </c>
    </row>
    <row r="461" customHeight="1" spans="1:9">
      <c r="A461" s="4" t="s">
        <v>908</v>
      </c>
      <c r="B461" s="4">
        <f>VLOOKUP($A461,[1]彩未分析60315!$A:$M,8,0)</f>
        <v>50</v>
      </c>
      <c r="C461" s="4">
        <f>VLOOKUP($A461,[1]彩未分析60315!$A:$M,9,0)</f>
        <v>49</v>
      </c>
      <c r="D461" s="4">
        <f>VLOOKUP($A461,[1]彩未分析60315!$A:$M,10,0)</f>
        <v>48</v>
      </c>
      <c r="E461" s="4">
        <f>VLOOKUP($A461,[1]彩未分析60315!$A:$M,11,0)</f>
        <v>48</v>
      </c>
      <c r="F461" s="4">
        <f>VLOOKUP($A461,[1]彩未分析60315!$A:$M,12,0)</f>
        <v>47</v>
      </c>
      <c r="G461" s="4">
        <f>VLOOKUP($A461,[1]彩未分析60315!$A:$M,13,0)</f>
        <v>46</v>
      </c>
      <c r="H461" s="3" t="s">
        <v>39</v>
      </c>
      <c r="I461" s="3" t="s">
        <v>909</v>
      </c>
    </row>
    <row r="462" customHeight="1" spans="1:9">
      <c r="A462" s="4" t="s">
        <v>910</v>
      </c>
      <c r="B462" s="4">
        <f>VLOOKUP($A462,[1]彩未分析60315!$A:$M,8,0)</f>
        <v>53</v>
      </c>
      <c r="C462" s="4">
        <f>VLOOKUP($A462,[1]彩未分析60315!$A:$M,9,0)</f>
        <v>52</v>
      </c>
      <c r="D462" s="4">
        <f>VLOOKUP($A462,[1]彩未分析60315!$A:$M,10,0)</f>
        <v>51</v>
      </c>
      <c r="E462" s="4">
        <f>VLOOKUP($A462,[1]彩未分析60315!$A:$M,11,0)</f>
        <v>50</v>
      </c>
      <c r="F462" s="4">
        <f>VLOOKUP($A462,[1]彩未分析60315!$A:$M,12,0)</f>
        <v>50</v>
      </c>
      <c r="G462" s="4">
        <f>VLOOKUP($A462,[1]彩未分析60315!$A:$M,13,0)</f>
        <v>49</v>
      </c>
      <c r="H462" s="3" t="s">
        <v>39</v>
      </c>
      <c r="I462" s="3" t="s">
        <v>911</v>
      </c>
    </row>
    <row r="463" customHeight="1" spans="1:9">
      <c r="A463" s="4" t="s">
        <v>912</v>
      </c>
      <c r="B463" s="4">
        <f>VLOOKUP($A463,[1]彩未分析60315!$A:$M,8,0)</f>
        <v>47</v>
      </c>
      <c r="C463" s="4">
        <f>VLOOKUP($A463,[1]彩未分析60315!$A:$M,9,0)</f>
        <v>46</v>
      </c>
      <c r="D463" s="4">
        <f>VLOOKUP($A463,[1]彩未分析60315!$A:$M,10,0)</f>
        <v>45</v>
      </c>
      <c r="E463" s="4">
        <f>VLOOKUP($A463,[1]彩未分析60315!$A:$M,11,0)</f>
        <v>44</v>
      </c>
      <c r="F463" s="4">
        <f>VLOOKUP($A463,[1]彩未分析60315!$A:$M,12,0)</f>
        <v>44</v>
      </c>
      <c r="G463" s="4">
        <f>VLOOKUP($A463,[1]彩未分析60315!$A:$M,13,0)</f>
        <v>43</v>
      </c>
      <c r="H463" s="3" t="s">
        <v>39</v>
      </c>
      <c r="I463" s="3" t="s">
        <v>913</v>
      </c>
    </row>
    <row r="464" customHeight="1" spans="1:9">
      <c r="A464" s="4" t="s">
        <v>914</v>
      </c>
      <c r="B464" s="4">
        <f>VLOOKUP($A464,[1]彩未分析60315!$A:$M,8,0)</f>
        <v>47</v>
      </c>
      <c r="C464" s="4">
        <f>VLOOKUP($A464,[1]彩未分析60315!$A:$M,9,0)</f>
        <v>46</v>
      </c>
      <c r="D464" s="4">
        <f>VLOOKUP($A464,[1]彩未分析60315!$A:$M,10,0)</f>
        <v>45</v>
      </c>
      <c r="E464" s="4">
        <f>VLOOKUP($A464,[1]彩未分析60315!$A:$M,11,0)</f>
        <v>44</v>
      </c>
      <c r="F464" s="4">
        <f>VLOOKUP($A464,[1]彩未分析60315!$A:$M,12,0)</f>
        <v>44</v>
      </c>
      <c r="G464" s="4">
        <f>VLOOKUP($A464,[1]彩未分析60315!$A:$M,13,0)</f>
        <v>43</v>
      </c>
      <c r="H464" s="3" t="s">
        <v>39</v>
      </c>
      <c r="I464" s="3" t="s">
        <v>915</v>
      </c>
    </row>
    <row r="465" customHeight="1" spans="1:9">
      <c r="A465" s="4" t="s">
        <v>916</v>
      </c>
      <c r="B465" s="4">
        <f>VLOOKUP($A465,[1]彩未分析60315!$A:$M,8,0)</f>
        <v>62</v>
      </c>
      <c r="C465" s="4">
        <f>VLOOKUP($A465,[1]彩未分析60315!$A:$M,9,0)</f>
        <v>60</v>
      </c>
      <c r="D465" s="4">
        <f>VLOOKUP($A465,[1]彩未分析60315!$A:$M,10,0)</f>
        <v>57</v>
      </c>
      <c r="E465" s="4">
        <f>VLOOKUP($A465,[1]彩未分析60315!$A:$M,11,0)</f>
        <v>55</v>
      </c>
      <c r="F465" s="4">
        <f>VLOOKUP($A465,[1]彩未分析60315!$A:$M,12,0)</f>
        <v>53</v>
      </c>
      <c r="G465" s="4">
        <f>VLOOKUP($A465,[1]彩未分析60315!$A:$M,13,0)</f>
        <v>51</v>
      </c>
      <c r="H465" s="3" t="s">
        <v>10</v>
      </c>
      <c r="I465" s="3" t="s">
        <v>917</v>
      </c>
    </row>
    <row r="466" customHeight="1" spans="1:9">
      <c r="A466" s="4" t="s">
        <v>918</v>
      </c>
      <c r="B466" s="4">
        <f>VLOOKUP($A466,[1]彩未分析60315!$A:$M,8,0)</f>
        <v>33</v>
      </c>
      <c r="C466" s="4">
        <f>VLOOKUP($A466,[1]彩未分析60315!$A:$M,9,0)</f>
        <v>32</v>
      </c>
      <c r="D466" s="4">
        <f>VLOOKUP($A466,[1]彩未分析60315!$A:$M,10,0)</f>
        <v>30</v>
      </c>
      <c r="E466" s="4">
        <f>VLOOKUP($A466,[1]彩未分析60315!$A:$M,11,0)</f>
        <v>29</v>
      </c>
      <c r="F466" s="4">
        <f>VLOOKUP($A466,[1]彩未分析60315!$A:$M,12,0)</f>
        <v>28</v>
      </c>
      <c r="G466" s="4">
        <f>VLOOKUP($A466,[1]彩未分析60315!$A:$M,13,0)</f>
        <v>27</v>
      </c>
      <c r="H466" s="3" t="s">
        <v>10</v>
      </c>
      <c r="I466" s="3" t="s">
        <v>919</v>
      </c>
    </row>
    <row r="467" customHeight="1" spans="1:9">
      <c r="A467" s="4" t="s">
        <v>920</v>
      </c>
      <c r="B467" s="4">
        <f>VLOOKUP($A467,[1]彩未分析60315!$A:$M,8,0)</f>
        <v>42</v>
      </c>
      <c r="C467" s="4">
        <f>VLOOKUP($A467,[1]彩未分析60315!$A:$M,9,0)</f>
        <v>41</v>
      </c>
      <c r="D467" s="4">
        <f>VLOOKUP($A467,[1]彩未分析60315!$A:$M,10,0)</f>
        <v>39</v>
      </c>
      <c r="E467" s="4">
        <f>VLOOKUP($A467,[1]彩未分析60315!$A:$M,11,0)</f>
        <v>38</v>
      </c>
      <c r="F467" s="4">
        <f>VLOOKUP($A467,[1]彩未分析60315!$A:$M,12,0)</f>
        <v>36</v>
      </c>
      <c r="G467" s="4">
        <f>VLOOKUP($A467,[1]彩未分析60315!$A:$M,13,0)</f>
        <v>35</v>
      </c>
      <c r="H467" s="3" t="s">
        <v>10</v>
      </c>
      <c r="I467" s="3" t="s">
        <v>921</v>
      </c>
    </row>
    <row r="468" customHeight="1" spans="1:9">
      <c r="A468" s="6" t="s">
        <v>922</v>
      </c>
      <c r="B468" s="4">
        <f>VLOOKUP($A468,[1]彩未分析60315!$A:$M,8,0)</f>
        <v>47</v>
      </c>
      <c r="C468" s="4">
        <f>VLOOKUP($A468,[1]彩未分析60315!$A:$M,9,0)</f>
        <v>46</v>
      </c>
      <c r="D468" s="4">
        <f>VLOOKUP($A468,[1]彩未分析60315!$A:$M,10,0)</f>
        <v>45</v>
      </c>
      <c r="E468" s="4">
        <f>VLOOKUP($A468,[1]彩未分析60315!$A:$M,11,0)</f>
        <v>44</v>
      </c>
      <c r="F468" s="4">
        <f>VLOOKUP($A468,[1]彩未分析60315!$A:$M,12,0)</f>
        <v>44</v>
      </c>
      <c r="G468" s="4">
        <f>VLOOKUP($A468,[1]彩未分析60315!$A:$M,13,0)</f>
        <v>43</v>
      </c>
      <c r="H468" s="3" t="s">
        <v>39</v>
      </c>
      <c r="I468" s="3" t="s">
        <v>791</v>
      </c>
    </row>
    <row r="469" customHeight="1" spans="1:9">
      <c r="A469" s="2" t="s">
        <v>923</v>
      </c>
      <c r="B469" s="4">
        <f>VLOOKUP($A469,[1]彩未分析60315!$A:$M,8,0)</f>
        <v>35</v>
      </c>
      <c r="C469" s="4">
        <f>VLOOKUP($A469,[1]彩未分析60315!$A:$M,9,0)</f>
        <v>33</v>
      </c>
      <c r="D469" s="4">
        <f>VLOOKUP($A469,[1]彩未分析60315!$A:$M,10,0)</f>
        <v>32</v>
      </c>
      <c r="E469" s="4">
        <f>VLOOKUP($A469,[1]彩未分析60315!$A:$M,11,0)</f>
        <v>31</v>
      </c>
      <c r="F469" s="4">
        <f>VLOOKUP($A469,[1]彩未分析60315!$A:$M,12,0)</f>
        <v>30</v>
      </c>
      <c r="G469" s="4">
        <f>VLOOKUP($A469,[1]彩未分析60315!$A:$M,13,0)</f>
        <v>28</v>
      </c>
      <c r="H469" s="3" t="s">
        <v>10</v>
      </c>
      <c r="I469" s="3" t="s">
        <v>924</v>
      </c>
    </row>
    <row r="470" customHeight="1" spans="1:9">
      <c r="A470" s="2" t="s">
        <v>925</v>
      </c>
      <c r="B470" s="4">
        <f>VLOOKUP($A470,[1]彩未分析60315!$A:$M,8,0)</f>
        <v>34</v>
      </c>
      <c r="C470" s="4">
        <f>VLOOKUP($A470,[1]彩未分析60315!$A:$M,9,0)</f>
        <v>33</v>
      </c>
      <c r="D470" s="4">
        <f>VLOOKUP($A470,[1]彩未分析60315!$A:$M,10,0)</f>
        <v>32</v>
      </c>
      <c r="E470" s="4">
        <f>VLOOKUP($A470,[1]彩未分析60315!$A:$M,11,0)</f>
        <v>31</v>
      </c>
      <c r="F470" s="4">
        <f>VLOOKUP($A470,[1]彩未分析60315!$A:$M,12,0)</f>
        <v>29</v>
      </c>
      <c r="G470" s="4">
        <f>VLOOKUP($A470,[1]彩未分析60315!$A:$M,13,0)</f>
        <v>28</v>
      </c>
      <c r="H470" s="3" t="s">
        <v>10</v>
      </c>
      <c r="I470" s="3" t="s">
        <v>926</v>
      </c>
    </row>
    <row r="471" customHeight="1" spans="1:9">
      <c r="A471" s="7" t="s">
        <v>927</v>
      </c>
      <c r="B471" s="4">
        <f>VLOOKUP($A471,[1]彩未分析60315!$A:$M,8,0)</f>
        <v>38</v>
      </c>
      <c r="C471" s="4">
        <f>VLOOKUP($A471,[1]彩未分析60315!$A:$M,9,0)</f>
        <v>37</v>
      </c>
      <c r="D471" s="4">
        <f>VLOOKUP($A471,[1]彩未分析60315!$A:$M,10,0)</f>
        <v>35</v>
      </c>
      <c r="E471" s="4">
        <f>VLOOKUP($A471,[1]彩未分析60315!$A:$M,11,0)</f>
        <v>34</v>
      </c>
      <c r="F471" s="4">
        <f>VLOOKUP($A471,[1]彩未分析60315!$A:$M,12,0)</f>
        <v>32</v>
      </c>
      <c r="G471" s="4">
        <f>VLOOKUP($A471,[1]彩未分析60315!$A:$M,13,0)</f>
        <v>31</v>
      </c>
      <c r="H471" s="3" t="s">
        <v>10</v>
      </c>
      <c r="I471" s="3" t="s">
        <v>928</v>
      </c>
    </row>
    <row r="472" customHeight="1" spans="1:9">
      <c r="A472" s="7" t="s">
        <v>929</v>
      </c>
      <c r="B472" s="4">
        <f>VLOOKUP($A472,[1]彩未分析60315!$A:$M,8,0)</f>
        <v>45</v>
      </c>
      <c r="C472" s="4">
        <f>VLOOKUP($A472,[1]彩未分析60315!$A:$M,9,0)</f>
        <v>43</v>
      </c>
      <c r="D472" s="4">
        <f>VLOOKUP($A472,[1]彩未分析60315!$A:$M,10,0)</f>
        <v>41</v>
      </c>
      <c r="E472" s="4">
        <f>VLOOKUP($A472,[1]彩未分析60315!$A:$M,11,0)</f>
        <v>40</v>
      </c>
      <c r="F472" s="4">
        <f>VLOOKUP($A472,[1]彩未分析60315!$A:$M,12,0)</f>
        <v>38</v>
      </c>
      <c r="G472" s="4">
        <f>VLOOKUP($A472,[1]彩未分析60315!$A:$M,13,0)</f>
        <v>37</v>
      </c>
      <c r="H472" s="3" t="s">
        <v>10</v>
      </c>
      <c r="I472" s="3" t="s">
        <v>930</v>
      </c>
    </row>
    <row r="473" customHeight="1" spans="1:9">
      <c r="A473" s="2" t="s">
        <v>931</v>
      </c>
      <c r="B473" s="4">
        <f>VLOOKUP($A473,[1]彩未分析60315!$A:$M,8,0)</f>
        <v>45</v>
      </c>
      <c r="C473" s="4">
        <f>VLOOKUP($A473,[1]彩未分析60315!$A:$M,9,0)</f>
        <v>43</v>
      </c>
      <c r="D473" s="4">
        <f>VLOOKUP($A473,[1]彩未分析60315!$A:$M,10,0)</f>
        <v>41</v>
      </c>
      <c r="E473" s="4">
        <f>VLOOKUP($A473,[1]彩未分析60315!$A:$M,11,0)</f>
        <v>40</v>
      </c>
      <c r="F473" s="4">
        <f>VLOOKUP($A473,[1]彩未分析60315!$A:$M,12,0)</f>
        <v>38</v>
      </c>
      <c r="G473" s="4">
        <f>VLOOKUP($A473,[1]彩未分析60315!$A:$M,13,0)</f>
        <v>37</v>
      </c>
      <c r="H473" s="3" t="s">
        <v>10</v>
      </c>
      <c r="I473" s="3" t="s">
        <v>932</v>
      </c>
    </row>
    <row r="474" customHeight="1" spans="1:9">
      <c r="A474" s="6" t="s">
        <v>933</v>
      </c>
      <c r="B474" s="4">
        <f>VLOOKUP($A474,[1]彩未分析60315!$A:$M,8,0)</f>
        <v>52</v>
      </c>
      <c r="C474" s="4">
        <f>VLOOKUP($A474,[1]彩未分析60315!$A:$M,9,0)</f>
        <v>52</v>
      </c>
      <c r="D474" s="4">
        <f>VLOOKUP($A474,[1]彩未分析60315!$A:$M,10,0)</f>
        <v>51</v>
      </c>
      <c r="E474" s="4">
        <f>VLOOKUP($A474,[1]彩未分析60315!$A:$M,11,0)</f>
        <v>50</v>
      </c>
      <c r="F474" s="4">
        <f>VLOOKUP($A474,[1]彩未分析60315!$A:$M,12,0)</f>
        <v>49</v>
      </c>
      <c r="G474" s="4">
        <f>VLOOKUP($A474,[1]彩未分析60315!$A:$M,13,0)</f>
        <v>49</v>
      </c>
      <c r="H474" s="3" t="s">
        <v>39</v>
      </c>
      <c r="I474" s="3">
        <v>0</v>
      </c>
    </row>
    <row r="475" customHeight="1" spans="1:9">
      <c r="A475" s="6" t="s">
        <v>934</v>
      </c>
      <c r="B475" s="4">
        <f>VLOOKUP($A475,[1]彩未分析60315!$A:$M,8,0)</f>
        <v>38</v>
      </c>
      <c r="C475" s="4">
        <f>VLOOKUP($A475,[1]彩未分析60315!$A:$M,9,0)</f>
        <v>37</v>
      </c>
      <c r="D475" s="4">
        <f>VLOOKUP($A475,[1]彩未分析60315!$A:$M,10,0)</f>
        <v>36</v>
      </c>
      <c r="E475" s="4">
        <f>VLOOKUP($A475,[1]彩未分析60315!$A:$M,11,0)</f>
        <v>34</v>
      </c>
      <c r="F475" s="4">
        <f>VLOOKUP($A475,[1]彩未分析60315!$A:$M,12,0)</f>
        <v>33</v>
      </c>
      <c r="G475" s="4">
        <f>VLOOKUP($A475,[1]彩未分析60315!$A:$M,13,0)</f>
        <v>31</v>
      </c>
      <c r="H475" s="3" t="s">
        <v>10</v>
      </c>
      <c r="I475" s="3" t="s">
        <v>31</v>
      </c>
    </row>
    <row r="476" customHeight="1" spans="1:9">
      <c r="A476" s="2" t="s">
        <v>935</v>
      </c>
      <c r="B476" s="4">
        <f>VLOOKUP($A476,[1]彩未分析60315!$A:$M,8,0)</f>
        <v>29</v>
      </c>
      <c r="C476" s="4">
        <f>VLOOKUP($A476,[1]彩未分析60315!$A:$M,9,0)</f>
        <v>28</v>
      </c>
      <c r="D476" s="4">
        <f>VLOOKUP($A476,[1]彩未分析60315!$A:$M,10,0)</f>
        <v>28</v>
      </c>
      <c r="E476" s="4">
        <f>VLOOKUP($A476,[1]彩未分析60315!$A:$M,11,0)</f>
        <v>27</v>
      </c>
      <c r="F476" s="4">
        <f>VLOOKUP($A476,[1]彩未分析60315!$A:$M,12,0)</f>
        <v>27</v>
      </c>
      <c r="G476" s="4">
        <f>VLOOKUP($A476,[1]彩未分析60315!$A:$M,13,0)</f>
        <v>27</v>
      </c>
      <c r="H476" s="3" t="s">
        <v>39</v>
      </c>
      <c r="I476" s="3" t="s">
        <v>936</v>
      </c>
    </row>
    <row r="477" customHeight="1" spans="1:9">
      <c r="A477" s="2" t="s">
        <v>937</v>
      </c>
      <c r="B477" s="4">
        <f>VLOOKUP($A477,[1]彩未分析60315!$A:$M,8,0)</f>
        <v>44</v>
      </c>
      <c r="C477" s="4">
        <f>VLOOKUP($A477,[1]彩未分析60315!$A:$M,9,0)</f>
        <v>43</v>
      </c>
      <c r="D477" s="4">
        <f>VLOOKUP($A477,[1]彩未分析60315!$A:$M,10,0)</f>
        <v>41</v>
      </c>
      <c r="E477" s="4">
        <f>VLOOKUP($A477,[1]彩未分析60315!$A:$M,11,0)</f>
        <v>39</v>
      </c>
      <c r="F477" s="4">
        <f>VLOOKUP($A477,[1]彩未分析60315!$A:$M,12,0)</f>
        <v>38</v>
      </c>
      <c r="G477" s="4">
        <f>VLOOKUP($A477,[1]彩未分析60315!$A:$M,13,0)</f>
        <v>36</v>
      </c>
      <c r="H477" s="3" t="s">
        <v>10</v>
      </c>
      <c r="I477" s="3" t="s">
        <v>938</v>
      </c>
    </row>
    <row r="478" customHeight="1" spans="1:9">
      <c r="A478" s="8" t="s">
        <v>939</v>
      </c>
      <c r="B478" s="4">
        <f>VLOOKUP($A478,[1]彩未分析60315!$A:$M,8,0)</f>
        <v>45</v>
      </c>
      <c r="C478" s="4">
        <f>VLOOKUP($A478,[1]彩未分析60315!$A:$M,9,0)</f>
        <v>44</v>
      </c>
      <c r="D478" s="4">
        <f>VLOOKUP($A478,[1]彩未分析60315!$A:$M,10,0)</f>
        <v>42</v>
      </c>
      <c r="E478" s="4">
        <f>VLOOKUP($A478,[1]彩未分析60315!$A:$M,11,0)</f>
        <v>40</v>
      </c>
      <c r="F478" s="4">
        <f>VLOOKUP($A478,[1]彩未分析60315!$A:$M,12,0)</f>
        <v>39</v>
      </c>
      <c r="G478" s="4">
        <f>VLOOKUP($A478,[1]彩未分析60315!$A:$M,13,0)</f>
        <v>37</v>
      </c>
      <c r="H478" s="3" t="s">
        <v>10</v>
      </c>
      <c r="I478" s="3" t="s">
        <v>940</v>
      </c>
    </row>
    <row r="479" customHeight="1" spans="1:9">
      <c r="A479" s="8" t="s">
        <v>941</v>
      </c>
      <c r="B479" s="4">
        <f>VLOOKUP($A479,[1]彩未分析60315!$A:$M,8,0)</f>
        <v>45</v>
      </c>
      <c r="C479" s="4">
        <f>VLOOKUP($A479,[1]彩未分析60315!$A:$M,9,0)</f>
        <v>45</v>
      </c>
      <c r="D479" s="4">
        <f>VLOOKUP($A479,[1]彩未分析60315!$A:$M,10,0)</f>
        <v>44</v>
      </c>
      <c r="E479" s="4">
        <f>VLOOKUP($A479,[1]彩未分析60315!$A:$M,11,0)</f>
        <v>43</v>
      </c>
      <c r="F479" s="4">
        <f>VLOOKUP($A479,[1]彩未分析60315!$A:$M,12,0)</f>
        <v>43</v>
      </c>
      <c r="G479" s="4">
        <f>VLOOKUP($A479,[1]彩未分析60315!$A:$M,13,0)</f>
        <v>42</v>
      </c>
      <c r="H479" s="3" t="s">
        <v>39</v>
      </c>
      <c r="I479" s="3" t="s">
        <v>942</v>
      </c>
    </row>
    <row r="480" customHeight="1" spans="1:9">
      <c r="A480" s="9" t="s">
        <v>943</v>
      </c>
      <c r="B480" s="4">
        <f>VLOOKUP($A480,[1]彩未分析60315!$A:$M,8,0)</f>
        <v>51</v>
      </c>
      <c r="C480" s="4">
        <f>VLOOKUP($A480,[1]彩未分析60315!$A:$M,9,0)</f>
        <v>50</v>
      </c>
      <c r="D480" s="4">
        <f>VLOOKUP($A480,[1]彩未分析60315!$A:$M,10,0)</f>
        <v>49</v>
      </c>
      <c r="E480" s="4">
        <f>VLOOKUP($A480,[1]彩未分析60315!$A:$M,11,0)</f>
        <v>48</v>
      </c>
      <c r="F480" s="4">
        <f>VLOOKUP($A480,[1]彩未分析60315!$A:$M,12,0)</f>
        <v>48</v>
      </c>
      <c r="G480" s="4">
        <f>VLOOKUP($A480,[1]彩未分析60315!$A:$M,13,0)</f>
        <v>47</v>
      </c>
      <c r="H480" s="3" t="s">
        <v>39</v>
      </c>
      <c r="I480" s="3" t="s">
        <v>944</v>
      </c>
    </row>
    <row r="481" customHeight="1" spans="1:9">
      <c r="A481" s="6" t="s">
        <v>945</v>
      </c>
      <c r="B481" s="4">
        <f>VLOOKUP($A481,[1]彩未分析60315!$A:$M,8,0)</f>
        <v>44</v>
      </c>
      <c r="C481" s="4">
        <f>VLOOKUP($A481,[1]彩未分析60315!$A:$M,9,0)</f>
        <v>42</v>
      </c>
      <c r="D481" s="4">
        <f>VLOOKUP($A481,[1]彩未分析60315!$A:$M,10,0)</f>
        <v>41</v>
      </c>
      <c r="E481" s="4">
        <f>VLOOKUP($A481,[1]彩未分析60315!$A:$M,11,0)</f>
        <v>39</v>
      </c>
      <c r="F481" s="4">
        <f>VLOOKUP($A481,[1]彩未分析60315!$A:$M,12,0)</f>
        <v>37</v>
      </c>
      <c r="G481" s="4">
        <f>VLOOKUP($A481,[1]彩未分析60315!$A:$M,13,0)</f>
        <v>36</v>
      </c>
      <c r="H481" s="3" t="s">
        <v>10</v>
      </c>
      <c r="I481" s="3" t="s">
        <v>946</v>
      </c>
    </row>
    <row r="482" customHeight="1" spans="1:9">
      <c r="A482" s="2" t="s">
        <v>947</v>
      </c>
      <c r="B482" s="4">
        <f>VLOOKUP($A482,[1]彩未分析60315!$A:$M,8,0)</f>
        <v>34</v>
      </c>
      <c r="C482" s="4">
        <f>VLOOKUP($A482,[1]彩未分析60315!$A:$M,9,0)</f>
        <v>33</v>
      </c>
      <c r="D482" s="4">
        <f>VLOOKUP($A482,[1]彩未分析60315!$A:$M,10,0)</f>
        <v>32</v>
      </c>
      <c r="E482" s="4">
        <f>VLOOKUP($A482,[1]彩未分析60315!$A:$M,11,0)</f>
        <v>31</v>
      </c>
      <c r="F482" s="4">
        <f>VLOOKUP($A482,[1]彩未分析60315!$A:$M,12,0)</f>
        <v>29</v>
      </c>
      <c r="G482" s="4">
        <f>VLOOKUP($A482,[1]彩未分析60315!$A:$M,13,0)</f>
        <v>28</v>
      </c>
      <c r="H482" s="3" t="s">
        <v>10</v>
      </c>
      <c r="I482" s="3" t="s">
        <v>948</v>
      </c>
    </row>
    <row r="483" customHeight="1" spans="1:9">
      <c r="A483" s="10" t="s">
        <v>949</v>
      </c>
      <c r="B483" s="4">
        <f>VLOOKUP($A483,[1]彩未分析60315!$A:$M,8,0)</f>
        <v>56</v>
      </c>
      <c r="C483" s="4">
        <f>VLOOKUP($A483,[1]彩未分析60315!$A:$M,9,0)</f>
        <v>55</v>
      </c>
      <c r="D483" s="4">
        <f>VLOOKUP($A483,[1]彩未分析60315!$A:$M,10,0)</f>
        <v>54</v>
      </c>
      <c r="E483" s="4">
        <f>VLOOKUP($A483,[1]彩未分析60315!$A:$M,11,0)</f>
        <v>53</v>
      </c>
      <c r="F483" s="4">
        <f>VLOOKUP($A483,[1]彩未分析60315!$A:$M,12,0)</f>
        <v>53</v>
      </c>
      <c r="G483" s="4">
        <f>VLOOKUP($A483,[1]彩未分析60315!$A:$M,13,0)</f>
        <v>52</v>
      </c>
      <c r="H483" s="3" t="s">
        <v>39</v>
      </c>
      <c r="I483" s="3" t="s">
        <v>950</v>
      </c>
    </row>
    <row r="484" customHeight="1" spans="1:9">
      <c r="A484" s="9" t="s">
        <v>951</v>
      </c>
      <c r="B484" s="4">
        <f>VLOOKUP($A484,[1]彩未分析60315!$A:$M,8,0)</f>
        <v>74</v>
      </c>
      <c r="C484" s="4">
        <f>VLOOKUP($A484,[1]彩未分析60315!$A:$M,9,0)</f>
        <v>73</v>
      </c>
      <c r="D484" s="4">
        <f>VLOOKUP($A484,[1]彩未分析60315!$A:$M,10,0)</f>
        <v>71</v>
      </c>
      <c r="E484" s="4">
        <f>VLOOKUP($A484,[1]彩未分析60315!$A:$M,11,0)</f>
        <v>70</v>
      </c>
      <c r="F484" s="4">
        <f>VLOOKUP($A484,[1]彩未分析60315!$A:$M,12,0)</f>
        <v>70</v>
      </c>
      <c r="G484" s="4">
        <f>VLOOKUP($A484,[1]彩未分析60315!$A:$M,13,0)</f>
        <v>68</v>
      </c>
      <c r="H484" s="3" t="s">
        <v>39</v>
      </c>
      <c r="I484" s="3" t="s">
        <v>952</v>
      </c>
    </row>
    <row r="485" customHeight="1" spans="1:9">
      <c r="A485" s="6" t="s">
        <v>953</v>
      </c>
      <c r="B485" s="4">
        <f>VLOOKUP($A485,[1]彩未分析60315!$A:$M,8,0)</f>
        <v>48</v>
      </c>
      <c r="C485" s="4">
        <f>VLOOKUP($A485,[1]彩未分析60315!$A:$M,9,0)</f>
        <v>47</v>
      </c>
      <c r="D485" s="4">
        <f>VLOOKUP($A485,[1]彩未分析60315!$A:$M,10,0)</f>
        <v>45</v>
      </c>
      <c r="E485" s="4">
        <f>VLOOKUP($A485,[1]彩未分析60315!$A:$M,11,0)</f>
        <v>43</v>
      </c>
      <c r="F485" s="4">
        <f>VLOOKUP($A485,[1]彩未分析60315!$A:$M,12,0)</f>
        <v>41</v>
      </c>
      <c r="G485" s="4">
        <f>VLOOKUP($A485,[1]彩未分析60315!$A:$M,13,0)</f>
        <v>39</v>
      </c>
      <c r="H485" s="3" t="s">
        <v>10</v>
      </c>
      <c r="I485" s="3" t="s">
        <v>954</v>
      </c>
    </row>
    <row r="486" customHeight="1" spans="1:9">
      <c r="A486" s="9" t="s">
        <v>955</v>
      </c>
      <c r="B486" s="4">
        <f>VLOOKUP($A486,[1]彩未分析60315!$A:$M,8,0)</f>
        <v>35</v>
      </c>
      <c r="C486" s="4">
        <f>VLOOKUP($A486,[1]彩未分析60315!$A:$M,9,0)</f>
        <v>34</v>
      </c>
      <c r="D486" s="4">
        <f>VLOOKUP($A486,[1]彩未分析60315!$A:$M,10,0)</f>
        <v>32</v>
      </c>
      <c r="E486" s="4">
        <f>VLOOKUP($A486,[1]彩未分析60315!$A:$M,11,0)</f>
        <v>31</v>
      </c>
      <c r="F486" s="4">
        <f>VLOOKUP($A486,[1]彩未分析60315!$A:$M,12,0)</f>
        <v>30</v>
      </c>
      <c r="G486" s="4">
        <f>VLOOKUP($A486,[1]彩未分析60315!$A:$M,13,0)</f>
        <v>29</v>
      </c>
      <c r="H486" s="3" t="s">
        <v>10</v>
      </c>
      <c r="I486" s="3" t="s">
        <v>956</v>
      </c>
    </row>
    <row r="487" customHeight="1" spans="1:9">
      <c r="A487" s="6" t="s">
        <v>957</v>
      </c>
      <c r="B487" s="4">
        <f>VLOOKUP($A487,[1]彩未分析60315!$A:$M,8,0)</f>
        <v>30</v>
      </c>
      <c r="C487" s="4">
        <f>VLOOKUP($A487,[1]彩未分析60315!$A:$M,9,0)</f>
        <v>29</v>
      </c>
      <c r="D487" s="4">
        <f>VLOOKUP($A487,[1]彩未分析60315!$A:$M,10,0)</f>
        <v>27</v>
      </c>
      <c r="E487" s="4">
        <f>VLOOKUP($A487,[1]彩未分析60315!$A:$M,11,0)</f>
        <v>26</v>
      </c>
      <c r="F487" s="4">
        <f>VLOOKUP($A487,[1]彩未分析60315!$A:$M,12,0)</f>
        <v>25</v>
      </c>
      <c r="G487" s="4">
        <f>VLOOKUP($A487,[1]彩未分析60315!$A:$M,13,0)</f>
        <v>24</v>
      </c>
      <c r="H487" s="3" t="s">
        <v>10</v>
      </c>
      <c r="I487" s="3" t="s">
        <v>958</v>
      </c>
    </row>
    <row r="488" customHeight="1" spans="1:9">
      <c r="A488" s="10" t="s">
        <v>959</v>
      </c>
      <c r="B488" s="4">
        <f>VLOOKUP($A488,[1]彩未分析60315!$A:$M,8,0)</f>
        <v>36</v>
      </c>
      <c r="C488" s="4">
        <f>VLOOKUP($A488,[1]彩未分析60315!$A:$M,9,0)</f>
        <v>36</v>
      </c>
      <c r="D488" s="4">
        <f>VLOOKUP($A488,[1]彩未分析60315!$A:$M,10,0)</f>
        <v>35</v>
      </c>
      <c r="E488" s="4">
        <f>VLOOKUP($A488,[1]彩未分析60315!$A:$M,11,0)</f>
        <v>34</v>
      </c>
      <c r="F488" s="4">
        <f>VLOOKUP($A488,[1]彩未分析60315!$A:$M,12,0)</f>
        <v>34</v>
      </c>
      <c r="G488" s="4">
        <f>VLOOKUP($A488,[1]彩未分析60315!$A:$M,13,0)</f>
        <v>34</v>
      </c>
      <c r="H488" s="3" t="s">
        <v>39</v>
      </c>
      <c r="I488" s="3" t="s">
        <v>960</v>
      </c>
    </row>
    <row r="489" customHeight="1" spans="1:9">
      <c r="A489" s="10" t="s">
        <v>961</v>
      </c>
      <c r="B489" s="4">
        <f>VLOOKUP($A489,[1]彩未分析60315!$A:$M,8,0)</f>
        <v>50</v>
      </c>
      <c r="C489" s="4">
        <f>VLOOKUP($A489,[1]彩未分析60315!$A:$M,9,0)</f>
        <v>49</v>
      </c>
      <c r="D489" s="4">
        <f>VLOOKUP($A489,[1]彩未分析60315!$A:$M,10,0)</f>
        <v>48</v>
      </c>
      <c r="E489" s="4">
        <f>VLOOKUP($A489,[1]彩未分析60315!$A:$M,11,0)</f>
        <v>47</v>
      </c>
      <c r="F489" s="4">
        <f>VLOOKUP($A489,[1]彩未分析60315!$A:$M,12,0)</f>
        <v>47</v>
      </c>
      <c r="G489" s="4">
        <f>VLOOKUP($A489,[1]彩未分析60315!$A:$M,13,0)</f>
        <v>46</v>
      </c>
      <c r="H489" s="3" t="s">
        <v>39</v>
      </c>
      <c r="I489" s="3" t="s">
        <v>962</v>
      </c>
    </row>
    <row r="490" customHeight="1" spans="1:9">
      <c r="A490" s="9" t="s">
        <v>963</v>
      </c>
      <c r="B490" s="4">
        <f>VLOOKUP($A490,[1]彩未分析60315!$A:$M,8,0)</f>
        <v>50</v>
      </c>
      <c r="C490" s="4">
        <f>VLOOKUP($A490,[1]彩未分析60315!$A:$M,9,0)</f>
        <v>49</v>
      </c>
      <c r="D490" s="4">
        <f>VLOOKUP($A490,[1]彩未分析60315!$A:$M,10,0)</f>
        <v>48</v>
      </c>
      <c r="E490" s="4">
        <f>VLOOKUP($A490,[1]彩未分析60315!$A:$M,11,0)</f>
        <v>47</v>
      </c>
      <c r="F490" s="4">
        <f>VLOOKUP($A490,[1]彩未分析60315!$A:$M,12,0)</f>
        <v>47</v>
      </c>
      <c r="G490" s="4">
        <f>VLOOKUP($A490,[1]彩未分析60315!$A:$M,13,0)</f>
        <v>46</v>
      </c>
      <c r="H490" s="3" t="s">
        <v>39</v>
      </c>
      <c r="I490" s="3" t="s">
        <v>964</v>
      </c>
    </row>
    <row r="491" customHeight="1" spans="1:9">
      <c r="A491" s="9" t="s">
        <v>965</v>
      </c>
      <c r="B491" s="4">
        <f>VLOOKUP($A491,[1]彩未分析60315!$A:$M,8,0)</f>
        <v>40</v>
      </c>
      <c r="C491" s="4">
        <f>VLOOKUP($A491,[1]彩未分析60315!$A:$M,9,0)</f>
        <v>39</v>
      </c>
      <c r="D491" s="4">
        <f>VLOOKUP($A491,[1]彩未分析60315!$A:$M,10,0)</f>
        <v>39</v>
      </c>
      <c r="E491" s="4">
        <f>VLOOKUP($A491,[1]彩未分析60315!$A:$M,11,0)</f>
        <v>38</v>
      </c>
      <c r="F491" s="4">
        <f>VLOOKUP($A491,[1]彩未分析60315!$A:$M,12,0)</f>
        <v>38</v>
      </c>
      <c r="G491" s="4">
        <f>VLOOKUP($A491,[1]彩未分析60315!$A:$M,13,0)</f>
        <v>37</v>
      </c>
      <c r="H491" s="3" t="s">
        <v>39</v>
      </c>
      <c r="I491" s="3" t="s">
        <v>966</v>
      </c>
    </row>
    <row r="492" customHeight="1" spans="1:9">
      <c r="A492" s="6" t="s">
        <v>967</v>
      </c>
      <c r="B492" s="4">
        <f>VLOOKUP($A492,[1]彩未分析60315!$A:$M,8,0)</f>
        <v>53</v>
      </c>
      <c r="C492" s="4">
        <f>VLOOKUP($A492,[1]彩未分析60315!$A:$M,9,0)</f>
        <v>52</v>
      </c>
      <c r="D492" s="4">
        <f>VLOOKUP($A492,[1]彩未分析60315!$A:$M,10,0)</f>
        <v>51</v>
      </c>
      <c r="E492" s="4">
        <f>VLOOKUP($A492,[1]彩未分析60315!$A:$M,11,0)</f>
        <v>50</v>
      </c>
      <c r="F492" s="4">
        <f>VLOOKUP($A492,[1]彩未分析60315!$A:$M,12,0)</f>
        <v>50</v>
      </c>
      <c r="G492" s="4">
        <f>VLOOKUP($A492,[1]彩未分析60315!$A:$M,13,0)</f>
        <v>49</v>
      </c>
      <c r="H492" s="3" t="s">
        <v>39</v>
      </c>
      <c r="I492" s="3" t="s">
        <v>968</v>
      </c>
    </row>
    <row r="493" customHeight="1" spans="1:9">
      <c r="A493" s="2" t="s">
        <v>969</v>
      </c>
      <c r="B493" s="4">
        <f>VLOOKUP($A493,[1]彩未分析60315!$A:$M,8,0)</f>
        <v>25</v>
      </c>
      <c r="C493" s="4">
        <f>VLOOKUP($A493,[1]彩未分析60315!$A:$M,9,0)</f>
        <v>24</v>
      </c>
      <c r="D493" s="4">
        <f>VLOOKUP($A493,[1]彩未分析60315!$A:$M,10,0)</f>
        <v>23</v>
      </c>
      <c r="E493" s="4">
        <f>VLOOKUP($A493,[1]彩未分析60315!$A:$M,11,0)</f>
        <v>22</v>
      </c>
      <c r="F493" s="4">
        <f>VLOOKUP($A493,[1]彩未分析60315!$A:$M,12,0)</f>
        <v>22</v>
      </c>
      <c r="G493" s="4">
        <f>VLOOKUP($A493,[1]彩未分析60315!$A:$M,13,0)</f>
        <v>21</v>
      </c>
      <c r="H493" s="3" t="s">
        <v>10</v>
      </c>
      <c r="I493" s="3" t="s">
        <v>970</v>
      </c>
    </row>
    <row r="494" customHeight="1" spans="1:9">
      <c r="A494" s="10" t="s">
        <v>971</v>
      </c>
      <c r="B494" s="4">
        <f>VLOOKUP($A494,[1]彩未分析60315!$A:$M,8,0)</f>
        <v>27</v>
      </c>
      <c r="C494" s="4">
        <f>VLOOKUP($A494,[1]彩未分析60315!$A:$M,9,0)</f>
        <v>26</v>
      </c>
      <c r="D494" s="4">
        <f>VLOOKUP($A494,[1]彩未分析60315!$A:$M,10,0)</f>
        <v>25</v>
      </c>
      <c r="E494" s="4">
        <f>VLOOKUP($A494,[1]彩未分析60315!$A:$M,11,0)</f>
        <v>24</v>
      </c>
      <c r="F494" s="4">
        <f>VLOOKUP($A494,[1]彩未分析60315!$A:$M,12,0)</f>
        <v>23</v>
      </c>
      <c r="G494" s="4">
        <f>VLOOKUP($A494,[1]彩未分析60315!$A:$M,13,0)</f>
        <v>22</v>
      </c>
      <c r="H494" s="3" t="s">
        <v>10</v>
      </c>
      <c r="I494" s="3" t="s">
        <v>972</v>
      </c>
    </row>
    <row r="495" customHeight="1" spans="1:9">
      <c r="A495" s="10" t="s">
        <v>973</v>
      </c>
      <c r="B495" s="4">
        <f>VLOOKUP($A495,[1]彩未分析60315!$A:$M,8,0)</f>
        <v>50</v>
      </c>
      <c r="C495" s="4">
        <f>VLOOKUP($A495,[1]彩未分析60315!$A:$M,9,0)</f>
        <v>49</v>
      </c>
      <c r="D495" s="4">
        <f>VLOOKUP($A495,[1]彩未分析60315!$A:$M,10,0)</f>
        <v>48</v>
      </c>
      <c r="E495" s="4">
        <f>VLOOKUP($A495,[1]彩未分析60315!$A:$M,11,0)</f>
        <v>47</v>
      </c>
      <c r="F495" s="4">
        <f>VLOOKUP($A495,[1]彩未分析60315!$A:$M,12,0)</f>
        <v>47</v>
      </c>
      <c r="G495" s="4">
        <f>VLOOKUP($A495,[1]彩未分析60315!$A:$M,13,0)</f>
        <v>46</v>
      </c>
      <c r="H495" s="3" t="s">
        <v>39</v>
      </c>
      <c r="I495" s="3" t="s">
        <v>974</v>
      </c>
    </row>
    <row r="496" customHeight="1" spans="1:9">
      <c r="A496" s="10" t="s">
        <v>975</v>
      </c>
      <c r="B496" s="4">
        <f>VLOOKUP($A496,[1]彩未分析60315!$A:$M,8,0)</f>
        <v>36</v>
      </c>
      <c r="C496" s="4">
        <f>VLOOKUP($A496,[1]彩未分析60315!$A:$M,9,0)</f>
        <v>36</v>
      </c>
      <c r="D496" s="4">
        <f>VLOOKUP($A496,[1]彩未分析60315!$A:$M,10,0)</f>
        <v>35</v>
      </c>
      <c r="E496" s="4">
        <f>VLOOKUP($A496,[1]彩未分析60315!$A:$M,11,0)</f>
        <v>34</v>
      </c>
      <c r="F496" s="4">
        <f>VLOOKUP($A496,[1]彩未分析60315!$A:$M,12,0)</f>
        <v>34</v>
      </c>
      <c r="G496" s="4">
        <f>VLOOKUP($A496,[1]彩未分析60315!$A:$M,13,0)</f>
        <v>34</v>
      </c>
      <c r="H496" s="3" t="s">
        <v>39</v>
      </c>
      <c r="I496" s="3" t="s">
        <v>976</v>
      </c>
    </row>
    <row r="497" customHeight="1" spans="1:9">
      <c r="A497" s="6" t="s">
        <v>977</v>
      </c>
      <c r="B497" s="4">
        <f>VLOOKUP($A497,[1]彩未分析60315!$A:$M,8,0)</f>
        <v>34</v>
      </c>
      <c r="C497" s="4">
        <f>VLOOKUP($A497,[1]彩未分析60315!$A:$M,9,0)</f>
        <v>32</v>
      </c>
      <c r="D497" s="4">
        <f>VLOOKUP($A497,[1]彩未分析60315!$A:$M,10,0)</f>
        <v>31</v>
      </c>
      <c r="E497" s="4">
        <f>VLOOKUP($A497,[1]彩未分析60315!$A:$M,11,0)</f>
        <v>30</v>
      </c>
      <c r="F497" s="4">
        <f>VLOOKUP($A497,[1]彩未分析60315!$A:$M,12,0)</f>
        <v>29</v>
      </c>
      <c r="G497" s="4">
        <f>VLOOKUP($A497,[1]彩未分析60315!$A:$M,13,0)</f>
        <v>27</v>
      </c>
      <c r="H497" s="3" t="s">
        <v>10</v>
      </c>
      <c r="I497" s="3" t="s">
        <v>978</v>
      </c>
    </row>
    <row r="498" customHeight="1" spans="1:9">
      <c r="A498" s="6" t="s">
        <v>979</v>
      </c>
      <c r="B498" s="4">
        <f>VLOOKUP($A498,[1]彩未分析60315!$A:$M,8,0)</f>
        <v>44</v>
      </c>
      <c r="C498" s="4">
        <f>VLOOKUP($A498,[1]彩未分析60315!$A:$M,9,0)</f>
        <v>43</v>
      </c>
      <c r="D498" s="4">
        <f>VLOOKUP($A498,[1]彩未分析60315!$A:$M,10,0)</f>
        <v>41</v>
      </c>
      <c r="E498" s="4">
        <f>VLOOKUP($A498,[1]彩未分析60315!$A:$M,11,0)</f>
        <v>39</v>
      </c>
      <c r="F498" s="4">
        <f>VLOOKUP($A498,[1]彩未分析60315!$A:$M,12,0)</f>
        <v>38</v>
      </c>
      <c r="G498" s="4">
        <f>VLOOKUP($A498,[1]彩未分析60315!$A:$M,13,0)</f>
        <v>36</v>
      </c>
      <c r="H498" s="3" t="s">
        <v>10</v>
      </c>
      <c r="I498" s="3" t="s">
        <v>980</v>
      </c>
    </row>
    <row r="499" customHeight="1" spans="1:9">
      <c r="A499" s="2" t="s">
        <v>981</v>
      </c>
      <c r="B499" s="4">
        <f>VLOOKUP($A499,[1]彩未分析60315!$A:$M,8,0)</f>
        <v>65</v>
      </c>
      <c r="C499" s="4">
        <f>VLOOKUP($A499,[1]彩未分析60315!$A:$M,9,0)</f>
        <v>64</v>
      </c>
      <c r="D499" s="4">
        <f>VLOOKUP($A499,[1]彩未分析60315!$A:$M,10,0)</f>
        <v>63</v>
      </c>
      <c r="E499" s="4">
        <f>VLOOKUP($A499,[1]彩未分析60315!$A:$M,11,0)</f>
        <v>62</v>
      </c>
      <c r="F499" s="4">
        <f>VLOOKUP($A499,[1]彩未分析60315!$A:$M,12,0)</f>
        <v>62</v>
      </c>
      <c r="G499" s="4">
        <f>VLOOKUP($A499,[1]彩未分析60315!$A:$M,13,0)</f>
        <v>61</v>
      </c>
      <c r="H499" s="3" t="s">
        <v>39</v>
      </c>
      <c r="I499" s="3" t="s">
        <v>982</v>
      </c>
    </row>
    <row r="500" customHeight="1" spans="1:9">
      <c r="A500" s="6" t="s">
        <v>983</v>
      </c>
      <c r="B500" s="4">
        <f>VLOOKUP($A500,[1]彩未分析60315!$A:$M,8,0)</f>
        <v>41</v>
      </c>
      <c r="C500" s="4">
        <f>VLOOKUP($A500,[1]彩未分析60315!$A:$M,9,0)</f>
        <v>40</v>
      </c>
      <c r="D500" s="4">
        <f>VLOOKUP($A500,[1]彩未分析60315!$A:$M,10,0)</f>
        <v>38</v>
      </c>
      <c r="E500" s="4">
        <f>VLOOKUP($A500,[1]彩未分析60315!$A:$M,11,0)</f>
        <v>37</v>
      </c>
      <c r="F500" s="4">
        <f>VLOOKUP($A500,[1]彩未分析60315!$A:$M,12,0)</f>
        <v>35</v>
      </c>
      <c r="G500" s="4">
        <f>VLOOKUP($A500,[1]彩未分析60315!$A:$M,13,0)</f>
        <v>34</v>
      </c>
      <c r="H500" s="3" t="s">
        <v>10</v>
      </c>
      <c r="I500" s="3" t="s">
        <v>984</v>
      </c>
    </row>
    <row r="501" customHeight="1" spans="1:9">
      <c r="A501" s="6" t="s">
        <v>985</v>
      </c>
      <c r="B501" s="4">
        <f>VLOOKUP($A501,[1]彩未分析60315!$A:$M,8,0)</f>
        <v>41</v>
      </c>
      <c r="C501" s="4">
        <f>VLOOKUP($A501,[1]彩未分析60315!$A:$M,9,0)</f>
        <v>39</v>
      </c>
      <c r="D501" s="4">
        <f>VLOOKUP($A501,[1]彩未分析60315!$A:$M,10,0)</f>
        <v>38</v>
      </c>
      <c r="E501" s="4">
        <f>VLOOKUP($A501,[1]彩未分析60315!$A:$M,11,0)</f>
        <v>36</v>
      </c>
      <c r="F501" s="4">
        <f>VLOOKUP($A501,[1]彩未分析60315!$A:$M,12,0)</f>
        <v>35</v>
      </c>
      <c r="G501" s="4">
        <f>VLOOKUP($A501,[1]彩未分析60315!$A:$M,13,0)</f>
        <v>33</v>
      </c>
      <c r="H501" s="3" t="s">
        <v>10</v>
      </c>
      <c r="I501" s="3" t="s">
        <v>986</v>
      </c>
    </row>
    <row r="502" customHeight="1" spans="1:9">
      <c r="A502" s="10" t="s">
        <v>987</v>
      </c>
      <c r="B502" s="4">
        <f>VLOOKUP($A502,[1]彩未分析60315!$A:$M,8,0)</f>
        <v>50</v>
      </c>
      <c r="C502" s="4">
        <f>VLOOKUP($A502,[1]彩未分析60315!$A:$M,9,0)</f>
        <v>49</v>
      </c>
      <c r="D502" s="4">
        <f>VLOOKUP($A502,[1]彩未分析60315!$A:$M,10,0)</f>
        <v>48</v>
      </c>
      <c r="E502" s="4">
        <f>VLOOKUP($A502,[1]彩未分析60315!$A:$M,11,0)</f>
        <v>47</v>
      </c>
      <c r="F502" s="4">
        <f>VLOOKUP($A502,[1]彩未分析60315!$A:$M,12,0)</f>
        <v>47</v>
      </c>
      <c r="G502" s="4">
        <f>VLOOKUP($A502,[1]彩未分析60315!$A:$M,13,0)</f>
        <v>46</v>
      </c>
      <c r="H502" s="3" t="s">
        <v>39</v>
      </c>
      <c r="I502" s="3" t="s">
        <v>988</v>
      </c>
    </row>
    <row r="503" customHeight="1" spans="1:9">
      <c r="A503" s="6" t="s">
        <v>989</v>
      </c>
      <c r="B503" s="4">
        <f>VLOOKUP($A503,[1]彩未分析60315!$A:$M,8,0)</f>
        <v>37</v>
      </c>
      <c r="C503" s="4">
        <f>VLOOKUP($A503,[1]彩未分析60315!$A:$M,9,0)</f>
        <v>36</v>
      </c>
      <c r="D503" s="4">
        <f>VLOOKUP($A503,[1]彩未分析60315!$A:$M,10,0)</f>
        <v>36</v>
      </c>
      <c r="E503" s="4">
        <f>VLOOKUP($A503,[1]彩未分析60315!$A:$M,11,0)</f>
        <v>35</v>
      </c>
      <c r="F503" s="4">
        <f>VLOOKUP($A503,[1]彩未分析60315!$A:$M,12,0)</f>
        <v>35</v>
      </c>
      <c r="G503" s="4">
        <f>VLOOKUP($A503,[1]彩未分析60315!$A:$M,13,0)</f>
        <v>34</v>
      </c>
      <c r="H503" s="3" t="s">
        <v>39</v>
      </c>
      <c r="I503" s="3" t="s">
        <v>990</v>
      </c>
    </row>
    <row r="504" customHeight="1" spans="1:9">
      <c r="A504" s="9" t="s">
        <v>991</v>
      </c>
      <c r="B504" s="4">
        <f>VLOOKUP($A504,[1]彩未分析60315!$A:$M,8,0)</f>
        <v>47</v>
      </c>
      <c r="C504" s="4">
        <f>VLOOKUP($A504,[1]彩未分析60315!$A:$M,9,0)</f>
        <v>45</v>
      </c>
      <c r="D504" s="4">
        <f>VLOOKUP($A504,[1]彩未分析60315!$A:$M,10,0)</f>
        <v>43</v>
      </c>
      <c r="E504" s="4">
        <f>VLOOKUP($A504,[1]彩未分析60315!$A:$M,11,0)</f>
        <v>42</v>
      </c>
      <c r="F504" s="4">
        <f>VLOOKUP($A504,[1]彩未分析60315!$A:$M,12,0)</f>
        <v>40</v>
      </c>
      <c r="G504" s="4">
        <f>VLOOKUP($A504,[1]彩未分析60315!$A:$M,13,0)</f>
        <v>38</v>
      </c>
      <c r="H504" s="3" t="s">
        <v>10</v>
      </c>
      <c r="I504" s="3" t="s">
        <v>992</v>
      </c>
    </row>
    <row r="505" customHeight="1" spans="1:9">
      <c r="A505" s="6" t="s">
        <v>993</v>
      </c>
      <c r="B505" s="4">
        <f>VLOOKUP($A505,[1]彩未分析60315!$A:$M,8,0)</f>
        <v>45</v>
      </c>
      <c r="C505" s="4">
        <f>VLOOKUP($A505,[1]彩未分析60315!$A:$M,9,0)</f>
        <v>44</v>
      </c>
      <c r="D505" s="4">
        <f>VLOOKUP($A505,[1]彩未分析60315!$A:$M,10,0)</f>
        <v>42</v>
      </c>
      <c r="E505" s="4">
        <f>VLOOKUP($A505,[1]彩未分析60315!$A:$M,11,0)</f>
        <v>40</v>
      </c>
      <c r="F505" s="4">
        <f>VLOOKUP($A505,[1]彩未分析60315!$A:$M,12,0)</f>
        <v>39</v>
      </c>
      <c r="G505" s="4">
        <f>VLOOKUP($A505,[1]彩未分析60315!$A:$M,13,0)</f>
        <v>37</v>
      </c>
      <c r="H505" s="3" t="s">
        <v>10</v>
      </c>
      <c r="I505" s="3" t="s">
        <v>718</v>
      </c>
    </row>
    <row r="506" customHeight="1" spans="1:9">
      <c r="A506" s="4" t="s">
        <v>994</v>
      </c>
      <c r="B506" s="4">
        <f>VLOOKUP($A506,[1]彩未分析60315!$A:$M,8,0)</f>
        <v>49</v>
      </c>
      <c r="C506" s="4">
        <f>VLOOKUP($A506,[1]彩未分析60315!$A:$M,9,0)</f>
        <v>48</v>
      </c>
      <c r="D506" s="4">
        <f>VLOOKUP($A506,[1]彩未分析60315!$A:$M,10,0)</f>
        <v>47</v>
      </c>
      <c r="E506" s="4">
        <f>VLOOKUP($A506,[1]彩未分析60315!$A:$M,11,0)</f>
        <v>46</v>
      </c>
      <c r="F506" s="4">
        <f>VLOOKUP($A506,[1]彩未分析60315!$A:$M,12,0)</f>
        <v>46</v>
      </c>
      <c r="G506" s="4">
        <f>VLOOKUP($A506,[1]彩未分析60315!$A:$M,13,0)</f>
        <v>45</v>
      </c>
      <c r="H506" s="3" t="s">
        <v>39</v>
      </c>
      <c r="I506" s="3" t="s">
        <v>791</v>
      </c>
    </row>
    <row r="507" customHeight="1" spans="1:9">
      <c r="A507" s="4" t="s">
        <v>995</v>
      </c>
      <c r="B507" s="4">
        <f>VLOOKUP($A507,[1]彩未分析60315!$A:$M,8,0)</f>
        <v>163</v>
      </c>
      <c r="C507" s="4">
        <f>VLOOKUP($A507,[1]彩未分析60315!$A:$M,9,0)</f>
        <v>160</v>
      </c>
      <c r="D507" s="4">
        <f>VLOOKUP($A507,[1]彩未分析60315!$A:$M,10,0)</f>
        <v>158</v>
      </c>
      <c r="E507" s="4">
        <f>VLOOKUP($A507,[1]彩未分析60315!$A:$M,11,0)</f>
        <v>155</v>
      </c>
      <c r="F507" s="4">
        <f>VLOOKUP($A507,[1]彩未分析60315!$A:$M,12,0)</f>
        <v>153</v>
      </c>
      <c r="G507" s="4">
        <f>VLOOKUP($A507,[1]彩未分析60315!$A:$M,13,0)</f>
        <v>151</v>
      </c>
      <c r="H507" s="3" t="s">
        <v>39</v>
      </c>
      <c r="I507" s="3" t="s">
        <v>996</v>
      </c>
    </row>
    <row r="508" customHeight="1" spans="1:9">
      <c r="A508" s="6" t="s">
        <v>997</v>
      </c>
      <c r="B508" s="4">
        <f>VLOOKUP($A508,[1]彩未分析60315!$A:$M,8,0)</f>
        <v>52</v>
      </c>
      <c r="C508" s="4">
        <f>VLOOKUP($A508,[1]彩未分析60315!$A:$M,9,0)</f>
        <v>52</v>
      </c>
      <c r="D508" s="4">
        <f>VLOOKUP($A508,[1]彩未分析60315!$A:$M,10,0)</f>
        <v>51</v>
      </c>
      <c r="E508" s="4">
        <f>VLOOKUP($A508,[1]彩未分析60315!$A:$M,11,0)</f>
        <v>50</v>
      </c>
      <c r="F508" s="4">
        <f>VLOOKUP($A508,[1]彩未分析60315!$A:$M,12,0)</f>
        <v>49</v>
      </c>
      <c r="G508" s="4">
        <f>VLOOKUP($A508,[1]彩未分析60315!$A:$M,13,0)</f>
        <v>49</v>
      </c>
      <c r="H508" s="3" t="s">
        <v>39</v>
      </c>
      <c r="I508" s="3" t="s">
        <v>863</v>
      </c>
    </row>
    <row r="509" customHeight="1" spans="1:9">
      <c r="A509" s="10" t="s">
        <v>998</v>
      </c>
      <c r="B509" s="4">
        <f>VLOOKUP($A509,[1]彩未分析60315!$A:$M,8,0)</f>
        <v>71</v>
      </c>
      <c r="C509" s="4">
        <f>VLOOKUP($A509,[1]彩未分析60315!$A:$M,9,0)</f>
        <v>68</v>
      </c>
      <c r="D509" s="4">
        <f>VLOOKUP($A509,[1]彩未分析60315!$A:$M,10,0)</f>
        <v>65</v>
      </c>
      <c r="E509" s="4">
        <f>VLOOKUP($A509,[1]彩未分析60315!$A:$M,11,0)</f>
        <v>63</v>
      </c>
      <c r="F509" s="4">
        <f>VLOOKUP($A509,[1]彩未分析60315!$A:$M,12,0)</f>
        <v>60</v>
      </c>
      <c r="G509" s="4">
        <f>VLOOKUP($A509,[1]彩未分析60315!$A:$M,13,0)</f>
        <v>58</v>
      </c>
      <c r="H509" s="3" t="s">
        <v>10</v>
      </c>
      <c r="I509" s="3" t="s">
        <v>999</v>
      </c>
    </row>
    <row r="510" customHeight="1" spans="1:9">
      <c r="A510" s="4" t="s">
        <v>1000</v>
      </c>
      <c r="B510" s="4">
        <f>VLOOKUP($A510,[1]彩未分析60315!$A:$M,8,0)</f>
        <v>32</v>
      </c>
      <c r="C510" s="4">
        <f>VLOOKUP($A510,[1]彩未分析60315!$A:$M,9,0)</f>
        <v>31</v>
      </c>
      <c r="D510" s="4">
        <f>VLOOKUP($A510,[1]彩未分析60315!$A:$M,10,0)</f>
        <v>30</v>
      </c>
      <c r="E510" s="4">
        <f>VLOOKUP($A510,[1]彩未分析60315!$A:$M,11,0)</f>
        <v>29</v>
      </c>
      <c r="F510" s="4">
        <f>VLOOKUP($A510,[1]彩未分析60315!$A:$M,12,0)</f>
        <v>28</v>
      </c>
      <c r="G510" s="4">
        <f>VLOOKUP($A510,[1]彩未分析60315!$A:$M,13,0)</f>
        <v>27</v>
      </c>
      <c r="H510" s="3" t="s">
        <v>10</v>
      </c>
      <c r="I510" s="3" t="s">
        <v>1001</v>
      </c>
    </row>
    <row r="511" customHeight="1" spans="1:9">
      <c r="A511" s="4" t="s">
        <v>1002</v>
      </c>
      <c r="B511" s="4">
        <f>VLOOKUP($A511,[1]彩未分析60315!$A:$M,8,0)</f>
        <v>59</v>
      </c>
      <c r="C511" s="4">
        <f>VLOOKUP($A511,[1]彩未分析60315!$A:$M,9,0)</f>
        <v>58</v>
      </c>
      <c r="D511" s="4">
        <f>VLOOKUP($A511,[1]彩未分析60315!$A:$M,10,0)</f>
        <v>57</v>
      </c>
      <c r="E511" s="4">
        <f>VLOOKUP($A511,[1]彩未分析60315!$A:$M,11,0)</f>
        <v>56</v>
      </c>
      <c r="F511" s="4">
        <f>VLOOKUP($A511,[1]彩未分析60315!$A:$M,12,0)</f>
        <v>55</v>
      </c>
      <c r="G511" s="4">
        <f>VLOOKUP($A511,[1]彩未分析60315!$A:$M,13,0)</f>
        <v>54</v>
      </c>
      <c r="H511" s="3" t="s">
        <v>39</v>
      </c>
      <c r="I511" s="3" t="s">
        <v>1003</v>
      </c>
    </row>
    <row r="512" customHeight="1" spans="1:9">
      <c r="A512" s="4" t="s">
        <v>1004</v>
      </c>
      <c r="B512" s="4">
        <f>VLOOKUP($A512,[1]彩未分析60315!$A:$M,8,0)</f>
        <v>68</v>
      </c>
      <c r="C512" s="4">
        <f>VLOOKUP($A512,[1]彩未分析60315!$A:$M,9,0)</f>
        <v>66</v>
      </c>
      <c r="D512" s="4">
        <f>VLOOKUP($A512,[1]彩未分析60315!$A:$M,10,0)</f>
        <v>65</v>
      </c>
      <c r="E512" s="4">
        <f>VLOOKUP($A512,[1]彩未分析60315!$A:$M,11,0)</f>
        <v>64</v>
      </c>
      <c r="F512" s="4">
        <f>VLOOKUP($A512,[1]彩未分析60315!$A:$M,12,0)</f>
        <v>64</v>
      </c>
      <c r="G512" s="4">
        <f>VLOOKUP($A512,[1]彩未分析60315!$A:$M,13,0)</f>
        <v>63</v>
      </c>
      <c r="H512" s="3" t="s">
        <v>39</v>
      </c>
      <c r="I512" s="3" t="s">
        <v>1005</v>
      </c>
    </row>
    <row r="513" customHeight="1" spans="1:9">
      <c r="A513" s="4" t="s">
        <v>1006</v>
      </c>
      <c r="B513" s="4">
        <f>VLOOKUP($A513,[1]彩未分析60315!$A:$M,8,0)</f>
        <v>48</v>
      </c>
      <c r="C513" s="4">
        <f>VLOOKUP($A513,[1]彩未分析60315!$A:$M,9,0)</f>
        <v>46</v>
      </c>
      <c r="D513" s="4">
        <f>VLOOKUP($A513,[1]彩未分析60315!$A:$M,10,0)</f>
        <v>44</v>
      </c>
      <c r="E513" s="4">
        <f>VLOOKUP($A513,[1]彩未分析60315!$A:$M,11,0)</f>
        <v>42</v>
      </c>
      <c r="F513" s="4">
        <f>VLOOKUP($A513,[1]彩未分析60315!$A:$M,12,0)</f>
        <v>41</v>
      </c>
      <c r="G513" s="4">
        <f>VLOOKUP($A513,[1]彩未分析60315!$A:$M,13,0)</f>
        <v>39</v>
      </c>
      <c r="H513" s="3" t="s">
        <v>10</v>
      </c>
      <c r="I513" s="3" t="s">
        <v>1007</v>
      </c>
    </row>
    <row r="514" customHeight="1" spans="1:9">
      <c r="A514" s="4" t="s">
        <v>1008</v>
      </c>
      <c r="B514" s="4">
        <f>VLOOKUP($A514,[1]彩未分析60315!$A:$M,8,0)</f>
        <v>72</v>
      </c>
      <c r="C514" s="4">
        <f>VLOOKUP($A514,[1]彩未分析60315!$A:$M,9,0)</f>
        <v>71</v>
      </c>
      <c r="D514" s="4">
        <f>VLOOKUP($A514,[1]彩未分析60315!$A:$M,10,0)</f>
        <v>70</v>
      </c>
      <c r="E514" s="4">
        <f>VLOOKUP($A514,[1]彩未分析60315!$A:$M,11,0)</f>
        <v>69</v>
      </c>
      <c r="F514" s="4">
        <f>VLOOKUP($A514,[1]彩未分析60315!$A:$M,12,0)</f>
        <v>68</v>
      </c>
      <c r="G514" s="4">
        <f>VLOOKUP($A514,[1]彩未分析60315!$A:$M,13,0)</f>
        <v>67</v>
      </c>
      <c r="H514" s="3" t="s">
        <v>39</v>
      </c>
      <c r="I514" s="3" t="s">
        <v>1009</v>
      </c>
    </row>
    <row r="515" customHeight="1" spans="1:9">
      <c r="A515" s="4" t="s">
        <v>1010</v>
      </c>
      <c r="B515" s="4">
        <f>VLOOKUP($A515,[1]彩未分析60315!$A:$M,8,0)</f>
        <v>85</v>
      </c>
      <c r="C515" s="4">
        <f>VLOOKUP($A515,[1]彩未分析60315!$A:$M,9,0)</f>
        <v>83</v>
      </c>
      <c r="D515" s="4">
        <f>VLOOKUP($A515,[1]彩未分析60315!$A:$M,10,0)</f>
        <v>82</v>
      </c>
      <c r="E515" s="4">
        <f>VLOOKUP($A515,[1]彩未分析60315!$A:$M,11,0)</f>
        <v>80</v>
      </c>
      <c r="F515" s="4">
        <f>VLOOKUP($A515,[1]彩未分析60315!$A:$M,12,0)</f>
        <v>80</v>
      </c>
      <c r="G515" s="4">
        <f>VLOOKUP($A515,[1]彩未分析60315!$A:$M,13,0)</f>
        <v>78</v>
      </c>
      <c r="H515" s="3" t="s">
        <v>39</v>
      </c>
      <c r="I515" s="3" t="s">
        <v>1011</v>
      </c>
    </row>
    <row r="516" customHeight="1" spans="1:9">
      <c r="A516" s="4" t="s">
        <v>1012</v>
      </c>
      <c r="B516" s="4">
        <f>VLOOKUP($A516,[1]彩未分析60315!$A:$M,8,0)</f>
        <v>48</v>
      </c>
      <c r="C516" s="4">
        <f>VLOOKUP($A516,[1]彩未分析60315!$A:$M,9,0)</f>
        <v>46</v>
      </c>
      <c r="D516" s="4">
        <f>VLOOKUP($A516,[1]彩未分析60315!$A:$M,10,0)</f>
        <v>44</v>
      </c>
      <c r="E516" s="4">
        <f>VLOOKUP($A516,[1]彩未分析60315!$A:$M,11,0)</f>
        <v>43</v>
      </c>
      <c r="F516" s="4">
        <f>VLOOKUP($A516,[1]彩未分析60315!$A:$M,12,0)</f>
        <v>41</v>
      </c>
      <c r="G516" s="4">
        <f>VLOOKUP($A516,[1]彩未分析60315!$A:$M,13,0)</f>
        <v>39</v>
      </c>
      <c r="H516" s="3" t="s">
        <v>10</v>
      </c>
      <c r="I516" s="3" t="s">
        <v>1013</v>
      </c>
    </row>
    <row r="517" customHeight="1" spans="1:9">
      <c r="A517" s="4" t="s">
        <v>1014</v>
      </c>
      <c r="B517" s="4">
        <f>VLOOKUP($A517,[1]彩未分析60315!$A:$M,8,0)</f>
        <v>46</v>
      </c>
      <c r="C517" s="4">
        <f>VLOOKUP($A517,[1]彩未分析60315!$A:$M,9,0)</f>
        <v>45</v>
      </c>
      <c r="D517" s="4">
        <f>VLOOKUP($A517,[1]彩未分析60315!$A:$M,10,0)</f>
        <v>44</v>
      </c>
      <c r="E517" s="4">
        <f>VLOOKUP($A517,[1]彩未分析60315!$A:$M,11,0)</f>
        <v>44</v>
      </c>
      <c r="F517" s="4">
        <f>VLOOKUP($A517,[1]彩未分析60315!$A:$M,12,0)</f>
        <v>43</v>
      </c>
      <c r="G517" s="4">
        <f>VLOOKUP($A517,[1]彩未分析60315!$A:$M,13,0)</f>
        <v>43</v>
      </c>
      <c r="H517" s="3" t="s">
        <v>39</v>
      </c>
      <c r="I517" s="3" t="s">
        <v>1015</v>
      </c>
    </row>
    <row r="518" customHeight="1" spans="1:9">
      <c r="A518" s="11" t="s">
        <v>1016</v>
      </c>
      <c r="B518" s="4">
        <f>VLOOKUP($A518,[1]彩未分析60315!$A:$M,8,0)</f>
        <v>26</v>
      </c>
      <c r="C518" s="4">
        <f>VLOOKUP($A518,[1]彩未分析60315!$A:$M,9,0)</f>
        <v>25</v>
      </c>
      <c r="D518" s="4">
        <f>VLOOKUP($A518,[1]彩未分析60315!$A:$M,10,0)</f>
        <v>24</v>
      </c>
      <c r="E518" s="4">
        <f>VLOOKUP($A518,[1]彩未分析60315!$A:$M,11,0)</f>
        <v>23</v>
      </c>
      <c r="F518" s="4">
        <f>VLOOKUP($A518,[1]彩未分析60315!$A:$M,12,0)</f>
        <v>22</v>
      </c>
      <c r="G518" s="4">
        <f>VLOOKUP($A518,[1]彩未分析60315!$A:$M,13,0)</f>
        <v>21</v>
      </c>
      <c r="H518" s="3" t="s">
        <v>10</v>
      </c>
      <c r="I518" s="3" t="s">
        <v>1017</v>
      </c>
    </row>
    <row r="519" customHeight="1" spans="1:9">
      <c r="A519" s="9" t="s">
        <v>1018</v>
      </c>
      <c r="B519" s="4">
        <f>VLOOKUP($A519,[1]彩未分析60315!$A:$M,8,0)</f>
        <v>34</v>
      </c>
      <c r="C519" s="4">
        <f>VLOOKUP($A519,[1]彩未分析60315!$A:$M,9,0)</f>
        <v>33</v>
      </c>
      <c r="D519" s="4">
        <f>VLOOKUP($A519,[1]彩未分析60315!$A:$M,10,0)</f>
        <v>32</v>
      </c>
      <c r="E519" s="4">
        <f>VLOOKUP($A519,[1]彩未分析60315!$A:$M,11,0)</f>
        <v>30</v>
      </c>
      <c r="F519" s="4">
        <f>VLOOKUP($A519,[1]彩未分析60315!$A:$M,12,0)</f>
        <v>29</v>
      </c>
      <c r="G519" s="4">
        <f>VLOOKUP($A519,[1]彩未分析60315!$A:$M,13,0)</f>
        <v>28</v>
      </c>
      <c r="H519" s="3" t="s">
        <v>10</v>
      </c>
      <c r="I519" s="3" t="s">
        <v>1019</v>
      </c>
    </row>
    <row r="520" customHeight="1" spans="1:9">
      <c r="A520" s="11" t="s">
        <v>1020</v>
      </c>
      <c r="B520" s="4">
        <f>VLOOKUP($A520,[1]彩未分析60315!$A:$M,8,0)</f>
        <v>63</v>
      </c>
      <c r="C520" s="4">
        <f>VLOOKUP($A520,[1]彩未分析60315!$A:$M,9,0)</f>
        <v>62</v>
      </c>
      <c r="D520" s="4">
        <f>VLOOKUP($A520,[1]彩未分析60315!$A:$M,10,0)</f>
        <v>61</v>
      </c>
      <c r="E520" s="4">
        <f>VLOOKUP($A520,[1]彩未分析60315!$A:$M,11,0)</f>
        <v>60</v>
      </c>
      <c r="F520" s="4">
        <f>VLOOKUP($A520,[1]彩未分析60315!$A:$M,12,0)</f>
        <v>59</v>
      </c>
      <c r="G520" s="4">
        <f>VLOOKUP($A520,[1]彩未分析60315!$A:$M,13,0)</f>
        <v>58</v>
      </c>
      <c r="H520" s="3" t="s">
        <v>39</v>
      </c>
      <c r="I520" s="3" t="s">
        <v>996</v>
      </c>
    </row>
    <row r="521" customHeight="1" spans="1:9">
      <c r="A521" s="11" t="s">
        <v>1021</v>
      </c>
      <c r="B521" s="4">
        <f>VLOOKUP($A521,[1]彩未分析60315!$A:$M,8,0)</f>
        <v>56</v>
      </c>
      <c r="C521" s="4">
        <f>VLOOKUP($A521,[1]彩未分析60315!$A:$M,9,0)</f>
        <v>54</v>
      </c>
      <c r="D521" s="4">
        <f>VLOOKUP($A521,[1]彩未分析60315!$A:$M,10,0)</f>
        <v>52</v>
      </c>
      <c r="E521" s="4">
        <f>VLOOKUP($A521,[1]彩未分析60315!$A:$M,11,0)</f>
        <v>50</v>
      </c>
      <c r="F521" s="4">
        <f>VLOOKUP($A521,[1]彩未分析60315!$A:$M,12,0)</f>
        <v>48</v>
      </c>
      <c r="G521" s="4">
        <f>VLOOKUP($A521,[1]彩未分析60315!$A:$M,13,0)</f>
        <v>46</v>
      </c>
      <c r="H521" s="3" t="s">
        <v>10</v>
      </c>
      <c r="I521" s="3" t="s">
        <v>1022</v>
      </c>
    </row>
    <row r="522" customHeight="1" spans="1:9">
      <c r="A522" s="11" t="s">
        <v>1023</v>
      </c>
      <c r="B522" s="4">
        <f>VLOOKUP($A522,[1]彩未分析60315!$A:$M,8,0)</f>
        <v>59</v>
      </c>
      <c r="C522" s="4">
        <f>VLOOKUP($A522,[1]彩未分析60315!$A:$M,9,0)</f>
        <v>58</v>
      </c>
      <c r="D522" s="4">
        <f>VLOOKUP($A522,[1]彩未分析60315!$A:$M,10,0)</f>
        <v>57</v>
      </c>
      <c r="E522" s="4">
        <f>VLOOKUP($A522,[1]彩未分析60315!$A:$M,11,0)</f>
        <v>56</v>
      </c>
      <c r="F522" s="4">
        <f>VLOOKUP($A522,[1]彩未分析60315!$A:$M,12,0)</f>
        <v>56</v>
      </c>
      <c r="G522" s="4">
        <f>VLOOKUP($A522,[1]彩未分析60315!$A:$M,13,0)</f>
        <v>55</v>
      </c>
      <c r="H522" s="3" t="s">
        <v>39</v>
      </c>
      <c r="I522" s="3" t="s">
        <v>1024</v>
      </c>
    </row>
    <row r="523" customHeight="1" spans="1:9">
      <c r="A523" s="11" t="s">
        <v>1025</v>
      </c>
      <c r="B523" s="4">
        <f>VLOOKUP($A523,[1]彩未分析60315!$A:$M,8,0)</f>
        <v>100</v>
      </c>
      <c r="C523" s="4">
        <f>VLOOKUP($A523,[1]彩未分析60315!$A:$M,9,0)</f>
        <v>98</v>
      </c>
      <c r="D523" s="4">
        <f>VLOOKUP($A523,[1]彩未分析60315!$A:$M,10,0)</f>
        <v>96</v>
      </c>
      <c r="E523" s="4">
        <f>VLOOKUP($A523,[1]彩未分析60315!$A:$M,11,0)</f>
        <v>95</v>
      </c>
      <c r="F523" s="4">
        <f>VLOOKUP($A523,[1]彩未分析60315!$A:$M,12,0)</f>
        <v>94</v>
      </c>
      <c r="G523" s="4">
        <f>VLOOKUP($A523,[1]彩未分析60315!$A:$M,13,0)</f>
        <v>92</v>
      </c>
      <c r="H523" s="3" t="s">
        <v>39</v>
      </c>
      <c r="I523" s="3" t="s">
        <v>1026</v>
      </c>
    </row>
    <row r="524" customHeight="1" spans="1:9">
      <c r="A524" s="9" t="s">
        <v>1027</v>
      </c>
      <c r="B524" s="4">
        <f>VLOOKUP($A524,[1]彩未分析60315!$A:$M,8,0)</f>
        <v>197</v>
      </c>
      <c r="C524" s="4">
        <f>VLOOKUP($A524,[1]彩未分析60315!$A:$M,9,0)</f>
        <v>194</v>
      </c>
      <c r="D524" s="4">
        <f>VLOOKUP($A524,[1]彩未分析60315!$A:$M,10,0)</f>
        <v>190</v>
      </c>
      <c r="E524" s="4">
        <f>VLOOKUP($A524,[1]彩未分析60315!$A:$M,11,0)</f>
        <v>187</v>
      </c>
      <c r="F524" s="4">
        <f>VLOOKUP($A524,[1]彩未分析60315!$A:$M,12,0)</f>
        <v>185</v>
      </c>
      <c r="G524" s="4">
        <f>VLOOKUP($A524,[1]彩未分析60315!$A:$M,13,0)</f>
        <v>182</v>
      </c>
      <c r="H524" s="3" t="s">
        <v>39</v>
      </c>
      <c r="I524" s="3" t="s">
        <v>1028</v>
      </c>
    </row>
    <row r="525" customHeight="1" spans="1:9">
      <c r="A525" s="9" t="s">
        <v>1029</v>
      </c>
      <c r="B525" s="4">
        <f>VLOOKUP($A525,[1]彩未分析60315!$A:$M,8,0)</f>
        <v>48</v>
      </c>
      <c r="C525" s="4">
        <f>VLOOKUP($A525,[1]彩未分析60315!$A:$M,9,0)</f>
        <v>46</v>
      </c>
      <c r="D525" s="4">
        <f>VLOOKUP($A525,[1]彩未分析60315!$A:$M,10,0)</f>
        <v>44</v>
      </c>
      <c r="E525" s="4">
        <f>VLOOKUP($A525,[1]彩未分析60315!$A:$M,11,0)</f>
        <v>43</v>
      </c>
      <c r="F525" s="4">
        <f>VLOOKUP($A525,[1]彩未分析60315!$A:$M,12,0)</f>
        <v>41</v>
      </c>
      <c r="G525" s="4">
        <f>VLOOKUP($A525,[1]彩未分析60315!$A:$M,13,0)</f>
        <v>39</v>
      </c>
      <c r="H525" s="3" t="s">
        <v>10</v>
      </c>
      <c r="I525" s="3" t="s">
        <v>1030</v>
      </c>
    </row>
    <row r="526" customHeight="1" spans="1:9">
      <c r="A526" s="11" t="s">
        <v>1031</v>
      </c>
      <c r="B526" s="4">
        <f>VLOOKUP($A526,[1]彩未分析60315!$A:$M,8,0)</f>
        <v>47</v>
      </c>
      <c r="C526" s="4">
        <f>VLOOKUP($A526,[1]彩未分析60315!$A:$M,9,0)</f>
        <v>45</v>
      </c>
      <c r="D526" s="4">
        <f>VLOOKUP($A526,[1]彩未分析60315!$A:$M,10,0)</f>
        <v>43</v>
      </c>
      <c r="E526" s="4">
        <f>VLOOKUP($A526,[1]彩未分析60315!$A:$M,11,0)</f>
        <v>42</v>
      </c>
      <c r="F526" s="4">
        <f>VLOOKUP($A526,[1]彩未分析60315!$A:$M,12,0)</f>
        <v>40</v>
      </c>
      <c r="G526" s="4">
        <f>VLOOKUP($A526,[1]彩未分析60315!$A:$M,13,0)</f>
        <v>38</v>
      </c>
      <c r="H526" s="3" t="s">
        <v>10</v>
      </c>
      <c r="I526" s="3" t="s">
        <v>1032</v>
      </c>
    </row>
    <row r="527" customHeight="1" spans="1:9">
      <c r="A527" s="11" t="s">
        <v>1033</v>
      </c>
      <c r="B527" s="4">
        <f>VLOOKUP($A527,[1]彩未分析60315!$A:$M,8,0)</f>
        <v>37</v>
      </c>
      <c r="C527" s="4">
        <f>VLOOKUP($A527,[1]彩未分析60315!$A:$M,9,0)</f>
        <v>35</v>
      </c>
      <c r="D527" s="4">
        <f>VLOOKUP($A527,[1]彩未分析60315!$A:$M,10,0)</f>
        <v>34</v>
      </c>
      <c r="E527" s="4">
        <f>VLOOKUP($A527,[1]彩未分析60315!$A:$M,11,0)</f>
        <v>33</v>
      </c>
      <c r="F527" s="4">
        <f>VLOOKUP($A527,[1]彩未分析60315!$A:$M,12,0)</f>
        <v>31</v>
      </c>
      <c r="G527" s="4">
        <f>VLOOKUP($A527,[1]彩未分析60315!$A:$M,13,0)</f>
        <v>30</v>
      </c>
      <c r="H527" s="3" t="s">
        <v>10</v>
      </c>
      <c r="I527" s="3" t="s">
        <v>1034</v>
      </c>
    </row>
    <row r="528" customHeight="1" spans="1:9">
      <c r="A528" s="9" t="s">
        <v>1035</v>
      </c>
      <c r="B528" s="4">
        <f>VLOOKUP($A528,[1]彩未分析60315!$A:$M,8,0)</f>
        <v>47</v>
      </c>
      <c r="C528" s="4">
        <f>VLOOKUP($A528,[1]彩未分析60315!$A:$M,9,0)</f>
        <v>46</v>
      </c>
      <c r="D528" s="4">
        <f>VLOOKUP($A528,[1]彩未分析60315!$A:$M,10,0)</f>
        <v>46</v>
      </c>
      <c r="E528" s="4">
        <f>VLOOKUP($A528,[1]彩未分析60315!$A:$M,11,0)</f>
        <v>45</v>
      </c>
      <c r="F528" s="4">
        <f>VLOOKUP($A528,[1]彩未分析60315!$A:$M,12,0)</f>
        <v>45</v>
      </c>
      <c r="G528" s="4">
        <f>VLOOKUP($A528,[1]彩未分析60315!$A:$M,13,0)</f>
        <v>44</v>
      </c>
      <c r="H528" s="3" t="s">
        <v>39</v>
      </c>
      <c r="I528" s="3" t="s">
        <v>748</v>
      </c>
    </row>
    <row r="529" customHeight="1" spans="1:9">
      <c r="A529" s="4" t="s">
        <v>1036</v>
      </c>
      <c r="B529" s="4">
        <f>VLOOKUP($A529,[1]彩未分析60315!$A:$M,8,0)</f>
        <v>47</v>
      </c>
      <c r="C529" s="4">
        <f>VLOOKUP($A529,[1]彩未分析60315!$A:$M,9,0)</f>
        <v>45</v>
      </c>
      <c r="D529" s="4">
        <f>VLOOKUP($A529,[1]彩未分析60315!$A:$M,10,0)</f>
        <v>44</v>
      </c>
      <c r="E529" s="4">
        <f>VLOOKUP($A529,[1]彩未分析60315!$A:$M,11,0)</f>
        <v>42</v>
      </c>
      <c r="F529" s="4">
        <f>VLOOKUP($A529,[1]彩未分析60315!$A:$M,12,0)</f>
        <v>40</v>
      </c>
      <c r="G529" s="4">
        <f>VLOOKUP($A529,[1]彩未分析60315!$A:$M,13,0)</f>
        <v>38</v>
      </c>
      <c r="H529" s="3" t="s">
        <v>10</v>
      </c>
      <c r="I529" s="3" t="s">
        <v>1037</v>
      </c>
    </row>
    <row r="530" customHeight="1" spans="1:9">
      <c r="A530" s="4" t="s">
        <v>1038</v>
      </c>
      <c r="B530" s="4">
        <f>VLOOKUP($A530,[1]彩未分析60315!$A:$M,8,0)</f>
        <v>53</v>
      </c>
      <c r="C530" s="4">
        <f>VLOOKUP($A530,[1]彩未分析60315!$A:$M,9,0)</f>
        <v>52</v>
      </c>
      <c r="D530" s="4">
        <f>VLOOKUP($A530,[1]彩未分析60315!$A:$M,10,0)</f>
        <v>52</v>
      </c>
      <c r="E530" s="4">
        <f>VLOOKUP($A530,[1]彩未分析60315!$A:$M,11,0)</f>
        <v>51</v>
      </c>
      <c r="F530" s="4">
        <f>VLOOKUP($A530,[1]彩未分析60315!$A:$M,12,0)</f>
        <v>50</v>
      </c>
      <c r="G530" s="4">
        <f>VLOOKUP($A530,[1]彩未分析60315!$A:$M,13,0)</f>
        <v>49</v>
      </c>
      <c r="H530" s="3" t="s">
        <v>39</v>
      </c>
      <c r="I530" s="3" t="s">
        <v>1039</v>
      </c>
    </row>
    <row r="531" customHeight="1" spans="1:9">
      <c r="A531" s="11" t="s">
        <v>1040</v>
      </c>
      <c r="B531" s="4">
        <f>VLOOKUP($A531,[1]彩未分析60315!$A:$M,8,0)</f>
        <v>43</v>
      </c>
      <c r="C531" s="4">
        <f>VLOOKUP($A531,[1]彩未分析60315!$A:$M,9,0)</f>
        <v>41</v>
      </c>
      <c r="D531" s="4">
        <f>VLOOKUP($A531,[1]彩未分析60315!$A:$M,10,0)</f>
        <v>40</v>
      </c>
      <c r="E531" s="4">
        <f>VLOOKUP($A531,[1]彩未分析60315!$A:$M,11,0)</f>
        <v>38</v>
      </c>
      <c r="F531" s="4">
        <f>VLOOKUP($A531,[1]彩未分析60315!$A:$M,12,0)</f>
        <v>36</v>
      </c>
      <c r="G531" s="4">
        <f>VLOOKUP($A531,[1]彩未分析60315!$A:$M,13,0)</f>
        <v>35</v>
      </c>
      <c r="H531" s="3" t="s">
        <v>10</v>
      </c>
      <c r="I531" s="3" t="s">
        <v>1041</v>
      </c>
    </row>
    <row r="532" customHeight="1" spans="1:9">
      <c r="A532" s="11" t="s">
        <v>1042</v>
      </c>
      <c r="B532" s="4">
        <f>VLOOKUP($A532,[1]彩未分析60315!$A:$M,8,0)</f>
        <v>53</v>
      </c>
      <c r="C532" s="4">
        <f>VLOOKUP($A532,[1]彩未分析60315!$A:$M,9,0)</f>
        <v>52</v>
      </c>
      <c r="D532" s="4">
        <f>VLOOKUP($A532,[1]彩未分析60315!$A:$M,10,0)</f>
        <v>52</v>
      </c>
      <c r="E532" s="4">
        <f>VLOOKUP($A532,[1]彩未分析60315!$A:$M,11,0)</f>
        <v>51</v>
      </c>
      <c r="F532" s="4">
        <f>VLOOKUP($A532,[1]彩未分析60315!$A:$M,12,0)</f>
        <v>50</v>
      </c>
      <c r="G532" s="4">
        <f>VLOOKUP($A532,[1]彩未分析60315!$A:$M,13,0)</f>
        <v>49</v>
      </c>
      <c r="H532" s="3" t="s">
        <v>39</v>
      </c>
      <c r="I532" s="3" t="s">
        <v>1043</v>
      </c>
    </row>
    <row r="533" customHeight="1" spans="1:9">
      <c r="A533" s="5" t="s">
        <v>1044</v>
      </c>
      <c r="B533" s="4">
        <f>VLOOKUP($A533,[1]彩未分析60315!$A:$M,8,0)</f>
        <v>83</v>
      </c>
      <c r="C533" s="4">
        <f>VLOOKUP($A533,[1]彩未分析60315!$A:$M,9,0)</f>
        <v>81</v>
      </c>
      <c r="D533" s="4">
        <f>VLOOKUP($A533,[1]彩未分析60315!$A:$M,10,0)</f>
        <v>80</v>
      </c>
      <c r="E533" s="4">
        <f>VLOOKUP($A533,[1]彩未分析60315!$A:$M,11,0)</f>
        <v>78</v>
      </c>
      <c r="F533" s="4">
        <f>VLOOKUP($A533,[1]彩未分析60315!$A:$M,12,0)</f>
        <v>78</v>
      </c>
      <c r="G533" s="4">
        <f>VLOOKUP($A533,[1]彩未分析60315!$A:$M,13,0)</f>
        <v>76</v>
      </c>
      <c r="H533" s="3" t="s">
        <v>39</v>
      </c>
      <c r="I533" s="3" t="s">
        <v>1045</v>
      </c>
    </row>
    <row r="534" customHeight="1" spans="1:9">
      <c r="A534" s="11" t="s">
        <v>1046</v>
      </c>
      <c r="B534" s="4">
        <f>VLOOKUP($A534,[1]彩未分析60315!$A:$M,8,0)</f>
        <v>83</v>
      </c>
      <c r="C534" s="4">
        <f>VLOOKUP($A534,[1]彩未分析60315!$A:$M,9,0)</f>
        <v>81</v>
      </c>
      <c r="D534" s="4">
        <f>VLOOKUP($A534,[1]彩未分析60315!$A:$M,10,0)</f>
        <v>80</v>
      </c>
      <c r="E534" s="4">
        <f>VLOOKUP($A534,[1]彩未分析60315!$A:$M,11,0)</f>
        <v>78</v>
      </c>
      <c r="F534" s="4">
        <f>VLOOKUP($A534,[1]彩未分析60315!$A:$M,12,0)</f>
        <v>78</v>
      </c>
      <c r="G534" s="4">
        <f>VLOOKUP($A534,[1]彩未分析60315!$A:$M,13,0)</f>
        <v>76</v>
      </c>
      <c r="H534" s="3" t="s">
        <v>39</v>
      </c>
      <c r="I534" s="3" t="s">
        <v>1047</v>
      </c>
    </row>
    <row r="535" customHeight="1" spans="1:9">
      <c r="A535" s="11" t="s">
        <v>1048</v>
      </c>
      <c r="B535" s="4">
        <f>VLOOKUP($A535,[1]彩未分析60315!$A:$M,8,0)</f>
        <v>43</v>
      </c>
      <c r="C535" s="4">
        <f>VLOOKUP($A535,[1]彩未分析60315!$A:$M,9,0)</f>
        <v>41</v>
      </c>
      <c r="D535" s="4">
        <f>VLOOKUP($A535,[1]彩未分析60315!$A:$M,10,0)</f>
        <v>40</v>
      </c>
      <c r="E535" s="4">
        <f>VLOOKUP($A535,[1]彩未分析60315!$A:$M,11,0)</f>
        <v>38</v>
      </c>
      <c r="F535" s="4">
        <f>VLOOKUP($A535,[1]彩未分析60315!$A:$M,12,0)</f>
        <v>37</v>
      </c>
      <c r="G535" s="4">
        <f>VLOOKUP($A535,[1]彩未分析60315!$A:$M,13,0)</f>
        <v>35</v>
      </c>
      <c r="H535" s="3" t="s">
        <v>10</v>
      </c>
      <c r="I535" s="3" t="s">
        <v>1049</v>
      </c>
    </row>
    <row r="536" customHeight="1" spans="1:9">
      <c r="A536" s="11" t="s">
        <v>1050</v>
      </c>
      <c r="B536" s="4">
        <f>VLOOKUP($A536,[1]彩未分析60315!$A:$M,8,0)</f>
        <v>29</v>
      </c>
      <c r="C536" s="4">
        <f>VLOOKUP($A536,[1]彩未分析60315!$A:$M,9,0)</f>
        <v>28</v>
      </c>
      <c r="D536" s="4">
        <f>VLOOKUP($A536,[1]彩未分析60315!$A:$M,10,0)</f>
        <v>27</v>
      </c>
      <c r="E536" s="4">
        <f>VLOOKUP($A536,[1]彩未分析60315!$A:$M,11,0)</f>
        <v>26</v>
      </c>
      <c r="F536" s="4">
        <f>VLOOKUP($A536,[1]彩未分析60315!$A:$M,12,0)</f>
        <v>25</v>
      </c>
      <c r="G536" s="4">
        <f>VLOOKUP($A536,[1]彩未分析60315!$A:$M,13,0)</f>
        <v>24</v>
      </c>
      <c r="H536" s="3" t="s">
        <v>10</v>
      </c>
      <c r="I536" s="3" t="s">
        <v>1051</v>
      </c>
    </row>
    <row r="537" customHeight="1" spans="1:9">
      <c r="A537" s="11" t="s">
        <v>1052</v>
      </c>
      <c r="B537" s="4">
        <f>VLOOKUP($A537,[1]彩未分析60315!$A:$M,8,0)</f>
        <v>45</v>
      </c>
      <c r="C537" s="4">
        <f>VLOOKUP($A537,[1]彩未分析60315!$A:$M,9,0)</f>
        <v>43</v>
      </c>
      <c r="D537" s="4">
        <f>VLOOKUP($A537,[1]彩未分析60315!$A:$M,10,0)</f>
        <v>41</v>
      </c>
      <c r="E537" s="4">
        <f>VLOOKUP($A537,[1]彩未分析60315!$A:$M,11,0)</f>
        <v>40</v>
      </c>
      <c r="F537" s="4">
        <f>VLOOKUP($A537,[1]彩未分析60315!$A:$M,12,0)</f>
        <v>38</v>
      </c>
      <c r="G537" s="4">
        <f>VLOOKUP($A537,[1]彩未分析60315!$A:$M,13,0)</f>
        <v>36</v>
      </c>
      <c r="H537" s="3" t="s">
        <v>10</v>
      </c>
      <c r="I537" s="3" t="s">
        <v>1053</v>
      </c>
    </row>
    <row r="538" customHeight="1" spans="1:9">
      <c r="A538" s="11" t="s">
        <v>1054</v>
      </c>
      <c r="B538" s="4">
        <f>VLOOKUP($A538,[1]彩未分析60315!$A:$M,8,0)</f>
        <v>32</v>
      </c>
      <c r="C538" s="4">
        <f>VLOOKUP($A538,[1]彩未分析60315!$A:$M,9,0)</f>
        <v>31</v>
      </c>
      <c r="D538" s="4">
        <f>VLOOKUP($A538,[1]彩未分析60315!$A:$M,10,0)</f>
        <v>30</v>
      </c>
      <c r="E538" s="4">
        <f>VLOOKUP($A538,[1]彩未分析60315!$A:$M,11,0)</f>
        <v>29</v>
      </c>
      <c r="F538" s="4">
        <f>VLOOKUP($A538,[1]彩未分析60315!$A:$M,12,0)</f>
        <v>28</v>
      </c>
      <c r="G538" s="4">
        <f>VLOOKUP($A538,[1]彩未分析60315!$A:$M,13,0)</f>
        <v>26</v>
      </c>
      <c r="H538" s="3" t="s">
        <v>10</v>
      </c>
      <c r="I538" s="3" t="s">
        <v>1055</v>
      </c>
    </row>
    <row r="539" customHeight="1" spans="1:9">
      <c r="A539" s="11" t="s">
        <v>1056</v>
      </c>
      <c r="B539" s="4">
        <f>VLOOKUP($A539,[1]彩未分析60315!$A:$M,8,0)</f>
        <v>42</v>
      </c>
      <c r="C539" s="4">
        <f>VLOOKUP($A539,[1]彩未分析60315!$A:$M,9,0)</f>
        <v>41</v>
      </c>
      <c r="D539" s="4">
        <f>VLOOKUP($A539,[1]彩未分析60315!$A:$M,10,0)</f>
        <v>39</v>
      </c>
      <c r="E539" s="4">
        <f>VLOOKUP($A539,[1]彩未分析60315!$A:$M,11,0)</f>
        <v>38</v>
      </c>
      <c r="F539" s="4">
        <f>VLOOKUP($A539,[1]彩未分析60315!$A:$M,12,0)</f>
        <v>36</v>
      </c>
      <c r="G539" s="4">
        <f>VLOOKUP($A539,[1]彩未分析60315!$A:$M,13,0)</f>
        <v>34</v>
      </c>
      <c r="H539" s="3" t="s">
        <v>10</v>
      </c>
      <c r="I539" s="3" t="s">
        <v>1057</v>
      </c>
    </row>
    <row r="540" customHeight="1" spans="1:9">
      <c r="A540" s="11" t="s">
        <v>1058</v>
      </c>
      <c r="B540" s="4">
        <f>VLOOKUP($A540,[1]彩未分析60315!$A:$M,8,0)</f>
        <v>60</v>
      </c>
      <c r="C540" s="4">
        <f>VLOOKUP($A540,[1]彩未分析60315!$A:$M,9,0)</f>
        <v>59</v>
      </c>
      <c r="D540" s="4">
        <f>VLOOKUP($A540,[1]彩未分析60315!$A:$M,10,0)</f>
        <v>58</v>
      </c>
      <c r="E540" s="4">
        <f>VLOOKUP($A540,[1]彩未分析60315!$A:$M,11,0)</f>
        <v>57</v>
      </c>
      <c r="F540" s="4">
        <f>VLOOKUP($A540,[1]彩未分析60315!$A:$M,12,0)</f>
        <v>57</v>
      </c>
      <c r="G540" s="4">
        <f>VLOOKUP($A540,[1]彩未分析60315!$A:$M,13,0)</f>
        <v>56</v>
      </c>
      <c r="H540" s="3" t="s">
        <v>39</v>
      </c>
      <c r="I540" s="3" t="s">
        <v>1059</v>
      </c>
    </row>
    <row r="541" customHeight="1" spans="1:9">
      <c r="A541" s="11" t="s">
        <v>1060</v>
      </c>
      <c r="B541" s="4">
        <f>VLOOKUP($A541,[1]彩未分析60315!$A:$M,8,0)</f>
        <v>46</v>
      </c>
      <c r="C541" s="4">
        <f>VLOOKUP($A541,[1]彩未分析60315!$A:$M,9,0)</f>
        <v>45</v>
      </c>
      <c r="D541" s="4">
        <f>VLOOKUP($A541,[1]彩未分析60315!$A:$M,10,0)</f>
        <v>45</v>
      </c>
      <c r="E541" s="4">
        <f>VLOOKUP($A541,[1]彩未分析60315!$A:$M,11,0)</f>
        <v>44</v>
      </c>
      <c r="F541" s="4">
        <f>VLOOKUP($A541,[1]彩未分析60315!$A:$M,12,0)</f>
        <v>44</v>
      </c>
      <c r="G541" s="4">
        <f>VLOOKUP($A541,[1]彩未分析60315!$A:$M,13,0)</f>
        <v>43</v>
      </c>
      <c r="H541" s="3" t="s">
        <v>39</v>
      </c>
      <c r="I541" s="3" t="s">
        <v>1061</v>
      </c>
    </row>
    <row r="542" customHeight="1" spans="1:9">
      <c r="A542" s="11" t="s">
        <v>1062</v>
      </c>
      <c r="B542" s="4">
        <f>VLOOKUP($A542,[1]彩未分析60315!$A:$M,8,0)</f>
        <v>51</v>
      </c>
      <c r="C542" s="4">
        <f>VLOOKUP($A542,[1]彩未分析60315!$A:$M,9,0)</f>
        <v>50</v>
      </c>
      <c r="D542" s="4">
        <f>VLOOKUP($A542,[1]彩未分析60315!$A:$M,10,0)</f>
        <v>49</v>
      </c>
      <c r="E542" s="4">
        <f>VLOOKUP($A542,[1]彩未分析60315!$A:$M,11,0)</f>
        <v>48</v>
      </c>
      <c r="F542" s="4">
        <f>VLOOKUP($A542,[1]彩未分析60315!$A:$M,12,0)</f>
        <v>48</v>
      </c>
      <c r="G542" s="4">
        <f>VLOOKUP($A542,[1]彩未分析60315!$A:$M,13,0)</f>
        <v>47</v>
      </c>
      <c r="H542" s="3" t="s">
        <v>39</v>
      </c>
      <c r="I542" s="3" t="s">
        <v>1063</v>
      </c>
    </row>
    <row r="543" customHeight="1" spans="1:9">
      <c r="A543" s="11" t="s">
        <v>1064</v>
      </c>
      <c r="B543" s="4">
        <f>VLOOKUP($A543,[1]彩未分析60315!$A:$M,8,0)</f>
        <v>55</v>
      </c>
      <c r="C543" s="4">
        <f>VLOOKUP($A543,[1]彩未分析60315!$A:$M,9,0)</f>
        <v>53</v>
      </c>
      <c r="D543" s="4">
        <f>VLOOKUP($A543,[1]彩未分析60315!$A:$M,10,0)</f>
        <v>51</v>
      </c>
      <c r="E543" s="4">
        <f>VLOOKUP($A543,[1]彩未分析60315!$A:$M,11,0)</f>
        <v>49</v>
      </c>
      <c r="F543" s="4">
        <f>VLOOKUP($A543,[1]彩未分析60315!$A:$M,12,0)</f>
        <v>47</v>
      </c>
      <c r="G543" s="4">
        <f>VLOOKUP($A543,[1]彩未分析60315!$A:$M,13,0)</f>
        <v>45</v>
      </c>
      <c r="H543" s="3" t="s">
        <v>10</v>
      </c>
      <c r="I543" s="3" t="s">
        <v>1065</v>
      </c>
    </row>
    <row r="544" customHeight="1" spans="1:9">
      <c r="A544" s="11" t="s">
        <v>1066</v>
      </c>
      <c r="B544" s="4">
        <f>VLOOKUP($A544,[1]彩未分析60315!$A:$M,8,0)</f>
        <v>38</v>
      </c>
      <c r="C544" s="4">
        <f>VLOOKUP($A544,[1]彩未分析60315!$A:$M,9,0)</f>
        <v>37</v>
      </c>
      <c r="D544" s="4">
        <f>VLOOKUP($A544,[1]彩未分析60315!$A:$M,10,0)</f>
        <v>37</v>
      </c>
      <c r="E544" s="4">
        <f>VLOOKUP($A544,[1]彩未分析60315!$A:$M,11,0)</f>
        <v>36</v>
      </c>
      <c r="F544" s="4">
        <f>VLOOKUP($A544,[1]彩未分析60315!$A:$M,12,0)</f>
        <v>36</v>
      </c>
      <c r="G544" s="4">
        <f>VLOOKUP($A544,[1]彩未分析60315!$A:$M,13,0)</f>
        <v>35</v>
      </c>
      <c r="H544" s="3" t="s">
        <v>39</v>
      </c>
      <c r="I544" s="3" t="s">
        <v>1067</v>
      </c>
    </row>
    <row r="545" customHeight="1" spans="1:9">
      <c r="A545" s="11" t="s">
        <v>1068</v>
      </c>
      <c r="B545" s="4">
        <f>VLOOKUP($A545,[1]彩未分析60315!$A:$M,8,0)</f>
        <v>47</v>
      </c>
      <c r="C545" s="4">
        <f>VLOOKUP($A545,[1]彩未分析60315!$A:$M,9,0)</f>
        <v>46</v>
      </c>
      <c r="D545" s="4">
        <f>VLOOKUP($A545,[1]彩未分析60315!$A:$M,10,0)</f>
        <v>45</v>
      </c>
      <c r="E545" s="4">
        <f>VLOOKUP($A545,[1]彩未分析60315!$A:$M,11,0)</f>
        <v>44</v>
      </c>
      <c r="F545" s="4">
        <f>VLOOKUP($A545,[1]彩未分析60315!$A:$M,12,0)</f>
        <v>44</v>
      </c>
      <c r="G545" s="4">
        <f>VLOOKUP($A545,[1]彩未分析60315!$A:$M,13,0)</f>
        <v>43</v>
      </c>
      <c r="H545" s="3" t="s">
        <v>39</v>
      </c>
      <c r="I545" s="3" t="s">
        <v>1069</v>
      </c>
    </row>
    <row r="546" customHeight="1" spans="1:9">
      <c r="A546" s="11" t="s">
        <v>1070</v>
      </c>
      <c r="B546" s="4">
        <f>VLOOKUP($A546,[1]彩未分析60315!$A:$M,8,0)</f>
        <v>48</v>
      </c>
      <c r="C546" s="4">
        <f>VLOOKUP($A546,[1]彩未分析60315!$A:$M,9,0)</f>
        <v>47</v>
      </c>
      <c r="D546" s="4">
        <f>VLOOKUP($A546,[1]彩未分析60315!$A:$M,10,0)</f>
        <v>46</v>
      </c>
      <c r="E546" s="4">
        <f>VLOOKUP($A546,[1]彩未分析60315!$A:$M,11,0)</f>
        <v>46</v>
      </c>
      <c r="F546" s="4">
        <f>VLOOKUP($A546,[1]彩未分析60315!$A:$M,12,0)</f>
        <v>45</v>
      </c>
      <c r="G546" s="4">
        <f>VLOOKUP($A546,[1]彩未分析60315!$A:$M,13,0)</f>
        <v>44</v>
      </c>
      <c r="H546" s="3" t="s">
        <v>39</v>
      </c>
      <c r="I546" s="3" t="s">
        <v>1071</v>
      </c>
    </row>
    <row r="547" customHeight="1" spans="1:9">
      <c r="A547" s="4" t="s">
        <v>1072</v>
      </c>
      <c r="B547" s="4">
        <f>VLOOKUP($A547,[1]彩未分析60315!$A:$M,8,0)</f>
        <v>64</v>
      </c>
      <c r="C547" s="4">
        <f>VLOOKUP($A547,[1]彩未分析60315!$A:$M,9,0)</f>
        <v>63</v>
      </c>
      <c r="D547" s="4">
        <f>VLOOKUP($A547,[1]彩未分析60315!$A:$M,10,0)</f>
        <v>62</v>
      </c>
      <c r="E547" s="4">
        <f>VLOOKUP($A547,[1]彩未分析60315!$A:$M,11,0)</f>
        <v>61</v>
      </c>
      <c r="F547" s="4">
        <f>VLOOKUP($A547,[1]彩未分析60315!$A:$M,12,0)</f>
        <v>60</v>
      </c>
      <c r="G547" s="4">
        <f>VLOOKUP($A547,[1]彩未分析60315!$A:$M,13,0)</f>
        <v>59</v>
      </c>
      <c r="H547" s="3" t="s">
        <v>39</v>
      </c>
      <c r="I547" s="3" t="s">
        <v>1073</v>
      </c>
    </row>
    <row r="548" customHeight="1" spans="1:9">
      <c r="A548" s="4" t="s">
        <v>1074</v>
      </c>
      <c r="B548" s="4">
        <f>VLOOKUP($A548,[1]彩未分析60315!$A:$M,8,0)</f>
        <v>60</v>
      </c>
      <c r="C548" s="4">
        <f>VLOOKUP($A548,[1]彩未分析60315!$A:$M,9,0)</f>
        <v>59</v>
      </c>
      <c r="D548" s="4">
        <f>VLOOKUP($A548,[1]彩未分析60315!$A:$M,10,0)</f>
        <v>58</v>
      </c>
      <c r="E548" s="4">
        <f>VLOOKUP($A548,[1]彩未分析60315!$A:$M,11,0)</f>
        <v>57</v>
      </c>
      <c r="F548" s="4">
        <f>VLOOKUP($A548,[1]彩未分析60315!$A:$M,12,0)</f>
        <v>57</v>
      </c>
      <c r="G548" s="4">
        <f>VLOOKUP($A548,[1]彩未分析60315!$A:$M,13,0)</f>
        <v>56</v>
      </c>
      <c r="H548" s="3" t="s">
        <v>39</v>
      </c>
      <c r="I548" s="3" t="s">
        <v>1075</v>
      </c>
    </row>
    <row r="549" customHeight="1" spans="1:9">
      <c r="A549" s="12" t="s">
        <v>1076</v>
      </c>
      <c r="B549" s="4">
        <f>VLOOKUP($A549,[1]彩未分析60315!$A:$M,8,0)</f>
        <v>45</v>
      </c>
      <c r="C549" s="4">
        <f>VLOOKUP($A549,[1]彩未分析60315!$A:$M,9,0)</f>
        <v>44</v>
      </c>
      <c r="D549" s="4">
        <f>VLOOKUP($A549,[1]彩未分析60315!$A:$M,10,0)</f>
        <v>42</v>
      </c>
      <c r="E549" s="4">
        <f>VLOOKUP($A549,[1]彩未分析60315!$A:$M,11,0)</f>
        <v>40</v>
      </c>
      <c r="F549" s="4">
        <f>VLOOKUP($A549,[1]彩未分析60315!$A:$M,12,0)</f>
        <v>39</v>
      </c>
      <c r="G549" s="4">
        <f>VLOOKUP($A549,[1]彩未分析60315!$A:$M,13,0)</f>
        <v>37</v>
      </c>
      <c r="H549" s="3" t="s">
        <v>10</v>
      </c>
      <c r="I549" s="3">
        <v>12713668</v>
      </c>
    </row>
    <row r="550" customHeight="1" spans="1:9">
      <c r="A550" s="13" t="s">
        <v>1077</v>
      </c>
      <c r="B550" s="4">
        <f>VLOOKUP($A550,[1]彩未分析60315!$A:$M,8,0)</f>
        <v>40</v>
      </c>
      <c r="C550" s="4">
        <f>VLOOKUP($A550,[1]彩未分析60315!$A:$M,9,0)</f>
        <v>39</v>
      </c>
      <c r="D550" s="4">
        <f>VLOOKUP($A550,[1]彩未分析60315!$A:$M,10,0)</f>
        <v>38</v>
      </c>
      <c r="E550" s="4">
        <f>VLOOKUP($A550,[1]彩未分析60315!$A:$M,11,0)</f>
        <v>38</v>
      </c>
      <c r="F550" s="4">
        <f>VLOOKUP($A550,[1]彩未分析60315!$A:$M,12,0)</f>
        <v>37</v>
      </c>
      <c r="G550" s="4">
        <f>VLOOKUP($A550,[1]彩未分析60315!$A:$M,13,0)</f>
        <v>37</v>
      </c>
      <c r="H550" s="3" t="s">
        <v>39</v>
      </c>
      <c r="I550" s="3" t="s">
        <v>1078</v>
      </c>
    </row>
    <row r="551" customHeight="1" spans="1:9">
      <c r="A551" s="13" t="s">
        <v>1079</v>
      </c>
      <c r="B551" s="4">
        <f>VLOOKUP($A551,[1]彩未分析60315!$A:$M,8,0)</f>
        <v>40</v>
      </c>
      <c r="C551" s="4">
        <f>VLOOKUP($A551,[1]彩未分析60315!$A:$M,9,0)</f>
        <v>40</v>
      </c>
      <c r="D551" s="4">
        <f>VLOOKUP($A551,[1]彩未分析60315!$A:$M,10,0)</f>
        <v>39</v>
      </c>
      <c r="E551" s="4">
        <f>VLOOKUP($A551,[1]彩未分析60315!$A:$M,11,0)</f>
        <v>38</v>
      </c>
      <c r="F551" s="4">
        <f>VLOOKUP($A551,[1]彩未分析60315!$A:$M,12,0)</f>
        <v>38</v>
      </c>
      <c r="G551" s="4">
        <f>VLOOKUP($A551,[1]彩未分析60315!$A:$M,13,0)</f>
        <v>37</v>
      </c>
      <c r="H551" s="3" t="s">
        <v>39</v>
      </c>
      <c r="I551" s="3" t="s">
        <v>1080</v>
      </c>
    </row>
    <row r="552" customHeight="1" spans="1:9">
      <c r="A552" s="13" t="s">
        <v>1081</v>
      </c>
      <c r="B552" s="4">
        <f>VLOOKUP($A552,[1]彩未分析60315!$A:$M,8,0)</f>
        <v>59</v>
      </c>
      <c r="C552" s="4">
        <f>VLOOKUP($A552,[1]彩未分析60315!$A:$M,9,0)</f>
        <v>58</v>
      </c>
      <c r="D552" s="4">
        <f>VLOOKUP($A552,[1]彩未分析60315!$A:$M,10,0)</f>
        <v>57</v>
      </c>
      <c r="E552" s="4">
        <f>VLOOKUP($A552,[1]彩未分析60315!$A:$M,11,0)</f>
        <v>56</v>
      </c>
      <c r="F552" s="4">
        <f>VLOOKUP($A552,[1]彩未分析60315!$A:$M,12,0)</f>
        <v>56</v>
      </c>
      <c r="G552" s="4">
        <f>VLOOKUP($A552,[1]彩未分析60315!$A:$M,13,0)</f>
        <v>55</v>
      </c>
      <c r="H552" s="3" t="s">
        <v>39</v>
      </c>
      <c r="I552" s="3" t="s">
        <v>1082</v>
      </c>
    </row>
    <row r="553" customHeight="1" spans="1:9">
      <c r="A553" s="14" t="s">
        <v>1083</v>
      </c>
      <c r="B553" s="4">
        <f>VLOOKUP($A553,[1]彩未分析60315!$A:$M,8,0)</f>
        <v>80</v>
      </c>
      <c r="C553" s="4">
        <f>VLOOKUP($A553,[1]彩未分析60315!$A:$M,9,0)</f>
        <v>79</v>
      </c>
      <c r="D553" s="4">
        <f>VLOOKUP($A553,[1]彩未分析60315!$A:$M,10,0)</f>
        <v>77</v>
      </c>
      <c r="E553" s="4">
        <f>VLOOKUP($A553,[1]彩未分析60315!$A:$M,11,0)</f>
        <v>76</v>
      </c>
      <c r="F553" s="4">
        <f>VLOOKUP($A553,[1]彩未分析60315!$A:$M,12,0)</f>
        <v>75</v>
      </c>
      <c r="G553" s="4">
        <f>VLOOKUP($A553,[1]彩未分析60315!$A:$M,13,0)</f>
        <v>74</v>
      </c>
      <c r="H553" s="3" t="s">
        <v>39</v>
      </c>
      <c r="I553" s="3" t="s">
        <v>1084</v>
      </c>
    </row>
    <row r="554" customHeight="1" spans="1:9">
      <c r="A554" s="13" t="s">
        <v>1085</v>
      </c>
      <c r="B554" s="4">
        <f>VLOOKUP($A554,[1]彩未分析60315!$A:$M,8,0)</f>
        <v>47</v>
      </c>
      <c r="C554" s="4">
        <f>VLOOKUP($A554,[1]彩未分析60315!$A:$M,9,0)</f>
        <v>46</v>
      </c>
      <c r="D554" s="4">
        <f>VLOOKUP($A554,[1]彩未分析60315!$A:$M,10,0)</f>
        <v>45</v>
      </c>
      <c r="E554" s="4">
        <f>VLOOKUP($A554,[1]彩未分析60315!$A:$M,11,0)</f>
        <v>44</v>
      </c>
      <c r="F554" s="4">
        <f>VLOOKUP($A554,[1]彩未分析60315!$A:$M,12,0)</f>
        <v>44</v>
      </c>
      <c r="G554" s="4">
        <f>VLOOKUP($A554,[1]彩未分析60315!$A:$M,13,0)</f>
        <v>43</v>
      </c>
      <c r="H554" s="3" t="s">
        <v>39</v>
      </c>
      <c r="I554" s="3" t="s">
        <v>1086</v>
      </c>
    </row>
    <row r="555" customHeight="1" spans="1:9">
      <c r="A555" s="15" t="s">
        <v>1087</v>
      </c>
      <c r="B555" s="4">
        <f>VLOOKUP($A555,[1]彩未分析60315!$A:$M,8,0)</f>
        <v>45</v>
      </c>
      <c r="C555" s="4">
        <f>VLOOKUP($A555,[1]彩未分析60315!$A:$M,9,0)</f>
        <v>43</v>
      </c>
      <c r="D555" s="4">
        <f>VLOOKUP($A555,[1]彩未分析60315!$A:$M,10,0)</f>
        <v>42</v>
      </c>
      <c r="E555" s="4">
        <f>VLOOKUP($A555,[1]彩未分析60315!$A:$M,11,0)</f>
        <v>40</v>
      </c>
      <c r="F555" s="4">
        <f>VLOOKUP($A555,[1]彩未分析60315!$A:$M,12,0)</f>
        <v>38</v>
      </c>
      <c r="G555" s="4">
        <f>VLOOKUP($A555,[1]彩未分析60315!$A:$M,13,0)</f>
        <v>37</v>
      </c>
      <c r="H555" s="3" t="s">
        <v>10</v>
      </c>
      <c r="I555" s="3" t="s">
        <v>1088</v>
      </c>
    </row>
    <row r="556" customHeight="1" spans="1:9">
      <c r="A556" s="16" t="s">
        <v>1089</v>
      </c>
      <c r="B556" s="4">
        <f>VLOOKUP($A556,[1]彩未分析60315!$A:$M,8,0)</f>
        <v>48</v>
      </c>
      <c r="C556" s="4">
        <f>VLOOKUP($A556,[1]彩未分析60315!$A:$M,9,0)</f>
        <v>46</v>
      </c>
      <c r="D556" s="4">
        <f>VLOOKUP($A556,[1]彩未分析60315!$A:$M,10,0)</f>
        <v>44</v>
      </c>
      <c r="E556" s="4">
        <f>VLOOKUP($A556,[1]彩未分析60315!$A:$M,11,0)</f>
        <v>42</v>
      </c>
      <c r="F556" s="4">
        <f>VLOOKUP($A556,[1]彩未分析60315!$A:$M,12,0)</f>
        <v>41</v>
      </c>
      <c r="G556" s="4">
        <f>VLOOKUP($A556,[1]彩未分析60315!$A:$M,13,0)</f>
        <v>39</v>
      </c>
      <c r="H556" s="3" t="s">
        <v>10</v>
      </c>
      <c r="I556" s="3" t="s">
        <v>1090</v>
      </c>
    </row>
    <row r="557" customHeight="1" spans="1:9">
      <c r="A557" s="16" t="s">
        <v>1091</v>
      </c>
      <c r="B557" s="4">
        <f>VLOOKUP($A557,[1]彩未分析60315!$A:$M,8,0)</f>
        <v>47</v>
      </c>
      <c r="C557" s="4">
        <f>VLOOKUP($A557,[1]彩未分析60315!$A:$M,9,0)</f>
        <v>45</v>
      </c>
      <c r="D557" s="4">
        <f>VLOOKUP($A557,[1]彩未分析60315!$A:$M,10,0)</f>
        <v>43</v>
      </c>
      <c r="E557" s="4">
        <f>VLOOKUP($A557,[1]彩未分析60315!$A:$M,11,0)</f>
        <v>42</v>
      </c>
      <c r="F557" s="4">
        <f>VLOOKUP($A557,[1]彩未分析60315!$A:$M,12,0)</f>
        <v>40</v>
      </c>
      <c r="G557" s="4">
        <f>VLOOKUP($A557,[1]彩未分析60315!$A:$M,13,0)</f>
        <v>38</v>
      </c>
      <c r="H557" s="3" t="s">
        <v>10</v>
      </c>
      <c r="I557" s="3" t="s">
        <v>1088</v>
      </c>
    </row>
    <row r="558" customHeight="1" spans="1:9">
      <c r="A558" s="13" t="s">
        <v>1092</v>
      </c>
      <c r="B558" s="4">
        <f>VLOOKUP($A558,[1]彩未分析60315!$A:$M,8,0)</f>
        <v>57</v>
      </c>
      <c r="C558" s="4">
        <f>VLOOKUP($A558,[1]彩未分析60315!$A:$M,9,0)</f>
        <v>56</v>
      </c>
      <c r="D558" s="4">
        <f>VLOOKUP($A558,[1]彩未分析60315!$A:$M,10,0)</f>
        <v>55</v>
      </c>
      <c r="E558" s="4">
        <f>VLOOKUP($A558,[1]彩未分析60315!$A:$M,11,0)</f>
        <v>54</v>
      </c>
      <c r="F558" s="4">
        <f>VLOOKUP($A558,[1]彩未分析60315!$A:$M,12,0)</f>
        <v>54</v>
      </c>
      <c r="G558" s="4">
        <f>VLOOKUP($A558,[1]彩未分析60315!$A:$M,13,0)</f>
        <v>53</v>
      </c>
      <c r="H558" s="3" t="s">
        <v>39</v>
      </c>
      <c r="I558" s="3" t="s">
        <v>1093</v>
      </c>
    </row>
    <row r="559" customHeight="1" spans="1:9">
      <c r="A559" s="13" t="s">
        <v>1094</v>
      </c>
      <c r="B559" s="4">
        <f>VLOOKUP($A559,[1]彩未分析60315!$A:$M,8,0)</f>
        <v>47</v>
      </c>
      <c r="C559" s="4">
        <f>VLOOKUP($A559,[1]彩未分析60315!$A:$M,9,0)</f>
        <v>45</v>
      </c>
      <c r="D559" s="4">
        <f>VLOOKUP($A559,[1]彩未分析60315!$A:$M,10,0)</f>
        <v>43</v>
      </c>
      <c r="E559" s="4">
        <f>VLOOKUP($A559,[1]彩未分析60315!$A:$M,11,0)</f>
        <v>42</v>
      </c>
      <c r="F559" s="4">
        <f>VLOOKUP($A559,[1]彩未分析60315!$A:$M,12,0)</f>
        <v>40</v>
      </c>
      <c r="G559" s="4">
        <f>VLOOKUP($A559,[1]彩未分析60315!$A:$M,13,0)</f>
        <v>38</v>
      </c>
      <c r="H559" s="3" t="s">
        <v>10</v>
      </c>
      <c r="I559" s="3" t="s">
        <v>1095</v>
      </c>
    </row>
    <row r="560" customHeight="1" spans="1:9">
      <c r="A560" s="5" t="s">
        <v>1096</v>
      </c>
      <c r="B560" s="4">
        <f>VLOOKUP($A560,[1]彩未分析60315!$A:$M,8,0)</f>
        <v>51</v>
      </c>
      <c r="C560" s="4">
        <f>VLOOKUP($A560,[1]彩未分析60315!$A:$M,9,0)</f>
        <v>49</v>
      </c>
      <c r="D560" s="4">
        <f>VLOOKUP($A560,[1]彩未分析60315!$A:$M,10,0)</f>
        <v>47</v>
      </c>
      <c r="E560" s="4">
        <f>VLOOKUP($A560,[1]彩未分析60315!$A:$M,11,0)</f>
        <v>45</v>
      </c>
      <c r="F560" s="4">
        <f>VLOOKUP($A560,[1]彩未分析60315!$A:$M,12,0)</f>
        <v>43</v>
      </c>
      <c r="G560" s="4">
        <f>VLOOKUP($A560,[1]彩未分析60315!$A:$M,13,0)</f>
        <v>41</v>
      </c>
      <c r="H560" s="3" t="s">
        <v>10</v>
      </c>
      <c r="I560" s="3" t="s">
        <v>1097</v>
      </c>
    </row>
    <row r="561" customHeight="1" spans="1:9">
      <c r="A561" s="13" t="s">
        <v>1098</v>
      </c>
      <c r="B561" s="4">
        <f>VLOOKUP($A561,[1]彩未分析60315!$A:$M,8,0)</f>
        <v>39</v>
      </c>
      <c r="C561" s="4">
        <f>VLOOKUP($A561,[1]彩未分析60315!$A:$M,9,0)</f>
        <v>38</v>
      </c>
      <c r="D561" s="4">
        <f>VLOOKUP($A561,[1]彩未分析60315!$A:$M,10,0)</f>
        <v>36</v>
      </c>
      <c r="E561" s="4">
        <f>VLOOKUP($A561,[1]彩未分析60315!$A:$M,11,0)</f>
        <v>35</v>
      </c>
      <c r="F561" s="4">
        <f>VLOOKUP($A561,[1]彩未分析60315!$A:$M,12,0)</f>
        <v>33</v>
      </c>
      <c r="G561" s="4">
        <f>VLOOKUP($A561,[1]彩未分析60315!$A:$M,13,0)</f>
        <v>32</v>
      </c>
      <c r="H561" s="3" t="s">
        <v>10</v>
      </c>
      <c r="I561" s="3" t="s">
        <v>1099</v>
      </c>
    </row>
    <row r="562" customHeight="1" spans="1:9">
      <c r="A562" s="14" t="s">
        <v>1100</v>
      </c>
      <c r="B562" s="4">
        <f>VLOOKUP($A562,[1]彩未分析60315!$A:$M,8,0)</f>
        <v>34</v>
      </c>
      <c r="C562" s="4">
        <f>VLOOKUP($A562,[1]彩未分析60315!$A:$M,9,0)</f>
        <v>33</v>
      </c>
      <c r="D562" s="4">
        <f>VLOOKUP($A562,[1]彩未分析60315!$A:$M,10,0)</f>
        <v>32</v>
      </c>
      <c r="E562" s="4">
        <f>VLOOKUP($A562,[1]彩未分析60315!$A:$M,11,0)</f>
        <v>31</v>
      </c>
      <c r="F562" s="4">
        <f>VLOOKUP($A562,[1]彩未分析60315!$A:$M,12,0)</f>
        <v>29</v>
      </c>
      <c r="G562" s="4">
        <f>VLOOKUP($A562,[1]彩未分析60315!$A:$M,13,0)</f>
        <v>28</v>
      </c>
      <c r="H562" s="3" t="s">
        <v>10</v>
      </c>
      <c r="I562" s="3" t="s">
        <v>1101</v>
      </c>
    </row>
    <row r="563" customHeight="1" spans="1:9">
      <c r="A563" s="17" t="s">
        <v>1102</v>
      </c>
      <c r="B563" s="4">
        <f>VLOOKUP($A563,[1]彩未分析60315!$A:$M,8,0)</f>
        <v>40</v>
      </c>
      <c r="C563" s="4">
        <f>VLOOKUP($A563,[1]彩未分析60315!$A:$M,9,0)</f>
        <v>38</v>
      </c>
      <c r="D563" s="4">
        <f>VLOOKUP($A563,[1]彩未分析60315!$A:$M,10,0)</f>
        <v>37</v>
      </c>
      <c r="E563" s="4">
        <f>VLOOKUP($A563,[1]彩未分析60315!$A:$M,11,0)</f>
        <v>35</v>
      </c>
      <c r="F563" s="4">
        <f>VLOOKUP($A563,[1]彩未分析60315!$A:$M,12,0)</f>
        <v>34</v>
      </c>
      <c r="G563" s="4">
        <f>VLOOKUP($A563,[1]彩未分析60315!$A:$M,13,0)</f>
        <v>33</v>
      </c>
      <c r="H563" s="3" t="s">
        <v>10</v>
      </c>
      <c r="I563" s="3" t="s">
        <v>1103</v>
      </c>
    </row>
    <row r="564" customHeight="1" spans="1:9">
      <c r="A564" s="14" t="s">
        <v>1104</v>
      </c>
      <c r="B564" s="4">
        <f>VLOOKUP($A564,[1]彩未分析60315!$A:$M,8,0)</f>
        <v>57</v>
      </c>
      <c r="C564" s="4">
        <f>VLOOKUP($A564,[1]彩未分析60315!$A:$M,9,0)</f>
        <v>56</v>
      </c>
      <c r="D564" s="4">
        <f>VLOOKUP($A564,[1]彩未分析60315!$A:$M,10,0)</f>
        <v>55</v>
      </c>
      <c r="E564" s="4">
        <f>VLOOKUP($A564,[1]彩未分析60315!$A:$M,11,0)</f>
        <v>54</v>
      </c>
      <c r="F564" s="4">
        <f>VLOOKUP($A564,[1]彩未分析60315!$A:$M,12,0)</f>
        <v>53</v>
      </c>
      <c r="G564" s="4">
        <f>VLOOKUP($A564,[1]彩未分析60315!$A:$M,13,0)</f>
        <v>52</v>
      </c>
      <c r="H564" s="3" t="s">
        <v>39</v>
      </c>
      <c r="I564" s="3" t="s">
        <v>1105</v>
      </c>
    </row>
    <row r="565" customHeight="1" spans="1:9">
      <c r="A565" s="14" t="s">
        <v>1106</v>
      </c>
      <c r="B565" s="4">
        <f>VLOOKUP($A565,[1]彩未分析60315!$A:$M,8,0)</f>
        <v>43</v>
      </c>
      <c r="C565" s="4">
        <f>VLOOKUP($A565,[1]彩未分析60315!$A:$M,9,0)</f>
        <v>42</v>
      </c>
      <c r="D565" s="4">
        <f>VLOOKUP($A565,[1]彩未分析60315!$A:$M,10,0)</f>
        <v>41</v>
      </c>
      <c r="E565" s="4">
        <f>VLOOKUP($A565,[1]彩未分析60315!$A:$M,11,0)</f>
        <v>41</v>
      </c>
      <c r="F565" s="4">
        <f>VLOOKUP($A565,[1]彩未分析60315!$A:$M,12,0)</f>
        <v>40</v>
      </c>
      <c r="G565" s="4">
        <f>VLOOKUP($A565,[1]彩未分析60315!$A:$M,13,0)</f>
        <v>40</v>
      </c>
      <c r="H565" s="3" t="s">
        <v>39</v>
      </c>
      <c r="I565" s="3" t="s">
        <v>1107</v>
      </c>
    </row>
    <row r="566" customHeight="1" spans="1:9">
      <c r="A566" s="14" t="s">
        <v>1108</v>
      </c>
      <c r="B566" s="4">
        <f>VLOOKUP($A566,[1]彩未分析60315!$A:$M,8,0)</f>
        <v>46</v>
      </c>
      <c r="C566" s="4">
        <f>VLOOKUP($A566,[1]彩未分析60315!$A:$M,9,0)</f>
        <v>46</v>
      </c>
      <c r="D566" s="4">
        <f>VLOOKUP($A566,[1]彩未分析60315!$A:$M,10,0)</f>
        <v>45</v>
      </c>
      <c r="E566" s="4">
        <f>VLOOKUP($A566,[1]彩未分析60315!$A:$M,11,0)</f>
        <v>44</v>
      </c>
      <c r="F566" s="4">
        <f>VLOOKUP($A566,[1]彩未分析60315!$A:$M,12,0)</f>
        <v>44</v>
      </c>
      <c r="G566" s="4">
        <f>VLOOKUP($A566,[1]彩未分析60315!$A:$M,13,0)</f>
        <v>43</v>
      </c>
      <c r="H566" s="3" t="s">
        <v>39</v>
      </c>
      <c r="I566" s="3" t="s">
        <v>1109</v>
      </c>
    </row>
    <row r="567" customHeight="1" spans="1:9">
      <c r="A567" s="14" t="s">
        <v>1110</v>
      </c>
      <c r="B567" s="4">
        <f>VLOOKUP($A567,[1]彩未分析60315!$A:$M,8,0)</f>
        <v>56</v>
      </c>
      <c r="C567" s="4">
        <f>VLOOKUP($A567,[1]彩未分析60315!$A:$M,9,0)</f>
        <v>56</v>
      </c>
      <c r="D567" s="4">
        <f>VLOOKUP($A567,[1]彩未分析60315!$A:$M,10,0)</f>
        <v>55</v>
      </c>
      <c r="E567" s="4">
        <f>VLOOKUP($A567,[1]彩未分析60315!$A:$M,11,0)</f>
        <v>54</v>
      </c>
      <c r="F567" s="4">
        <f>VLOOKUP($A567,[1]彩未分析60315!$A:$M,12,0)</f>
        <v>53</v>
      </c>
      <c r="G567" s="4">
        <f>VLOOKUP($A567,[1]彩未分析60315!$A:$M,13,0)</f>
        <v>52</v>
      </c>
      <c r="H567" s="3" t="s">
        <v>39</v>
      </c>
      <c r="I567" s="3" t="s">
        <v>1111</v>
      </c>
    </row>
    <row r="568" customHeight="1" spans="1:9">
      <c r="A568" s="14" t="s">
        <v>1112</v>
      </c>
      <c r="B568" s="4">
        <f>VLOOKUP($A568,[1]彩未分析60315!$A:$M,8,0)</f>
        <v>53</v>
      </c>
      <c r="C568" s="4">
        <f>VLOOKUP($A568,[1]彩未分析60315!$A:$M,9,0)</f>
        <v>52</v>
      </c>
      <c r="D568" s="4">
        <f>VLOOKUP($A568,[1]彩未分析60315!$A:$M,10,0)</f>
        <v>51</v>
      </c>
      <c r="E568" s="4">
        <f>VLOOKUP($A568,[1]彩未分析60315!$A:$M,11,0)</f>
        <v>50</v>
      </c>
      <c r="F568" s="4">
        <f>VLOOKUP($A568,[1]彩未分析60315!$A:$M,12,0)</f>
        <v>50</v>
      </c>
      <c r="G568" s="4">
        <f>VLOOKUP($A568,[1]彩未分析60315!$A:$M,13,0)</f>
        <v>49</v>
      </c>
      <c r="H568" s="3" t="s">
        <v>39</v>
      </c>
      <c r="I568" s="3" t="s">
        <v>1113</v>
      </c>
    </row>
    <row r="569" customHeight="1" spans="1:9">
      <c r="A569" s="17" t="s">
        <v>1114</v>
      </c>
      <c r="B569" s="4">
        <f>VLOOKUP($A569,[1]彩未分析60315!$A:$M,8,0)</f>
        <v>29</v>
      </c>
      <c r="C569" s="4">
        <f>VLOOKUP($A569,[1]彩未分析60315!$A:$M,9,0)</f>
        <v>28</v>
      </c>
      <c r="D569" s="4">
        <f>VLOOKUP($A569,[1]彩未分析60315!$A:$M,10,0)</f>
        <v>27</v>
      </c>
      <c r="E569" s="4">
        <f>VLOOKUP($A569,[1]彩未分析60315!$A:$M,11,0)</f>
        <v>26</v>
      </c>
      <c r="F569" s="4">
        <f>VLOOKUP($A569,[1]彩未分析60315!$A:$M,12,0)</f>
        <v>25</v>
      </c>
      <c r="G569" s="4">
        <f>VLOOKUP($A569,[1]彩未分析60315!$A:$M,13,0)</f>
        <v>24</v>
      </c>
      <c r="H569" s="3" t="s">
        <v>10</v>
      </c>
      <c r="I569" s="3" t="s">
        <v>1115</v>
      </c>
    </row>
    <row r="570" customHeight="1" spans="1:9">
      <c r="A570" s="17" t="s">
        <v>1116</v>
      </c>
      <c r="B570" s="4">
        <f>VLOOKUP($A570,[1]彩未分析60315!$A:$M,8,0)</f>
        <v>48</v>
      </c>
      <c r="C570" s="4">
        <f>VLOOKUP($A570,[1]彩未分析60315!$A:$M,9,0)</f>
        <v>46</v>
      </c>
      <c r="D570" s="4">
        <f>VLOOKUP($A570,[1]彩未分析60315!$A:$M,10,0)</f>
        <v>44</v>
      </c>
      <c r="E570" s="4">
        <f>VLOOKUP($A570,[1]彩未分析60315!$A:$M,11,0)</f>
        <v>43</v>
      </c>
      <c r="F570" s="4">
        <f>VLOOKUP($A570,[1]彩未分析60315!$A:$M,12,0)</f>
        <v>41</v>
      </c>
      <c r="G570" s="4">
        <f>VLOOKUP($A570,[1]彩未分析60315!$A:$M,13,0)</f>
        <v>39</v>
      </c>
      <c r="H570" s="3" t="s">
        <v>10</v>
      </c>
      <c r="I570" s="3" t="s">
        <v>1117</v>
      </c>
    </row>
    <row r="571" customHeight="1" spans="1:9">
      <c r="A571" s="13" t="s">
        <v>1118</v>
      </c>
      <c r="B571" s="4">
        <f>VLOOKUP($A571,[1]彩未分析60315!$A:$M,8,0)</f>
        <v>66</v>
      </c>
      <c r="C571" s="4">
        <f>VLOOKUP($A571,[1]彩未分析60315!$A:$M,9,0)</f>
        <v>64</v>
      </c>
      <c r="D571" s="4">
        <f>VLOOKUP($A571,[1]彩未分析60315!$A:$M,10,0)</f>
        <v>63</v>
      </c>
      <c r="E571" s="4">
        <f>VLOOKUP($A571,[1]彩未分析60315!$A:$M,11,0)</f>
        <v>62</v>
      </c>
      <c r="F571" s="4">
        <f>VLOOKUP($A571,[1]彩未分析60315!$A:$M,12,0)</f>
        <v>62</v>
      </c>
      <c r="G571" s="4">
        <f>VLOOKUP($A571,[1]彩未分析60315!$A:$M,13,0)</f>
        <v>61</v>
      </c>
      <c r="H571" s="3" t="s">
        <v>39</v>
      </c>
      <c r="I571" s="3" t="s">
        <v>1119</v>
      </c>
    </row>
    <row r="572" customHeight="1" spans="1:9">
      <c r="A572" s="4" t="s">
        <v>1120</v>
      </c>
      <c r="B572" s="4">
        <f>VLOOKUP($A572,[1]彩未分析60315!$A:$M,8,0)</f>
        <v>42</v>
      </c>
      <c r="C572" s="4">
        <f>VLOOKUP($A572,[1]彩未分析60315!$A:$M,9,0)</f>
        <v>41</v>
      </c>
      <c r="D572" s="4">
        <f>VLOOKUP($A572,[1]彩未分析60315!$A:$M,10,0)</f>
        <v>39</v>
      </c>
      <c r="E572" s="4">
        <f>VLOOKUP($A572,[1]彩未分析60315!$A:$M,11,0)</f>
        <v>38</v>
      </c>
      <c r="F572" s="4">
        <f>VLOOKUP($A572,[1]彩未分析60315!$A:$M,12,0)</f>
        <v>36</v>
      </c>
      <c r="G572" s="4">
        <f>VLOOKUP($A572,[1]彩未分析60315!$A:$M,13,0)</f>
        <v>35</v>
      </c>
      <c r="H572" s="3" t="s">
        <v>10</v>
      </c>
      <c r="I572" s="3" t="s">
        <v>1121</v>
      </c>
    </row>
    <row r="573" customHeight="1" spans="1:9">
      <c r="A573" s="4" t="s">
        <v>1122</v>
      </c>
      <c r="B573" s="4">
        <f>VLOOKUP($A573,[1]彩未分析60315!$A:$M,8,0)</f>
        <v>42</v>
      </c>
      <c r="C573" s="4">
        <f>VLOOKUP($A573,[1]彩未分析60315!$A:$M,9,0)</f>
        <v>41</v>
      </c>
      <c r="D573" s="4">
        <f>VLOOKUP($A573,[1]彩未分析60315!$A:$M,10,0)</f>
        <v>40</v>
      </c>
      <c r="E573" s="4">
        <f>VLOOKUP($A573,[1]彩未分析60315!$A:$M,11,0)</f>
        <v>39</v>
      </c>
      <c r="F573" s="4">
        <f>VLOOKUP($A573,[1]彩未分析60315!$A:$M,12,0)</f>
        <v>39</v>
      </c>
      <c r="G573" s="4">
        <f>VLOOKUP($A573,[1]彩未分析60315!$A:$M,13,0)</f>
        <v>38</v>
      </c>
      <c r="H573" s="3" t="s">
        <v>39</v>
      </c>
      <c r="I573" s="3" t="s">
        <v>1123</v>
      </c>
    </row>
    <row r="574" customHeight="1" spans="1:9">
      <c r="A574" s="11" t="s">
        <v>1124</v>
      </c>
      <c r="B574" s="4">
        <f>VLOOKUP($A574,[1]彩未分析60315!$A:$M,8,0)</f>
        <v>56</v>
      </c>
      <c r="C574" s="4">
        <f>VLOOKUP($A574,[1]彩未分析60315!$A:$M,9,0)</f>
        <v>56</v>
      </c>
      <c r="D574" s="4">
        <f>VLOOKUP($A574,[1]彩未分析60315!$A:$M,10,0)</f>
        <v>55</v>
      </c>
      <c r="E574" s="4">
        <f>VLOOKUP($A574,[1]彩未分析60315!$A:$M,11,0)</f>
        <v>54</v>
      </c>
      <c r="F574" s="4">
        <f>VLOOKUP($A574,[1]彩未分析60315!$A:$M,12,0)</f>
        <v>53</v>
      </c>
      <c r="G574" s="4">
        <f>VLOOKUP($A574,[1]彩未分析60315!$A:$M,13,0)</f>
        <v>52</v>
      </c>
      <c r="H574" s="3" t="s">
        <v>39</v>
      </c>
      <c r="I574" s="3" t="s">
        <v>1125</v>
      </c>
    </row>
    <row r="575" customHeight="1" spans="1:9">
      <c r="A575" s="11" t="s">
        <v>1126</v>
      </c>
      <c r="B575" s="4">
        <f>VLOOKUP($A575,[1]彩未分析60315!$A:$M,8,0)</f>
        <v>63</v>
      </c>
      <c r="C575" s="4">
        <f>VLOOKUP($A575,[1]彩未分析60315!$A:$M,9,0)</f>
        <v>62</v>
      </c>
      <c r="D575" s="4">
        <f>VLOOKUP($A575,[1]彩未分析60315!$A:$M,10,0)</f>
        <v>61</v>
      </c>
      <c r="E575" s="4">
        <f>VLOOKUP($A575,[1]彩未分析60315!$A:$M,11,0)</f>
        <v>60</v>
      </c>
      <c r="F575" s="4">
        <f>VLOOKUP($A575,[1]彩未分析60315!$A:$M,12,0)</f>
        <v>59</v>
      </c>
      <c r="G575" s="4">
        <f>VLOOKUP($A575,[1]彩未分析60315!$A:$M,13,0)</f>
        <v>58</v>
      </c>
      <c r="H575" s="3" t="s">
        <v>39</v>
      </c>
      <c r="I575" s="3" t="s">
        <v>1127</v>
      </c>
    </row>
    <row r="576" customHeight="1" spans="1:9">
      <c r="A576" s="4" t="s">
        <v>1128</v>
      </c>
      <c r="B576" s="4">
        <f>VLOOKUP($A576,[1]彩未分析60315!$A:$M,8,0)</f>
        <v>33</v>
      </c>
      <c r="C576" s="4">
        <f>VLOOKUP($A576,[1]彩未分析60315!$A:$M,9,0)</f>
        <v>32</v>
      </c>
      <c r="D576" s="4">
        <f>VLOOKUP($A576,[1]彩未分析60315!$A:$M,10,0)</f>
        <v>30</v>
      </c>
      <c r="E576" s="4">
        <f>VLOOKUP($A576,[1]彩未分析60315!$A:$M,11,0)</f>
        <v>29</v>
      </c>
      <c r="F576" s="4">
        <f>VLOOKUP($A576,[1]彩未分析60315!$A:$M,12,0)</f>
        <v>28</v>
      </c>
      <c r="G576" s="4">
        <f>VLOOKUP($A576,[1]彩未分析60315!$A:$M,13,0)</f>
        <v>27</v>
      </c>
      <c r="H576" s="3" t="s">
        <v>10</v>
      </c>
      <c r="I576" s="3" t="s">
        <v>1129</v>
      </c>
    </row>
    <row r="577" customHeight="1" spans="1:9">
      <c r="A577" s="4" t="s">
        <v>1130</v>
      </c>
      <c r="B577" s="4">
        <f>VLOOKUP($A577,[1]彩未分析60315!$A:$M,8,0)</f>
        <v>48</v>
      </c>
      <c r="C577" s="4">
        <f>VLOOKUP($A577,[1]彩未分析60315!$A:$M,9,0)</f>
        <v>46</v>
      </c>
      <c r="D577" s="4">
        <f>VLOOKUP($A577,[1]彩未分析60315!$A:$M,10,0)</f>
        <v>45</v>
      </c>
      <c r="E577" s="4">
        <f>VLOOKUP($A577,[1]彩未分析60315!$A:$M,11,0)</f>
        <v>43</v>
      </c>
      <c r="F577" s="4">
        <f>VLOOKUP($A577,[1]彩未分析60315!$A:$M,12,0)</f>
        <v>41</v>
      </c>
      <c r="G577" s="4">
        <f>VLOOKUP($A577,[1]彩未分析60315!$A:$M,13,0)</f>
        <v>39</v>
      </c>
      <c r="H577" s="3" t="s">
        <v>10</v>
      </c>
      <c r="I577" s="3" t="s">
        <v>1131</v>
      </c>
    </row>
  </sheetData>
  <autoFilter xmlns:etc="http://www.wps.cn/officeDocument/2017/etCustomData" ref="A1:A577" etc:filterBottomFollowUsedRange="0">
    <extLst/>
  </autoFilter>
  <conditionalFormatting sqref="A552">
    <cfRule type="duplicateValues" dxfId="0" priority="5"/>
  </conditionalFormatting>
  <conditionalFormatting sqref="B552">
    <cfRule type="duplicateValues" dxfId="0" priority="20"/>
  </conditionalFormatting>
  <conditionalFormatting sqref="C552">
    <cfRule type="duplicateValues" dxfId="0" priority="19"/>
  </conditionalFormatting>
  <conditionalFormatting sqref="D552">
    <cfRule type="duplicateValues" dxfId="0" priority="18"/>
  </conditionalFormatting>
  <conditionalFormatting sqref="E552">
    <cfRule type="duplicateValues" dxfId="0" priority="35"/>
  </conditionalFormatting>
  <conditionalFormatting sqref="F552">
    <cfRule type="duplicateValues" dxfId="0" priority="34"/>
  </conditionalFormatting>
  <conditionalFormatting sqref="G552">
    <cfRule type="duplicateValues" dxfId="0" priority="33"/>
  </conditionalFormatting>
  <conditionalFormatting sqref="A572">
    <cfRule type="duplicateValues" dxfId="0" priority="4"/>
  </conditionalFormatting>
  <conditionalFormatting sqref="B572">
    <cfRule type="duplicateValues" dxfId="0" priority="17"/>
  </conditionalFormatting>
  <conditionalFormatting sqref="C572">
    <cfRule type="duplicateValues" dxfId="0" priority="16"/>
  </conditionalFormatting>
  <conditionalFormatting sqref="D572">
    <cfRule type="duplicateValues" dxfId="0" priority="15"/>
  </conditionalFormatting>
  <conditionalFormatting sqref="E572">
    <cfRule type="duplicateValues" dxfId="0" priority="32"/>
  </conditionalFormatting>
  <conditionalFormatting sqref="F572">
    <cfRule type="duplicateValues" dxfId="0" priority="31"/>
  </conditionalFormatting>
  <conditionalFormatting sqref="G572">
    <cfRule type="duplicateValues" dxfId="0" priority="30"/>
  </conditionalFormatting>
  <conditionalFormatting sqref="A573">
    <cfRule type="duplicateValues" dxfId="0" priority="3"/>
  </conditionalFormatting>
  <conditionalFormatting sqref="B573">
    <cfRule type="duplicateValues" dxfId="0" priority="14"/>
  </conditionalFormatting>
  <conditionalFormatting sqref="C573">
    <cfRule type="duplicateValues" dxfId="0" priority="13"/>
  </conditionalFormatting>
  <conditionalFormatting sqref="D573">
    <cfRule type="duplicateValues" dxfId="0" priority="12"/>
  </conditionalFormatting>
  <conditionalFormatting sqref="E573">
    <cfRule type="duplicateValues" dxfId="0" priority="29"/>
  </conditionalFormatting>
  <conditionalFormatting sqref="F573">
    <cfRule type="duplicateValues" dxfId="0" priority="28"/>
  </conditionalFormatting>
  <conditionalFormatting sqref="G573">
    <cfRule type="duplicateValues" dxfId="0" priority="27"/>
  </conditionalFormatting>
  <conditionalFormatting sqref="A574:A575">
    <cfRule type="duplicateValues" dxfId="1" priority="2"/>
    <cfRule type="duplicateValues" dxfId="0" priority="1"/>
  </conditionalFormatting>
  <conditionalFormatting sqref="B574:B575">
    <cfRule type="duplicateValues" dxfId="0" priority="8"/>
    <cfRule type="duplicateValues" dxfId="1" priority="11"/>
  </conditionalFormatting>
  <conditionalFormatting sqref="C574:C575">
    <cfRule type="duplicateValues" dxfId="0" priority="7"/>
    <cfRule type="duplicateValues" dxfId="1" priority="10"/>
  </conditionalFormatting>
  <conditionalFormatting sqref="D574:D575">
    <cfRule type="duplicateValues" dxfId="0" priority="6"/>
    <cfRule type="duplicateValues" dxfId="1" priority="9"/>
  </conditionalFormatting>
  <conditionalFormatting sqref="E574:E575">
    <cfRule type="duplicateValues" dxfId="0" priority="23"/>
    <cfRule type="duplicateValues" dxfId="1" priority="26"/>
  </conditionalFormatting>
  <conditionalFormatting sqref="F574:F575">
    <cfRule type="duplicateValues" dxfId="0" priority="22"/>
    <cfRule type="duplicateValues" dxfId="1" priority="25"/>
  </conditionalFormatting>
  <conditionalFormatting sqref="G574:G575">
    <cfRule type="duplicateValues" dxfId="0" priority="21"/>
    <cfRule type="duplicateValues" dxfId="1" priority="24"/>
  </conditionalFormatting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7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8.89423076923077" defaultRowHeight="18" customHeight="1"/>
  <cols>
    <col min="1" max="1" width="10.3942307692308" style="1" customWidth="1"/>
    <col min="2" max="2" width="9.14423076923077" style="1" customWidth="1"/>
    <col min="3" max="3" width="9.61538461538461" style="1" customWidth="1"/>
    <col min="4" max="4" width="10.3942307692308" style="1" customWidth="1"/>
    <col min="5" max="5" width="9.38461538461539" style="1" customWidth="1"/>
    <col min="6" max="6" width="8.54807692307692" style="1" customWidth="1"/>
    <col min="7" max="7" width="8.375" style="1" customWidth="1"/>
    <col min="9" max="9" width="47.375" customWidth="1"/>
  </cols>
  <sheetData>
    <row r="1" ht="35" customHeight="1" spans="1:9">
      <c r="A1" s="2" t="s">
        <v>0</v>
      </c>
      <c r="B1" s="2" t="s">
        <v>1138</v>
      </c>
      <c r="C1" s="2" t="s">
        <v>1139</v>
      </c>
      <c r="D1" s="2" t="s">
        <v>1140</v>
      </c>
      <c r="E1" s="2" t="s">
        <v>1141</v>
      </c>
      <c r="F1" s="2" t="s">
        <v>1142</v>
      </c>
      <c r="G1" s="2" t="s">
        <v>1143</v>
      </c>
      <c r="H1" s="3" t="s">
        <v>7</v>
      </c>
      <c r="I1" s="3" t="s">
        <v>8</v>
      </c>
    </row>
    <row r="2" customHeight="1" spans="1:9">
      <c r="A2" s="4" t="s">
        <v>9</v>
      </c>
      <c r="B2" s="4">
        <f>VLOOKUP($A2,[1]中含分析60315!$A:$M,8,0)</f>
        <v>37</v>
      </c>
      <c r="C2" s="4">
        <f>VLOOKUP($A2,[1]中含分析60315!$A:$M,9,0)</f>
        <v>36</v>
      </c>
      <c r="D2" s="4">
        <f>VLOOKUP($A2,[1]中含分析60315!$A:$M,10,0)</f>
        <v>34</v>
      </c>
      <c r="E2" s="4">
        <f>VLOOKUP($A2,[1]中含分析60315!$A:$M,11,0)</f>
        <v>33</v>
      </c>
      <c r="F2" s="4">
        <f>VLOOKUP($A2,[1]中含分析60315!$A:$M,12,0)</f>
        <v>31</v>
      </c>
      <c r="G2" s="4">
        <f>VLOOKUP($A2,[1]中含分析60315!$A:$M,13,0)</f>
        <v>30</v>
      </c>
      <c r="H2" s="3" t="s">
        <v>10</v>
      </c>
      <c r="I2" s="3" t="s">
        <v>11</v>
      </c>
    </row>
    <row r="3" customHeight="1" spans="1:9">
      <c r="A3" s="4" t="s">
        <v>12</v>
      </c>
      <c r="B3" s="4">
        <f>VLOOKUP($A3,[1]中含分析60315!$A:$M,8,0)</f>
        <v>23</v>
      </c>
      <c r="C3" s="4">
        <f>VLOOKUP($A3,[1]中含分析60315!$A:$M,9,0)</f>
        <v>22</v>
      </c>
      <c r="D3" s="4">
        <f>VLOOKUP($A3,[1]中含分析60315!$A:$M,10,0)</f>
        <v>21</v>
      </c>
      <c r="E3" s="4">
        <f>VLOOKUP($A3,[1]中含分析60315!$A:$M,11,0)</f>
        <v>21</v>
      </c>
      <c r="F3" s="4">
        <f>VLOOKUP($A3,[1]中含分析60315!$A:$M,12,0)</f>
        <v>20</v>
      </c>
      <c r="G3" s="4">
        <f>VLOOKUP($A3,[1]中含分析60315!$A:$M,13,0)</f>
        <v>19</v>
      </c>
      <c r="H3" s="3" t="s">
        <v>10</v>
      </c>
      <c r="I3" s="3" t="s">
        <v>13</v>
      </c>
    </row>
    <row r="4" customHeight="1" spans="1:9">
      <c r="A4" s="4" t="s">
        <v>14</v>
      </c>
      <c r="B4" s="4">
        <f>VLOOKUP($A4,[1]中含分析60315!$A:$M,8,0)</f>
        <v>40</v>
      </c>
      <c r="C4" s="4">
        <f>VLOOKUP($A4,[1]中含分析60315!$A:$M,9,0)</f>
        <v>38</v>
      </c>
      <c r="D4" s="4">
        <f>VLOOKUP($A4,[1]中含分析60315!$A:$M,10,0)</f>
        <v>37</v>
      </c>
      <c r="E4" s="4">
        <f>VLOOKUP($A4,[1]中含分析60315!$A:$M,11,0)</f>
        <v>35</v>
      </c>
      <c r="F4" s="4">
        <f>VLOOKUP($A4,[1]中含分析60315!$A:$M,12,0)</f>
        <v>34</v>
      </c>
      <c r="G4" s="4">
        <f>VLOOKUP($A4,[1]中含分析60315!$A:$M,13,0)</f>
        <v>32</v>
      </c>
      <c r="H4" s="3" t="s">
        <v>10</v>
      </c>
      <c r="I4" s="3" t="s">
        <v>15</v>
      </c>
    </row>
    <row r="5" customHeight="1" spans="1:9">
      <c r="A5" s="4" t="s">
        <v>16</v>
      </c>
      <c r="B5" s="4">
        <f>VLOOKUP($A5,[1]中含分析60315!$A:$M,8,0)</f>
        <v>42</v>
      </c>
      <c r="C5" s="4">
        <f>VLOOKUP($A5,[1]中含分析60315!$A:$M,9,0)</f>
        <v>41</v>
      </c>
      <c r="D5" s="4">
        <f>VLOOKUP($A5,[1]中含分析60315!$A:$M,10,0)</f>
        <v>39</v>
      </c>
      <c r="E5" s="4">
        <f>VLOOKUP($A5,[1]中含分析60315!$A:$M,11,0)</f>
        <v>38</v>
      </c>
      <c r="F5" s="4">
        <f>VLOOKUP($A5,[1]中含分析60315!$A:$M,12,0)</f>
        <v>36</v>
      </c>
      <c r="G5" s="4">
        <f>VLOOKUP($A5,[1]中含分析60315!$A:$M,13,0)</f>
        <v>35</v>
      </c>
      <c r="H5" s="3" t="s">
        <v>10</v>
      </c>
      <c r="I5" s="3" t="s">
        <v>17</v>
      </c>
    </row>
    <row r="6" customHeight="1" spans="1:9">
      <c r="A6" s="4" t="s">
        <v>18</v>
      </c>
      <c r="B6" s="4">
        <f>VLOOKUP($A6,[1]中含分析60315!$A:$M,8,0)</f>
        <v>23</v>
      </c>
      <c r="C6" s="4">
        <f>VLOOKUP($A6,[1]中含分析60315!$A:$M,9,0)</f>
        <v>22</v>
      </c>
      <c r="D6" s="4">
        <f>VLOOKUP($A6,[1]中含分析60315!$A:$M,10,0)</f>
        <v>21</v>
      </c>
      <c r="E6" s="4">
        <f>VLOOKUP($A6,[1]中含分析60315!$A:$M,11,0)</f>
        <v>21</v>
      </c>
      <c r="F6" s="4">
        <f>VLOOKUP($A6,[1]中含分析60315!$A:$M,12,0)</f>
        <v>20</v>
      </c>
      <c r="G6" s="4">
        <f>VLOOKUP($A6,[1]中含分析60315!$A:$M,13,0)</f>
        <v>19</v>
      </c>
      <c r="H6" s="3" t="s">
        <v>10</v>
      </c>
      <c r="I6" s="3" t="s">
        <v>19</v>
      </c>
    </row>
    <row r="7" customHeight="1" spans="1:9">
      <c r="A7" s="4" t="s">
        <v>20</v>
      </c>
      <c r="B7" s="4">
        <f>VLOOKUP($A7,[1]中含分析60315!$A:$M,8,0)</f>
        <v>25</v>
      </c>
      <c r="C7" s="4">
        <f>VLOOKUP($A7,[1]中含分析60315!$A:$M,9,0)</f>
        <v>24</v>
      </c>
      <c r="D7" s="4">
        <f>VLOOKUP($A7,[1]中含分析60315!$A:$M,10,0)</f>
        <v>23</v>
      </c>
      <c r="E7" s="4">
        <f>VLOOKUP($A7,[1]中含分析60315!$A:$M,11,0)</f>
        <v>22</v>
      </c>
      <c r="F7" s="4">
        <f>VLOOKUP($A7,[1]中含分析60315!$A:$M,12,0)</f>
        <v>21</v>
      </c>
      <c r="G7" s="4">
        <f>VLOOKUP($A7,[1]中含分析60315!$A:$M,13,0)</f>
        <v>20</v>
      </c>
      <c r="H7" s="3" t="s">
        <v>10</v>
      </c>
      <c r="I7" s="3" t="s">
        <v>21</v>
      </c>
    </row>
    <row r="8" customHeight="1" spans="1:9">
      <c r="A8" s="4" t="s">
        <v>22</v>
      </c>
      <c r="B8" s="4">
        <f>VLOOKUP($A8,[1]中含分析60315!$A:$M,8,0)</f>
        <v>42</v>
      </c>
      <c r="C8" s="4">
        <f>VLOOKUP($A8,[1]中含分析60315!$A:$M,9,0)</f>
        <v>41</v>
      </c>
      <c r="D8" s="4">
        <f>VLOOKUP($A8,[1]中含分析60315!$A:$M,10,0)</f>
        <v>39</v>
      </c>
      <c r="E8" s="4">
        <f>VLOOKUP($A8,[1]中含分析60315!$A:$M,11,0)</f>
        <v>38</v>
      </c>
      <c r="F8" s="4">
        <f>VLOOKUP($A8,[1]中含分析60315!$A:$M,12,0)</f>
        <v>36</v>
      </c>
      <c r="G8" s="4">
        <f>VLOOKUP($A8,[1]中含分析60315!$A:$M,13,0)</f>
        <v>35</v>
      </c>
      <c r="H8" s="3" t="s">
        <v>10</v>
      </c>
      <c r="I8" s="3" t="s">
        <v>23</v>
      </c>
    </row>
    <row r="9" customHeight="1" spans="1:9">
      <c r="A9" s="4" t="s">
        <v>24</v>
      </c>
      <c r="B9" s="4">
        <f>VLOOKUP($A9,[1]中含分析60315!$A:$M,8,0)</f>
        <v>29</v>
      </c>
      <c r="C9" s="4">
        <f>VLOOKUP($A9,[1]中含分析60315!$A:$M,9,0)</f>
        <v>28</v>
      </c>
      <c r="D9" s="4">
        <f>VLOOKUP($A9,[1]中含分析60315!$A:$M,10,0)</f>
        <v>27</v>
      </c>
      <c r="E9" s="4">
        <f>VLOOKUP($A9,[1]中含分析60315!$A:$M,11,0)</f>
        <v>26</v>
      </c>
      <c r="F9" s="4">
        <f>VLOOKUP($A9,[1]中含分析60315!$A:$M,12,0)</f>
        <v>24</v>
      </c>
      <c r="G9" s="4">
        <f>VLOOKUP($A9,[1]中含分析60315!$A:$M,13,0)</f>
        <v>23</v>
      </c>
      <c r="H9" s="3" t="s">
        <v>10</v>
      </c>
      <c r="I9" s="3" t="s">
        <v>25</v>
      </c>
    </row>
    <row r="10" customHeight="1" spans="1:9">
      <c r="A10" s="4" t="s">
        <v>26</v>
      </c>
      <c r="B10" s="4">
        <f>VLOOKUP($A10,[1]中含分析60315!$A:$M,8,0)</f>
        <v>42</v>
      </c>
      <c r="C10" s="4">
        <f>VLOOKUP($A10,[1]中含分析60315!$A:$M,9,0)</f>
        <v>40</v>
      </c>
      <c r="D10" s="4">
        <f>VLOOKUP($A10,[1]中含分析60315!$A:$M,10,0)</f>
        <v>39</v>
      </c>
      <c r="E10" s="4">
        <f>VLOOKUP($A10,[1]中含分析60315!$A:$M,11,0)</f>
        <v>37</v>
      </c>
      <c r="F10" s="4">
        <f>VLOOKUP($A10,[1]中含分析60315!$A:$M,12,0)</f>
        <v>36</v>
      </c>
      <c r="G10" s="4">
        <f>VLOOKUP($A10,[1]中含分析60315!$A:$M,13,0)</f>
        <v>34</v>
      </c>
      <c r="H10" s="3" t="s">
        <v>10</v>
      </c>
      <c r="I10" s="3" t="s">
        <v>27</v>
      </c>
    </row>
    <row r="11" customHeight="1" spans="1:9">
      <c r="A11" s="4" t="s">
        <v>28</v>
      </c>
      <c r="B11" s="4">
        <f>VLOOKUP($A11,[1]中含分析60315!$A:$M,8,0)</f>
        <v>35</v>
      </c>
      <c r="C11" s="4">
        <f>VLOOKUP($A11,[1]中含分析60315!$A:$M,9,0)</f>
        <v>34</v>
      </c>
      <c r="D11" s="4">
        <f>VLOOKUP($A11,[1]中含分析60315!$A:$M,10,0)</f>
        <v>33</v>
      </c>
      <c r="E11" s="4">
        <f>VLOOKUP($A11,[1]中含分析60315!$A:$M,11,0)</f>
        <v>31</v>
      </c>
      <c r="F11" s="4">
        <f>VLOOKUP($A11,[1]中含分析60315!$A:$M,12,0)</f>
        <v>30</v>
      </c>
      <c r="G11" s="4">
        <f>VLOOKUP($A11,[1]中含分析60315!$A:$M,13,0)</f>
        <v>29</v>
      </c>
      <c r="H11" s="3" t="s">
        <v>10</v>
      </c>
      <c r="I11" s="3" t="s">
        <v>29</v>
      </c>
    </row>
    <row r="12" customHeight="1" spans="1:9">
      <c r="A12" s="4" t="s">
        <v>30</v>
      </c>
      <c r="B12" s="4">
        <f>VLOOKUP($A12,[1]中含分析60315!$A:$M,8,0)</f>
        <v>35</v>
      </c>
      <c r="C12" s="4">
        <f>VLOOKUP($A12,[1]中含分析60315!$A:$M,9,0)</f>
        <v>34</v>
      </c>
      <c r="D12" s="4">
        <f>VLOOKUP($A12,[1]中含分析60315!$A:$M,10,0)</f>
        <v>33</v>
      </c>
      <c r="E12" s="4">
        <f>VLOOKUP($A12,[1]中含分析60315!$A:$M,11,0)</f>
        <v>31</v>
      </c>
      <c r="F12" s="4">
        <f>VLOOKUP($A12,[1]中含分析60315!$A:$M,12,0)</f>
        <v>30</v>
      </c>
      <c r="G12" s="4">
        <f>VLOOKUP($A12,[1]中含分析60315!$A:$M,13,0)</f>
        <v>29</v>
      </c>
      <c r="H12" s="3" t="s">
        <v>10</v>
      </c>
      <c r="I12" s="3" t="s">
        <v>31</v>
      </c>
    </row>
    <row r="13" customHeight="1" spans="1:9">
      <c r="A13" s="4" t="s">
        <v>32</v>
      </c>
      <c r="B13" s="4">
        <f>VLOOKUP($A13,[1]中含分析60315!$A:$M,8,0)</f>
        <v>42</v>
      </c>
      <c r="C13" s="4">
        <f>VLOOKUP($A13,[1]中含分析60315!$A:$M,9,0)</f>
        <v>41</v>
      </c>
      <c r="D13" s="4">
        <f>VLOOKUP($A13,[1]中含分析60315!$A:$M,10,0)</f>
        <v>39</v>
      </c>
      <c r="E13" s="4">
        <f>VLOOKUP($A13,[1]中含分析60315!$A:$M,11,0)</f>
        <v>37</v>
      </c>
      <c r="F13" s="4">
        <f>VLOOKUP($A13,[1]中含分析60315!$A:$M,12,0)</f>
        <v>36</v>
      </c>
      <c r="G13" s="4">
        <f>VLOOKUP($A13,[1]中含分析60315!$A:$M,13,0)</f>
        <v>34</v>
      </c>
      <c r="H13" s="3" t="s">
        <v>10</v>
      </c>
      <c r="I13" s="3" t="s">
        <v>33</v>
      </c>
    </row>
    <row r="14" customHeight="1" spans="1:9">
      <c r="A14" s="4" t="s">
        <v>34</v>
      </c>
      <c r="B14" s="4">
        <f>VLOOKUP($A14,[1]中含分析60315!$A:$M,8,0)</f>
        <v>42</v>
      </c>
      <c r="C14" s="4">
        <f>VLOOKUP($A14,[1]中含分析60315!$A:$M,9,0)</f>
        <v>41</v>
      </c>
      <c r="D14" s="4">
        <f>VLOOKUP($A14,[1]中含分析60315!$A:$M,10,0)</f>
        <v>39</v>
      </c>
      <c r="E14" s="4">
        <f>VLOOKUP($A14,[1]中含分析60315!$A:$M,11,0)</f>
        <v>38</v>
      </c>
      <c r="F14" s="4">
        <f>VLOOKUP($A14,[1]中含分析60315!$A:$M,12,0)</f>
        <v>36</v>
      </c>
      <c r="G14" s="4">
        <f>VLOOKUP($A14,[1]中含分析60315!$A:$M,13,0)</f>
        <v>35</v>
      </c>
      <c r="H14" s="3" t="s">
        <v>10</v>
      </c>
      <c r="I14" s="3" t="s">
        <v>35</v>
      </c>
    </row>
    <row r="15" customHeight="1" spans="1:9">
      <c r="A15" s="4" t="s">
        <v>36</v>
      </c>
      <c r="B15" s="4">
        <f>VLOOKUP($A15,[1]中含分析60315!$A:$M,8,0)</f>
        <v>26</v>
      </c>
      <c r="C15" s="4">
        <f>VLOOKUP($A15,[1]中含分析60315!$A:$M,9,0)</f>
        <v>25</v>
      </c>
      <c r="D15" s="4">
        <f>VLOOKUP($A15,[1]中含分析60315!$A:$M,10,0)</f>
        <v>24</v>
      </c>
      <c r="E15" s="4">
        <f>VLOOKUP($A15,[1]中含分析60315!$A:$M,11,0)</f>
        <v>24</v>
      </c>
      <c r="F15" s="4">
        <f>VLOOKUP($A15,[1]中含分析60315!$A:$M,12,0)</f>
        <v>23</v>
      </c>
      <c r="G15" s="4">
        <f>VLOOKUP($A15,[1]中含分析60315!$A:$M,13,0)</f>
        <v>22</v>
      </c>
      <c r="H15" s="3" t="s">
        <v>10</v>
      </c>
      <c r="I15" s="3" t="s">
        <v>37</v>
      </c>
    </row>
    <row r="16" customHeight="1" spans="1:9">
      <c r="A16" s="4" t="s">
        <v>38</v>
      </c>
      <c r="B16" s="4">
        <f>VLOOKUP($A16,[1]中含分析60315!$A:$M,8,0)</f>
        <v>132</v>
      </c>
      <c r="C16" s="4">
        <f>VLOOKUP($A16,[1]中含分析60315!$A:$M,9,0)</f>
        <v>130</v>
      </c>
      <c r="D16" s="4">
        <f>VLOOKUP($A16,[1]中含分析60315!$A:$M,10,0)</f>
        <v>127</v>
      </c>
      <c r="E16" s="4">
        <f>VLOOKUP($A16,[1]中含分析60315!$A:$M,11,0)</f>
        <v>125</v>
      </c>
      <c r="F16" s="4">
        <f>VLOOKUP($A16,[1]中含分析60315!$A:$M,12,0)</f>
        <v>124</v>
      </c>
      <c r="G16" s="4">
        <f>VLOOKUP($A16,[1]中含分析60315!$A:$M,13,0)</f>
        <v>122</v>
      </c>
      <c r="H16" s="3" t="s">
        <v>39</v>
      </c>
      <c r="I16" s="3" t="s">
        <v>40</v>
      </c>
    </row>
    <row r="17" customHeight="1" spans="1:9">
      <c r="A17" s="4" t="s">
        <v>41</v>
      </c>
      <c r="B17" s="4">
        <f>VLOOKUP($A17,[1]中含分析60315!$A:$M,8,0)</f>
        <v>39</v>
      </c>
      <c r="C17" s="4">
        <f>VLOOKUP($A17,[1]中含分析60315!$A:$M,9,0)</f>
        <v>37</v>
      </c>
      <c r="D17" s="4">
        <f>VLOOKUP($A17,[1]中含分析60315!$A:$M,10,0)</f>
        <v>36</v>
      </c>
      <c r="E17" s="4">
        <f>VLOOKUP($A17,[1]中含分析60315!$A:$M,11,0)</f>
        <v>34</v>
      </c>
      <c r="F17" s="4">
        <f>VLOOKUP($A17,[1]中含分析60315!$A:$M,12,0)</f>
        <v>33</v>
      </c>
      <c r="G17" s="4">
        <f>VLOOKUP($A17,[1]中含分析60315!$A:$M,13,0)</f>
        <v>31</v>
      </c>
      <c r="H17" s="3" t="s">
        <v>10</v>
      </c>
      <c r="I17" s="3" t="s">
        <v>42</v>
      </c>
    </row>
    <row r="18" customHeight="1" spans="1:9">
      <c r="A18" s="4" t="s">
        <v>43</v>
      </c>
      <c r="B18" s="4">
        <f>VLOOKUP($A18,[1]中含分析60315!$A:$M,8,0)</f>
        <v>38</v>
      </c>
      <c r="C18" s="4">
        <f>VLOOKUP($A18,[1]中含分析60315!$A:$M,9,0)</f>
        <v>37</v>
      </c>
      <c r="D18" s="4">
        <f>VLOOKUP($A18,[1]中含分析60315!$A:$M,10,0)</f>
        <v>35</v>
      </c>
      <c r="E18" s="4">
        <f>VLOOKUP($A18,[1]中含分析60315!$A:$M,11,0)</f>
        <v>34</v>
      </c>
      <c r="F18" s="4">
        <f>VLOOKUP($A18,[1]中含分析60315!$A:$M,12,0)</f>
        <v>32</v>
      </c>
      <c r="G18" s="4">
        <f>VLOOKUP($A18,[1]中含分析60315!$A:$M,13,0)</f>
        <v>31</v>
      </c>
      <c r="H18" s="3" t="s">
        <v>10</v>
      </c>
      <c r="I18" s="3" t="s">
        <v>44</v>
      </c>
    </row>
    <row r="19" customHeight="1" spans="1:9">
      <c r="A19" s="4" t="s">
        <v>45</v>
      </c>
      <c r="B19" s="4">
        <f>VLOOKUP($A19,[1]中含分析60315!$A:$M,8,0)</f>
        <v>31</v>
      </c>
      <c r="C19" s="4">
        <f>VLOOKUP($A19,[1]中含分析60315!$A:$M,9,0)</f>
        <v>30</v>
      </c>
      <c r="D19" s="4">
        <f>VLOOKUP($A19,[1]中含分析60315!$A:$M,10,0)</f>
        <v>29</v>
      </c>
      <c r="E19" s="4">
        <f>VLOOKUP($A19,[1]中含分析60315!$A:$M,11,0)</f>
        <v>27</v>
      </c>
      <c r="F19" s="4">
        <f>VLOOKUP($A19,[1]中含分析60315!$A:$M,12,0)</f>
        <v>26</v>
      </c>
      <c r="G19" s="4">
        <f>VLOOKUP($A19,[1]中含分析60315!$A:$M,13,0)</f>
        <v>25</v>
      </c>
      <c r="H19" s="3" t="s">
        <v>10</v>
      </c>
      <c r="I19" s="3" t="s">
        <v>46</v>
      </c>
    </row>
    <row r="20" customHeight="1" spans="1:9">
      <c r="A20" s="4" t="s">
        <v>47</v>
      </c>
      <c r="B20" s="4">
        <f>VLOOKUP($A20,[1]中含分析60315!$A:$M,8,0)</f>
        <v>32</v>
      </c>
      <c r="C20" s="4">
        <f>VLOOKUP($A20,[1]中含分析60315!$A:$M,9,0)</f>
        <v>31</v>
      </c>
      <c r="D20" s="4">
        <f>VLOOKUP($A20,[1]中含分析60315!$A:$M,10,0)</f>
        <v>30</v>
      </c>
      <c r="E20" s="4">
        <f>VLOOKUP($A20,[1]中含分析60315!$A:$M,11,0)</f>
        <v>29</v>
      </c>
      <c r="F20" s="4">
        <f>VLOOKUP($A20,[1]中含分析60315!$A:$M,12,0)</f>
        <v>28</v>
      </c>
      <c r="G20" s="4">
        <f>VLOOKUP($A20,[1]中含分析60315!$A:$M,13,0)</f>
        <v>26</v>
      </c>
      <c r="H20" s="3" t="s">
        <v>10</v>
      </c>
      <c r="I20" s="3" t="s">
        <v>48</v>
      </c>
    </row>
    <row r="21" customHeight="1" spans="1:9">
      <c r="A21" s="4" t="s">
        <v>49</v>
      </c>
      <c r="B21" s="4">
        <f>VLOOKUP($A21,[1]中含分析60315!$A:$M,8,0)</f>
        <v>37</v>
      </c>
      <c r="C21" s="4">
        <f>VLOOKUP($A21,[1]中含分析60315!$A:$M,9,0)</f>
        <v>35</v>
      </c>
      <c r="D21" s="4">
        <f>VLOOKUP($A21,[1]中含分析60315!$A:$M,10,0)</f>
        <v>34</v>
      </c>
      <c r="E21" s="4">
        <f>VLOOKUP($A21,[1]中含分析60315!$A:$M,11,0)</f>
        <v>33</v>
      </c>
      <c r="F21" s="4">
        <f>VLOOKUP($A21,[1]中含分析60315!$A:$M,12,0)</f>
        <v>31</v>
      </c>
      <c r="G21" s="4">
        <f>VLOOKUP($A21,[1]中含分析60315!$A:$M,13,0)</f>
        <v>30</v>
      </c>
      <c r="H21" s="3" t="s">
        <v>10</v>
      </c>
      <c r="I21" s="3" t="s">
        <v>31</v>
      </c>
    </row>
    <row r="22" customHeight="1" spans="1:9">
      <c r="A22" s="4" t="s">
        <v>50</v>
      </c>
      <c r="B22" s="4">
        <f>VLOOKUP($A22,[1]中含分析60315!$A:$M,8,0)</f>
        <v>94</v>
      </c>
      <c r="C22" s="4">
        <f>VLOOKUP($A22,[1]中含分析60315!$A:$M,9,0)</f>
        <v>91</v>
      </c>
      <c r="D22" s="4">
        <f>VLOOKUP($A22,[1]中含分析60315!$A:$M,10,0)</f>
        <v>88</v>
      </c>
      <c r="E22" s="4">
        <f>VLOOKUP($A22,[1]中含分析60315!$A:$M,11,0)</f>
        <v>84</v>
      </c>
      <c r="F22" s="4">
        <f>VLOOKUP($A22,[1]中含分析60315!$A:$M,12,0)</f>
        <v>81</v>
      </c>
      <c r="G22" s="4">
        <f>VLOOKUP($A22,[1]中含分析60315!$A:$M,13,0)</f>
        <v>77</v>
      </c>
      <c r="H22" s="3" t="s">
        <v>10</v>
      </c>
      <c r="I22" s="3" t="s">
        <v>51</v>
      </c>
    </row>
    <row r="23" customHeight="1" spans="1:9">
      <c r="A23" s="4" t="s">
        <v>52</v>
      </c>
      <c r="B23" s="4">
        <f>VLOOKUP($A23,[1]中含分析60315!$A:$M,8,0)</f>
        <v>59</v>
      </c>
      <c r="C23" s="4">
        <f>VLOOKUP($A23,[1]中含分析60315!$A:$M,9,0)</f>
        <v>57</v>
      </c>
      <c r="D23" s="4">
        <f>VLOOKUP($A23,[1]中含分析60315!$A:$M,10,0)</f>
        <v>55</v>
      </c>
      <c r="E23" s="4">
        <f>VLOOKUP($A23,[1]中含分析60315!$A:$M,11,0)</f>
        <v>53</v>
      </c>
      <c r="F23" s="4">
        <f>VLOOKUP($A23,[1]中含分析60315!$A:$M,12,0)</f>
        <v>51</v>
      </c>
      <c r="G23" s="4">
        <f>VLOOKUP($A23,[1]中含分析60315!$A:$M,13,0)</f>
        <v>48</v>
      </c>
      <c r="H23" s="3" t="s">
        <v>10</v>
      </c>
      <c r="I23" s="3" t="s">
        <v>53</v>
      </c>
    </row>
    <row r="24" customHeight="1" spans="1:9">
      <c r="A24" s="4" t="s">
        <v>54</v>
      </c>
      <c r="B24" s="4">
        <f>VLOOKUP($A24,[1]中含分析60315!$A:$M,8,0)</f>
        <v>36</v>
      </c>
      <c r="C24" s="4">
        <f>VLOOKUP($A24,[1]中含分析60315!$A:$M,9,0)</f>
        <v>34</v>
      </c>
      <c r="D24" s="4">
        <f>VLOOKUP($A24,[1]中含分析60315!$A:$M,10,0)</f>
        <v>33</v>
      </c>
      <c r="E24" s="4">
        <f>VLOOKUP($A24,[1]中含分析60315!$A:$M,11,0)</f>
        <v>32</v>
      </c>
      <c r="F24" s="4">
        <f>VLOOKUP($A24,[1]中含分析60315!$A:$M,12,0)</f>
        <v>31</v>
      </c>
      <c r="G24" s="4">
        <f>VLOOKUP($A24,[1]中含分析60315!$A:$M,13,0)</f>
        <v>29</v>
      </c>
      <c r="H24" s="3" t="s">
        <v>10</v>
      </c>
      <c r="I24" s="3" t="s">
        <v>55</v>
      </c>
    </row>
    <row r="25" customHeight="1" spans="1:9">
      <c r="A25" s="4" t="s">
        <v>56</v>
      </c>
      <c r="B25" s="4">
        <f>VLOOKUP($A25,[1]中含分析60315!$A:$M,8,0)</f>
        <v>27</v>
      </c>
      <c r="C25" s="4">
        <f>VLOOKUP($A25,[1]中含分析60315!$A:$M,9,0)</f>
        <v>26</v>
      </c>
      <c r="D25" s="4">
        <f>VLOOKUP($A25,[1]中含分析60315!$A:$M,10,0)</f>
        <v>25</v>
      </c>
      <c r="E25" s="4">
        <f>VLOOKUP($A25,[1]中含分析60315!$A:$M,11,0)</f>
        <v>24</v>
      </c>
      <c r="F25" s="4">
        <f>VLOOKUP($A25,[1]中含分析60315!$A:$M,12,0)</f>
        <v>23</v>
      </c>
      <c r="G25" s="4">
        <f>VLOOKUP($A25,[1]中含分析60315!$A:$M,13,0)</f>
        <v>22</v>
      </c>
      <c r="H25" s="3" t="s">
        <v>10</v>
      </c>
      <c r="I25" s="3" t="s">
        <v>57</v>
      </c>
    </row>
    <row r="26" customHeight="1" spans="1:9">
      <c r="A26" s="4" t="s">
        <v>58</v>
      </c>
      <c r="B26" s="4">
        <f>VLOOKUP($A26,[1]中含分析60315!$A:$M,8,0)</f>
        <v>32</v>
      </c>
      <c r="C26" s="4">
        <f>VLOOKUP($A26,[1]中含分析60315!$A:$M,9,0)</f>
        <v>31</v>
      </c>
      <c r="D26" s="4">
        <f>VLOOKUP($A26,[1]中含分析60315!$A:$M,10,0)</f>
        <v>30</v>
      </c>
      <c r="E26" s="4">
        <f>VLOOKUP($A26,[1]中含分析60315!$A:$M,11,0)</f>
        <v>29</v>
      </c>
      <c r="F26" s="4">
        <f>VLOOKUP($A26,[1]中含分析60315!$A:$M,12,0)</f>
        <v>28</v>
      </c>
      <c r="G26" s="4">
        <f>VLOOKUP($A26,[1]中含分析60315!$A:$M,13,0)</f>
        <v>27</v>
      </c>
      <c r="H26" s="3" t="s">
        <v>10</v>
      </c>
      <c r="I26" s="3" t="s">
        <v>59</v>
      </c>
    </row>
    <row r="27" customHeight="1" spans="1:9">
      <c r="A27" s="4" t="s">
        <v>60</v>
      </c>
      <c r="B27" s="4">
        <f>VLOOKUP($A27,[1]中含分析60315!$A:$M,8,0)</f>
        <v>47</v>
      </c>
      <c r="C27" s="4">
        <f>VLOOKUP($A27,[1]中含分析60315!$A:$M,9,0)</f>
        <v>45</v>
      </c>
      <c r="D27" s="4">
        <f>VLOOKUP($A27,[1]中含分析60315!$A:$M,10,0)</f>
        <v>44</v>
      </c>
      <c r="E27" s="4">
        <f>VLOOKUP($A27,[1]中含分析60315!$A:$M,11,0)</f>
        <v>42</v>
      </c>
      <c r="F27" s="4">
        <f>VLOOKUP($A27,[1]中含分析60315!$A:$M,12,0)</f>
        <v>40</v>
      </c>
      <c r="G27" s="4">
        <f>VLOOKUP($A27,[1]中含分析60315!$A:$M,13,0)</f>
        <v>38</v>
      </c>
      <c r="H27" s="3" t="s">
        <v>10</v>
      </c>
      <c r="I27" s="3" t="s">
        <v>61</v>
      </c>
    </row>
    <row r="28" customHeight="1" spans="1:9">
      <c r="A28" s="4" t="s">
        <v>62</v>
      </c>
      <c r="B28" s="4">
        <f>VLOOKUP($A28,[1]中含分析60315!$A:$M,8,0)</f>
        <v>23</v>
      </c>
      <c r="C28" s="4">
        <f>VLOOKUP($A28,[1]中含分析60315!$A:$M,9,0)</f>
        <v>22</v>
      </c>
      <c r="D28" s="4">
        <f>VLOOKUP($A28,[1]中含分析60315!$A:$M,10,0)</f>
        <v>21</v>
      </c>
      <c r="E28" s="4">
        <f>VLOOKUP($A28,[1]中含分析60315!$A:$M,11,0)</f>
        <v>20</v>
      </c>
      <c r="F28" s="4">
        <f>VLOOKUP($A28,[1]中含分析60315!$A:$M,12,0)</f>
        <v>19</v>
      </c>
      <c r="G28" s="4">
        <f>VLOOKUP($A28,[1]中含分析60315!$A:$M,13,0)</f>
        <v>19</v>
      </c>
      <c r="H28" s="3" t="s">
        <v>10</v>
      </c>
      <c r="I28" s="3" t="s">
        <v>63</v>
      </c>
    </row>
    <row r="29" customHeight="1" spans="1:9">
      <c r="A29" s="4" t="s">
        <v>64</v>
      </c>
      <c r="B29" s="4">
        <f>VLOOKUP($A29,[1]中含分析60315!$A:$M,8,0)</f>
        <v>31</v>
      </c>
      <c r="C29" s="4">
        <f>VLOOKUP($A29,[1]中含分析60315!$A:$M,9,0)</f>
        <v>30</v>
      </c>
      <c r="D29" s="4">
        <f>VLOOKUP($A29,[1]中含分析60315!$A:$M,10,0)</f>
        <v>29</v>
      </c>
      <c r="E29" s="4">
        <f>VLOOKUP($A29,[1]中含分析60315!$A:$M,11,0)</f>
        <v>28</v>
      </c>
      <c r="F29" s="4">
        <f>VLOOKUP($A29,[1]中含分析60315!$A:$M,12,0)</f>
        <v>27</v>
      </c>
      <c r="G29" s="4">
        <f>VLOOKUP($A29,[1]中含分析60315!$A:$M,13,0)</f>
        <v>26</v>
      </c>
      <c r="H29" s="3" t="s">
        <v>10</v>
      </c>
      <c r="I29" s="3" t="s">
        <v>65</v>
      </c>
    </row>
    <row r="30" customHeight="1" spans="1:9">
      <c r="A30" s="4" t="s">
        <v>66</v>
      </c>
      <c r="B30" s="4">
        <f>VLOOKUP($A30,[1]中含分析60315!$A:$M,8,0)</f>
        <v>111</v>
      </c>
      <c r="C30" s="4">
        <f>VLOOKUP($A30,[1]中含分析60315!$A:$M,9,0)</f>
        <v>107</v>
      </c>
      <c r="D30" s="4">
        <f>VLOOKUP($A30,[1]中含分析60315!$A:$M,10,0)</f>
        <v>103</v>
      </c>
      <c r="E30" s="4">
        <f>VLOOKUP($A30,[1]中含分析60315!$A:$M,11,0)</f>
        <v>99</v>
      </c>
      <c r="F30" s="4">
        <f>VLOOKUP($A30,[1]中含分析60315!$A:$M,12,0)</f>
        <v>95</v>
      </c>
      <c r="G30" s="4">
        <f>VLOOKUP($A30,[1]中含分析60315!$A:$M,13,0)</f>
        <v>91</v>
      </c>
      <c r="H30" s="3" t="s">
        <v>10</v>
      </c>
      <c r="I30" s="3" t="s">
        <v>67</v>
      </c>
    </row>
    <row r="31" customHeight="1" spans="1:9">
      <c r="A31" s="4" t="s">
        <v>68</v>
      </c>
      <c r="B31" s="4">
        <f>VLOOKUP($A31,[1]中含分析60315!$A:$M,8,0)</f>
        <v>36</v>
      </c>
      <c r="C31" s="4">
        <f>VLOOKUP($A31,[1]中含分析60315!$A:$M,9,0)</f>
        <v>34</v>
      </c>
      <c r="D31" s="4">
        <f>VLOOKUP($A31,[1]中含分析60315!$A:$M,10,0)</f>
        <v>33</v>
      </c>
      <c r="E31" s="4">
        <f>VLOOKUP($A31,[1]中含分析60315!$A:$M,11,0)</f>
        <v>32</v>
      </c>
      <c r="F31" s="4">
        <f>VLOOKUP($A31,[1]中含分析60315!$A:$M,12,0)</f>
        <v>31</v>
      </c>
      <c r="G31" s="4">
        <f>VLOOKUP($A31,[1]中含分析60315!$A:$M,13,0)</f>
        <v>29</v>
      </c>
      <c r="H31" s="3" t="s">
        <v>10</v>
      </c>
      <c r="I31" s="3" t="s">
        <v>69</v>
      </c>
    </row>
    <row r="32" customHeight="1" spans="1:9">
      <c r="A32" s="4" t="s">
        <v>70</v>
      </c>
      <c r="B32" s="4">
        <f>VLOOKUP($A32,[1]中含分析60315!$A:$M,8,0)</f>
        <v>45</v>
      </c>
      <c r="C32" s="4">
        <f>VLOOKUP($A32,[1]中含分析60315!$A:$M,9,0)</f>
        <v>43</v>
      </c>
      <c r="D32" s="4">
        <f>VLOOKUP($A32,[1]中含分析60315!$A:$M,10,0)</f>
        <v>41</v>
      </c>
      <c r="E32" s="4">
        <f>VLOOKUP($A32,[1]中含分析60315!$A:$M,11,0)</f>
        <v>40</v>
      </c>
      <c r="F32" s="4">
        <f>VLOOKUP($A32,[1]中含分析60315!$A:$M,12,0)</f>
        <v>38</v>
      </c>
      <c r="G32" s="4">
        <f>VLOOKUP($A32,[1]中含分析60315!$A:$M,13,0)</f>
        <v>36</v>
      </c>
      <c r="H32" s="3" t="s">
        <v>10</v>
      </c>
      <c r="I32" s="3" t="s">
        <v>71</v>
      </c>
    </row>
    <row r="33" customHeight="1" spans="1:9">
      <c r="A33" s="4" t="s">
        <v>72</v>
      </c>
      <c r="B33" s="4">
        <f>VLOOKUP($A33,[1]中含分析60315!$A:$M,8,0)</f>
        <v>31</v>
      </c>
      <c r="C33" s="4">
        <f>VLOOKUP($A33,[1]中含分析60315!$A:$M,9,0)</f>
        <v>30</v>
      </c>
      <c r="D33" s="4">
        <f>VLOOKUP($A33,[1]中含分析60315!$A:$M,10,0)</f>
        <v>29</v>
      </c>
      <c r="E33" s="4">
        <f>VLOOKUP($A33,[1]中含分析60315!$A:$M,11,0)</f>
        <v>28</v>
      </c>
      <c r="F33" s="4">
        <f>VLOOKUP($A33,[1]中含分析60315!$A:$M,12,0)</f>
        <v>27</v>
      </c>
      <c r="G33" s="4">
        <f>VLOOKUP($A33,[1]中含分析60315!$A:$M,13,0)</f>
        <v>26</v>
      </c>
      <c r="H33" s="3" t="s">
        <v>10</v>
      </c>
      <c r="I33" s="3" t="s">
        <v>73</v>
      </c>
    </row>
    <row r="34" customHeight="1" spans="1:9">
      <c r="A34" s="4" t="s">
        <v>74</v>
      </c>
      <c r="B34" s="4">
        <f>VLOOKUP($A34,[1]中含分析60315!$A:$M,8,0)</f>
        <v>32</v>
      </c>
      <c r="C34" s="4">
        <f>VLOOKUP($A34,[1]中含分析60315!$A:$M,9,0)</f>
        <v>31</v>
      </c>
      <c r="D34" s="4">
        <f>VLOOKUP($A34,[1]中含分析60315!$A:$M,10,0)</f>
        <v>30</v>
      </c>
      <c r="E34" s="4">
        <f>VLOOKUP($A34,[1]中含分析60315!$A:$M,11,0)</f>
        <v>29</v>
      </c>
      <c r="F34" s="4">
        <f>VLOOKUP($A34,[1]中含分析60315!$A:$M,12,0)</f>
        <v>28</v>
      </c>
      <c r="G34" s="4">
        <f>VLOOKUP($A34,[1]中含分析60315!$A:$M,13,0)</f>
        <v>26</v>
      </c>
      <c r="H34" s="3" t="s">
        <v>10</v>
      </c>
      <c r="I34" s="3" t="s">
        <v>75</v>
      </c>
    </row>
    <row r="35" customHeight="1" spans="1:9">
      <c r="A35" s="4" t="s">
        <v>76</v>
      </c>
      <c r="B35" s="4">
        <f>VLOOKUP($A35,[1]中含分析60315!$A:$M,8,0)</f>
        <v>40</v>
      </c>
      <c r="C35" s="4">
        <f>VLOOKUP($A35,[1]中含分析60315!$A:$M,9,0)</f>
        <v>38</v>
      </c>
      <c r="D35" s="4">
        <f>VLOOKUP($A35,[1]中含分析60315!$A:$M,10,0)</f>
        <v>37</v>
      </c>
      <c r="E35" s="4">
        <f>VLOOKUP($A35,[1]中含分析60315!$A:$M,11,0)</f>
        <v>35</v>
      </c>
      <c r="F35" s="4">
        <f>VLOOKUP($A35,[1]中含分析60315!$A:$M,12,0)</f>
        <v>34</v>
      </c>
      <c r="G35" s="4">
        <f>VLOOKUP($A35,[1]中含分析60315!$A:$M,13,0)</f>
        <v>32</v>
      </c>
      <c r="H35" s="3" t="s">
        <v>10</v>
      </c>
      <c r="I35" s="3" t="s">
        <v>77</v>
      </c>
    </row>
    <row r="36" customHeight="1" spans="1:9">
      <c r="A36" s="4" t="s">
        <v>78</v>
      </c>
      <c r="B36" s="4">
        <f>VLOOKUP($A36,[1]中含分析60315!$A:$M,8,0)</f>
        <v>36</v>
      </c>
      <c r="C36" s="4">
        <f>VLOOKUP($A36,[1]中含分析60315!$A:$M,9,0)</f>
        <v>35</v>
      </c>
      <c r="D36" s="4">
        <f>VLOOKUP($A36,[1]中含分析60315!$A:$M,10,0)</f>
        <v>33</v>
      </c>
      <c r="E36" s="4">
        <f>VLOOKUP($A36,[1]中含分析60315!$A:$M,11,0)</f>
        <v>32</v>
      </c>
      <c r="F36" s="4">
        <f>VLOOKUP($A36,[1]中含分析60315!$A:$M,12,0)</f>
        <v>31</v>
      </c>
      <c r="G36" s="4">
        <f>VLOOKUP($A36,[1]中含分析60315!$A:$M,13,0)</f>
        <v>29</v>
      </c>
      <c r="H36" s="3" t="s">
        <v>10</v>
      </c>
      <c r="I36" s="3" t="s">
        <v>79</v>
      </c>
    </row>
    <row r="37" customHeight="1" spans="1:9">
      <c r="A37" s="4" t="s">
        <v>80</v>
      </c>
      <c r="B37" s="4">
        <f>VLOOKUP($A37,[1]中含分析60315!$A:$M,8,0)</f>
        <v>26</v>
      </c>
      <c r="C37" s="4">
        <f>VLOOKUP($A37,[1]中含分析60315!$A:$M,9,0)</f>
        <v>25</v>
      </c>
      <c r="D37" s="4">
        <f>VLOOKUP($A37,[1]中含分析60315!$A:$M,10,0)</f>
        <v>24</v>
      </c>
      <c r="E37" s="4">
        <f>VLOOKUP($A37,[1]中含分析60315!$A:$M,11,0)</f>
        <v>23</v>
      </c>
      <c r="F37" s="4">
        <f>VLOOKUP($A37,[1]中含分析60315!$A:$M,12,0)</f>
        <v>22</v>
      </c>
      <c r="G37" s="4">
        <f>VLOOKUP($A37,[1]中含分析60315!$A:$M,13,0)</f>
        <v>21</v>
      </c>
      <c r="H37" s="3" t="s">
        <v>10</v>
      </c>
      <c r="I37" s="3" t="s">
        <v>81</v>
      </c>
    </row>
    <row r="38" customHeight="1" spans="1:9">
      <c r="A38" s="4" t="s">
        <v>82</v>
      </c>
      <c r="B38" s="4">
        <f>VLOOKUP($A38,[1]中含分析60315!$A:$M,8,0)</f>
        <v>29</v>
      </c>
      <c r="C38" s="4">
        <f>VLOOKUP($A38,[1]中含分析60315!$A:$M,9,0)</f>
        <v>28</v>
      </c>
      <c r="D38" s="4">
        <f>VLOOKUP($A38,[1]中含分析60315!$A:$M,10,0)</f>
        <v>27</v>
      </c>
      <c r="E38" s="4">
        <f>VLOOKUP($A38,[1]中含分析60315!$A:$M,11,0)</f>
        <v>26</v>
      </c>
      <c r="F38" s="4">
        <f>VLOOKUP($A38,[1]中含分析60315!$A:$M,12,0)</f>
        <v>25</v>
      </c>
      <c r="G38" s="4">
        <f>VLOOKUP($A38,[1]中含分析60315!$A:$M,13,0)</f>
        <v>24</v>
      </c>
      <c r="H38" s="3" t="s">
        <v>10</v>
      </c>
      <c r="I38" s="3" t="s">
        <v>83</v>
      </c>
    </row>
    <row r="39" customHeight="1" spans="1:9">
      <c r="A39" s="4" t="s">
        <v>84</v>
      </c>
      <c r="B39" s="4">
        <f>VLOOKUP($A39,[1]中含分析60315!$A:$M,8,0)</f>
        <v>30</v>
      </c>
      <c r="C39" s="4">
        <f>VLOOKUP($A39,[1]中含分析60315!$A:$M,9,0)</f>
        <v>29</v>
      </c>
      <c r="D39" s="4">
        <f>VLOOKUP($A39,[1]中含分析60315!$A:$M,10,0)</f>
        <v>28</v>
      </c>
      <c r="E39" s="4">
        <f>VLOOKUP($A39,[1]中含分析60315!$A:$M,11,0)</f>
        <v>27</v>
      </c>
      <c r="F39" s="4">
        <f>VLOOKUP($A39,[1]中含分析60315!$A:$M,12,0)</f>
        <v>26</v>
      </c>
      <c r="G39" s="4">
        <f>VLOOKUP($A39,[1]中含分析60315!$A:$M,13,0)</f>
        <v>25</v>
      </c>
      <c r="H39" s="3" t="s">
        <v>10</v>
      </c>
      <c r="I39" s="3" t="s">
        <v>85</v>
      </c>
    </row>
    <row r="40" customHeight="1" spans="1:9">
      <c r="A40" s="4" t="s">
        <v>86</v>
      </c>
      <c r="B40" s="4">
        <f>VLOOKUP($A40,[1]中含分析60315!$A:$M,8,0)</f>
        <v>29</v>
      </c>
      <c r="C40" s="4">
        <f>VLOOKUP($A40,[1]中含分析60315!$A:$M,9,0)</f>
        <v>28</v>
      </c>
      <c r="D40" s="4">
        <f>VLOOKUP($A40,[1]中含分析60315!$A:$M,10,0)</f>
        <v>27</v>
      </c>
      <c r="E40" s="4">
        <f>VLOOKUP($A40,[1]中含分析60315!$A:$M,11,0)</f>
        <v>26</v>
      </c>
      <c r="F40" s="4">
        <f>VLOOKUP($A40,[1]中含分析60315!$A:$M,12,0)</f>
        <v>25</v>
      </c>
      <c r="G40" s="4">
        <f>VLOOKUP($A40,[1]中含分析60315!$A:$M,13,0)</f>
        <v>24</v>
      </c>
      <c r="H40" s="3" t="s">
        <v>10</v>
      </c>
      <c r="I40" s="3" t="s">
        <v>87</v>
      </c>
    </row>
    <row r="41" customHeight="1" spans="1:9">
      <c r="A41" s="4" t="s">
        <v>88</v>
      </c>
      <c r="B41" s="4">
        <f>VLOOKUP($A41,[1]中含分析60315!$A:$M,8,0)</f>
        <v>43</v>
      </c>
      <c r="C41" s="4">
        <f>VLOOKUP($A41,[1]中含分析60315!$A:$M,9,0)</f>
        <v>42</v>
      </c>
      <c r="D41" s="4">
        <f>VLOOKUP($A41,[1]中含分析60315!$A:$M,10,0)</f>
        <v>40</v>
      </c>
      <c r="E41" s="4">
        <f>VLOOKUP($A41,[1]中含分析60315!$A:$M,11,0)</f>
        <v>39</v>
      </c>
      <c r="F41" s="4">
        <f>VLOOKUP($A41,[1]中含分析60315!$A:$M,12,0)</f>
        <v>37</v>
      </c>
      <c r="G41" s="4">
        <f>VLOOKUP($A41,[1]中含分析60315!$A:$M,13,0)</f>
        <v>36</v>
      </c>
      <c r="H41" s="3" t="s">
        <v>10</v>
      </c>
      <c r="I41" s="3" t="s">
        <v>89</v>
      </c>
    </row>
    <row r="42" customHeight="1" spans="1:9">
      <c r="A42" s="4" t="s">
        <v>90</v>
      </c>
      <c r="B42" s="4">
        <f>VLOOKUP($A42,[1]中含分析60315!$A:$M,8,0)</f>
        <v>35</v>
      </c>
      <c r="C42" s="4">
        <f>VLOOKUP($A42,[1]中含分析60315!$A:$M,9,0)</f>
        <v>33</v>
      </c>
      <c r="D42" s="4">
        <f>VLOOKUP($A42,[1]中含分析60315!$A:$M,10,0)</f>
        <v>32</v>
      </c>
      <c r="E42" s="4">
        <f>VLOOKUP($A42,[1]中含分析60315!$A:$M,11,0)</f>
        <v>31</v>
      </c>
      <c r="F42" s="4">
        <f>VLOOKUP($A42,[1]中含分析60315!$A:$M,12,0)</f>
        <v>30</v>
      </c>
      <c r="G42" s="4">
        <f>VLOOKUP($A42,[1]中含分析60315!$A:$M,13,0)</f>
        <v>28</v>
      </c>
      <c r="H42" s="3" t="s">
        <v>10</v>
      </c>
      <c r="I42" s="3" t="s">
        <v>91</v>
      </c>
    </row>
    <row r="43" customHeight="1" spans="1:9">
      <c r="A43" s="4" t="s">
        <v>92</v>
      </c>
      <c r="B43" s="4">
        <f>VLOOKUP($A43,[1]中含分析60315!$A:$M,8,0)</f>
        <v>38</v>
      </c>
      <c r="C43" s="4">
        <f>VLOOKUP($A43,[1]中含分析60315!$A:$M,9,0)</f>
        <v>37</v>
      </c>
      <c r="D43" s="4">
        <f>VLOOKUP($A43,[1]中含分析60315!$A:$M,10,0)</f>
        <v>35</v>
      </c>
      <c r="E43" s="4">
        <f>VLOOKUP($A43,[1]中含分析60315!$A:$M,11,0)</f>
        <v>34</v>
      </c>
      <c r="F43" s="4">
        <f>VLOOKUP($A43,[1]中含分析60315!$A:$M,12,0)</f>
        <v>33</v>
      </c>
      <c r="G43" s="4">
        <f>VLOOKUP($A43,[1]中含分析60315!$A:$M,13,0)</f>
        <v>31</v>
      </c>
      <c r="H43" s="3" t="s">
        <v>10</v>
      </c>
      <c r="I43" s="3" t="s">
        <v>93</v>
      </c>
    </row>
    <row r="44" customHeight="1" spans="1:9">
      <c r="A44" s="4" t="s">
        <v>94</v>
      </c>
      <c r="B44" s="4">
        <f>VLOOKUP($A44,[1]中含分析60315!$A:$M,8,0)</f>
        <v>33</v>
      </c>
      <c r="C44" s="4">
        <f>VLOOKUP($A44,[1]中含分析60315!$A:$M,9,0)</f>
        <v>31</v>
      </c>
      <c r="D44" s="4">
        <f>VLOOKUP($A44,[1]中含分析60315!$A:$M,10,0)</f>
        <v>30</v>
      </c>
      <c r="E44" s="4">
        <f>VLOOKUP($A44,[1]中含分析60315!$A:$M,11,0)</f>
        <v>29</v>
      </c>
      <c r="F44" s="4">
        <f>VLOOKUP($A44,[1]中含分析60315!$A:$M,12,0)</f>
        <v>28</v>
      </c>
      <c r="G44" s="4">
        <f>VLOOKUP($A44,[1]中含分析60315!$A:$M,13,0)</f>
        <v>27</v>
      </c>
      <c r="H44" s="3" t="s">
        <v>10</v>
      </c>
      <c r="I44" s="3" t="s">
        <v>95</v>
      </c>
    </row>
    <row r="45" customHeight="1" spans="1:9">
      <c r="A45" s="4" t="s">
        <v>96</v>
      </c>
      <c r="B45" s="4">
        <f>VLOOKUP($A45,[1]中含分析60315!$A:$M,8,0)</f>
        <v>44</v>
      </c>
      <c r="C45" s="4">
        <f>VLOOKUP($A45,[1]中含分析60315!$A:$M,9,0)</f>
        <v>43</v>
      </c>
      <c r="D45" s="4">
        <f>VLOOKUP($A45,[1]中含分析60315!$A:$M,10,0)</f>
        <v>41</v>
      </c>
      <c r="E45" s="4">
        <f>VLOOKUP($A45,[1]中含分析60315!$A:$M,11,0)</f>
        <v>40</v>
      </c>
      <c r="F45" s="4">
        <f>VLOOKUP($A45,[1]中含分析60315!$A:$M,12,0)</f>
        <v>38</v>
      </c>
      <c r="G45" s="4">
        <f>VLOOKUP($A45,[1]中含分析60315!$A:$M,13,0)</f>
        <v>36</v>
      </c>
      <c r="H45" s="3" t="s">
        <v>10</v>
      </c>
      <c r="I45" s="3" t="s">
        <v>97</v>
      </c>
    </row>
    <row r="46" customHeight="1" spans="1:9">
      <c r="A46" s="4" t="s">
        <v>98</v>
      </c>
      <c r="B46" s="4">
        <f>VLOOKUP($A46,[1]中含分析60315!$A:$M,8,0)</f>
        <v>43</v>
      </c>
      <c r="C46" s="4">
        <f>VLOOKUP($A46,[1]中含分析60315!$A:$M,9,0)</f>
        <v>41</v>
      </c>
      <c r="D46" s="4">
        <f>VLOOKUP($A46,[1]中含分析60315!$A:$M,10,0)</f>
        <v>39</v>
      </c>
      <c r="E46" s="4">
        <f>VLOOKUP($A46,[1]中含分析60315!$A:$M,11,0)</f>
        <v>38</v>
      </c>
      <c r="F46" s="4">
        <f>VLOOKUP($A46,[1]中含分析60315!$A:$M,12,0)</f>
        <v>36</v>
      </c>
      <c r="G46" s="4">
        <f>VLOOKUP($A46,[1]中含分析60315!$A:$M,13,0)</f>
        <v>35</v>
      </c>
      <c r="H46" s="3" t="s">
        <v>10</v>
      </c>
      <c r="I46" s="3" t="s">
        <v>99</v>
      </c>
    </row>
    <row r="47" customHeight="1" spans="1:9">
      <c r="A47" s="4" t="s">
        <v>100</v>
      </c>
      <c r="B47" s="4">
        <f>VLOOKUP($A47,[1]中含分析60315!$A:$M,8,0)</f>
        <v>98</v>
      </c>
      <c r="C47" s="4">
        <f>VLOOKUP($A47,[1]中含分析60315!$A:$M,9,0)</f>
        <v>96</v>
      </c>
      <c r="D47" s="4">
        <f>VLOOKUP($A47,[1]中含分析60315!$A:$M,10,0)</f>
        <v>95</v>
      </c>
      <c r="E47" s="4">
        <f>VLOOKUP($A47,[1]中含分析60315!$A:$M,11,0)</f>
        <v>93</v>
      </c>
      <c r="F47" s="4">
        <f>VLOOKUP($A47,[1]中含分析60315!$A:$M,12,0)</f>
        <v>92</v>
      </c>
      <c r="G47" s="4">
        <f>VLOOKUP($A47,[1]中含分析60315!$A:$M,13,0)</f>
        <v>91</v>
      </c>
      <c r="H47" s="3" t="s">
        <v>39</v>
      </c>
      <c r="I47" s="3" t="s">
        <v>101</v>
      </c>
    </row>
    <row r="48" customHeight="1" spans="1:9">
      <c r="A48" s="4" t="s">
        <v>102</v>
      </c>
      <c r="B48" s="4">
        <f>VLOOKUP($A48,[1]中含分析60315!$A:$M,8,0)</f>
        <v>44</v>
      </c>
      <c r="C48" s="4">
        <f>VLOOKUP($A48,[1]中含分析60315!$A:$M,9,0)</f>
        <v>42</v>
      </c>
      <c r="D48" s="4">
        <f>VLOOKUP($A48,[1]中含分析60315!$A:$M,10,0)</f>
        <v>40</v>
      </c>
      <c r="E48" s="4">
        <f>VLOOKUP($A48,[1]中含分析60315!$A:$M,11,0)</f>
        <v>39</v>
      </c>
      <c r="F48" s="4">
        <f>VLOOKUP($A48,[1]中含分析60315!$A:$M,12,0)</f>
        <v>37</v>
      </c>
      <c r="G48" s="4">
        <f>VLOOKUP($A48,[1]中含分析60315!$A:$M,13,0)</f>
        <v>36</v>
      </c>
      <c r="H48" s="3" t="s">
        <v>10</v>
      </c>
      <c r="I48" s="3" t="s">
        <v>103</v>
      </c>
    </row>
    <row r="49" customHeight="1" spans="1:9">
      <c r="A49" s="4" t="s">
        <v>104</v>
      </c>
      <c r="B49" s="4">
        <f>VLOOKUP($A49,[1]中含分析60315!$A:$M,8,0)</f>
        <v>49</v>
      </c>
      <c r="C49" s="4">
        <f>VLOOKUP($A49,[1]中含分析60315!$A:$M,9,0)</f>
        <v>47</v>
      </c>
      <c r="D49" s="4">
        <f>VLOOKUP($A49,[1]中含分析60315!$A:$M,10,0)</f>
        <v>45</v>
      </c>
      <c r="E49" s="4">
        <f>VLOOKUP($A49,[1]中含分析60315!$A:$M,11,0)</f>
        <v>43</v>
      </c>
      <c r="F49" s="4">
        <f>VLOOKUP($A49,[1]中含分析60315!$A:$M,12,0)</f>
        <v>42</v>
      </c>
      <c r="G49" s="4">
        <f>VLOOKUP($A49,[1]中含分析60315!$A:$M,13,0)</f>
        <v>40</v>
      </c>
      <c r="H49" s="3" t="s">
        <v>10</v>
      </c>
      <c r="I49" s="3" t="s">
        <v>105</v>
      </c>
    </row>
    <row r="50" customHeight="1" spans="1:9">
      <c r="A50" s="4" t="s">
        <v>106</v>
      </c>
      <c r="B50" s="4">
        <f>VLOOKUP($A50,[1]中含分析60315!$A:$M,8,0)</f>
        <v>41</v>
      </c>
      <c r="C50" s="4">
        <f>VLOOKUP($A50,[1]中含分析60315!$A:$M,9,0)</f>
        <v>40</v>
      </c>
      <c r="D50" s="4">
        <f>VLOOKUP($A50,[1]中含分析60315!$A:$M,10,0)</f>
        <v>39</v>
      </c>
      <c r="E50" s="4">
        <f>VLOOKUP($A50,[1]中含分析60315!$A:$M,11,0)</f>
        <v>39</v>
      </c>
      <c r="F50" s="4">
        <f>VLOOKUP($A50,[1]中含分析60315!$A:$M,12,0)</f>
        <v>38</v>
      </c>
      <c r="G50" s="4">
        <f>VLOOKUP($A50,[1]中含分析60315!$A:$M,13,0)</f>
        <v>38</v>
      </c>
      <c r="H50" s="3" t="s">
        <v>39</v>
      </c>
      <c r="I50" s="3" t="s">
        <v>107</v>
      </c>
    </row>
    <row r="51" customHeight="1" spans="1:9">
      <c r="A51" s="4" t="s">
        <v>108</v>
      </c>
      <c r="B51" s="4">
        <f>VLOOKUP($A51,[1]中含分析60315!$A:$M,8,0)</f>
        <v>35</v>
      </c>
      <c r="C51" s="4">
        <f>VLOOKUP($A51,[1]中含分析60315!$A:$M,9,0)</f>
        <v>34</v>
      </c>
      <c r="D51" s="4">
        <f>VLOOKUP($A51,[1]中含分析60315!$A:$M,10,0)</f>
        <v>33</v>
      </c>
      <c r="E51" s="4">
        <f>VLOOKUP($A51,[1]中含分析60315!$A:$M,11,0)</f>
        <v>31</v>
      </c>
      <c r="F51" s="4">
        <f>VLOOKUP($A51,[1]中含分析60315!$A:$M,12,0)</f>
        <v>30</v>
      </c>
      <c r="G51" s="4">
        <f>VLOOKUP($A51,[1]中含分析60315!$A:$M,13,0)</f>
        <v>29</v>
      </c>
      <c r="H51" s="3" t="s">
        <v>10</v>
      </c>
      <c r="I51" s="3" t="s">
        <v>109</v>
      </c>
    </row>
    <row r="52" customHeight="1" spans="1:9">
      <c r="A52" s="4" t="s">
        <v>110</v>
      </c>
      <c r="B52" s="4">
        <f>VLOOKUP($A52,[1]中含分析60315!$A:$M,8,0)</f>
        <v>32</v>
      </c>
      <c r="C52" s="4">
        <f>VLOOKUP($A52,[1]中含分析60315!$A:$M,9,0)</f>
        <v>31</v>
      </c>
      <c r="D52" s="4">
        <f>VLOOKUP($A52,[1]中含分析60315!$A:$M,10,0)</f>
        <v>29</v>
      </c>
      <c r="E52" s="4">
        <f>VLOOKUP($A52,[1]中含分析60315!$A:$M,11,0)</f>
        <v>28</v>
      </c>
      <c r="F52" s="4">
        <f>VLOOKUP($A52,[1]中含分析60315!$A:$M,12,0)</f>
        <v>27</v>
      </c>
      <c r="G52" s="4">
        <f>VLOOKUP($A52,[1]中含分析60315!$A:$M,13,0)</f>
        <v>26</v>
      </c>
      <c r="H52" s="3" t="s">
        <v>10</v>
      </c>
      <c r="I52" s="3" t="s">
        <v>111</v>
      </c>
    </row>
    <row r="53" customHeight="1" spans="1:9">
      <c r="A53" s="4" t="s">
        <v>112</v>
      </c>
      <c r="B53" s="4">
        <f>VLOOKUP($A53,[1]中含分析60315!$A:$M,8,0)</f>
        <v>25</v>
      </c>
      <c r="C53" s="4">
        <f>VLOOKUP($A53,[1]中含分析60315!$A:$M,9,0)</f>
        <v>24</v>
      </c>
      <c r="D53" s="4">
        <f>VLOOKUP($A53,[1]中含分析60315!$A:$M,10,0)</f>
        <v>23</v>
      </c>
      <c r="E53" s="4">
        <f>VLOOKUP($A53,[1]中含分析60315!$A:$M,11,0)</f>
        <v>22</v>
      </c>
      <c r="F53" s="4">
        <f>VLOOKUP($A53,[1]中含分析60315!$A:$M,12,0)</f>
        <v>21</v>
      </c>
      <c r="G53" s="4">
        <f>VLOOKUP($A53,[1]中含分析60315!$A:$M,13,0)</f>
        <v>20</v>
      </c>
      <c r="H53" s="3" t="s">
        <v>10</v>
      </c>
      <c r="I53" s="3" t="s">
        <v>113</v>
      </c>
    </row>
    <row r="54" customHeight="1" spans="1:9">
      <c r="A54" s="4" t="s">
        <v>114</v>
      </c>
      <c r="B54" s="4">
        <f>VLOOKUP($A54,[1]中含分析60315!$A:$M,8,0)</f>
        <v>25</v>
      </c>
      <c r="C54" s="4">
        <f>VLOOKUP($A54,[1]中含分析60315!$A:$M,9,0)</f>
        <v>24</v>
      </c>
      <c r="D54" s="4">
        <f>VLOOKUP($A54,[1]中含分析60315!$A:$M,10,0)</f>
        <v>23</v>
      </c>
      <c r="E54" s="4">
        <f>VLOOKUP($A54,[1]中含分析60315!$A:$M,11,0)</f>
        <v>22</v>
      </c>
      <c r="F54" s="4">
        <f>VLOOKUP($A54,[1]中含分析60315!$A:$M,12,0)</f>
        <v>21</v>
      </c>
      <c r="G54" s="4">
        <f>VLOOKUP($A54,[1]中含分析60315!$A:$M,13,0)</f>
        <v>21</v>
      </c>
      <c r="H54" s="3" t="s">
        <v>10</v>
      </c>
      <c r="I54" s="3" t="s">
        <v>115</v>
      </c>
    </row>
    <row r="55" customHeight="1" spans="1:9">
      <c r="A55" s="4" t="s">
        <v>116</v>
      </c>
      <c r="B55" s="4">
        <f>VLOOKUP($A55,[1]中含分析60315!$A:$M,8,0)</f>
        <v>35</v>
      </c>
      <c r="C55" s="4">
        <f>VLOOKUP($A55,[1]中含分析60315!$A:$M,9,0)</f>
        <v>34</v>
      </c>
      <c r="D55" s="4">
        <f>VLOOKUP($A55,[1]中含分析60315!$A:$M,10,0)</f>
        <v>33</v>
      </c>
      <c r="E55" s="4">
        <f>VLOOKUP($A55,[1]中含分析60315!$A:$M,11,0)</f>
        <v>31</v>
      </c>
      <c r="F55" s="4">
        <f>VLOOKUP($A55,[1]中含分析60315!$A:$M,12,0)</f>
        <v>30</v>
      </c>
      <c r="G55" s="4">
        <f>VLOOKUP($A55,[1]中含分析60315!$A:$M,13,0)</f>
        <v>29</v>
      </c>
      <c r="H55" s="3" t="s">
        <v>10</v>
      </c>
      <c r="I55" s="3" t="s">
        <v>117</v>
      </c>
    </row>
    <row r="56" customHeight="1" spans="1:9">
      <c r="A56" s="4" t="s">
        <v>118</v>
      </c>
      <c r="B56" s="4">
        <f>VLOOKUP($A56,[1]中含分析60315!$A:$M,8,0)</f>
        <v>45</v>
      </c>
      <c r="C56" s="4">
        <f>VLOOKUP($A56,[1]中含分析60315!$A:$M,9,0)</f>
        <v>43</v>
      </c>
      <c r="D56" s="4">
        <f>VLOOKUP($A56,[1]中含分析60315!$A:$M,10,0)</f>
        <v>42</v>
      </c>
      <c r="E56" s="4">
        <f>VLOOKUP($A56,[1]中含分析60315!$A:$M,11,0)</f>
        <v>40</v>
      </c>
      <c r="F56" s="4">
        <f>VLOOKUP($A56,[1]中含分析60315!$A:$M,12,0)</f>
        <v>38</v>
      </c>
      <c r="G56" s="4">
        <f>VLOOKUP($A56,[1]中含分析60315!$A:$M,13,0)</f>
        <v>37</v>
      </c>
      <c r="H56" s="3" t="s">
        <v>10</v>
      </c>
      <c r="I56" s="3" t="s">
        <v>119</v>
      </c>
    </row>
    <row r="57" customHeight="1" spans="1:9">
      <c r="A57" s="4" t="s">
        <v>120</v>
      </c>
      <c r="B57" s="4">
        <f>VLOOKUP($A57,[1]中含分析60315!$A:$M,8,0)</f>
        <v>40</v>
      </c>
      <c r="C57" s="4">
        <f>VLOOKUP($A57,[1]中含分析60315!$A:$M,9,0)</f>
        <v>38</v>
      </c>
      <c r="D57" s="4">
        <f>VLOOKUP($A57,[1]中含分析60315!$A:$M,10,0)</f>
        <v>37</v>
      </c>
      <c r="E57" s="4">
        <f>VLOOKUP($A57,[1]中含分析60315!$A:$M,11,0)</f>
        <v>35</v>
      </c>
      <c r="F57" s="4">
        <f>VLOOKUP($A57,[1]中含分析60315!$A:$M,12,0)</f>
        <v>34</v>
      </c>
      <c r="G57" s="4">
        <f>VLOOKUP($A57,[1]中含分析60315!$A:$M,13,0)</f>
        <v>32</v>
      </c>
      <c r="H57" s="3" t="s">
        <v>10</v>
      </c>
      <c r="I57" s="3" t="s">
        <v>121</v>
      </c>
    </row>
    <row r="58" customHeight="1" spans="1:9">
      <c r="A58" s="4" t="s">
        <v>122</v>
      </c>
      <c r="B58" s="4">
        <f>VLOOKUP($A58,[1]中含分析60315!$A:$M,8,0)</f>
        <v>33</v>
      </c>
      <c r="C58" s="4">
        <f>VLOOKUP($A58,[1]中含分析60315!$A:$M,9,0)</f>
        <v>32</v>
      </c>
      <c r="D58" s="4">
        <f>VLOOKUP($A58,[1]中含分析60315!$A:$M,10,0)</f>
        <v>31</v>
      </c>
      <c r="E58" s="4">
        <f>VLOOKUP($A58,[1]中含分析60315!$A:$M,11,0)</f>
        <v>29</v>
      </c>
      <c r="F58" s="4">
        <f>VLOOKUP($A58,[1]中含分析60315!$A:$M,12,0)</f>
        <v>28</v>
      </c>
      <c r="G58" s="4">
        <f>VLOOKUP($A58,[1]中含分析60315!$A:$M,13,0)</f>
        <v>27</v>
      </c>
      <c r="H58" s="3" t="s">
        <v>10</v>
      </c>
      <c r="I58" s="3" t="s">
        <v>123</v>
      </c>
    </row>
    <row r="59" customHeight="1" spans="1:9">
      <c r="A59" s="4" t="s">
        <v>124</v>
      </c>
      <c r="B59" s="4">
        <f>VLOOKUP($A59,[1]中含分析60315!$A:$M,8,0)</f>
        <v>39</v>
      </c>
      <c r="C59" s="4">
        <f>VLOOKUP($A59,[1]中含分析60315!$A:$M,9,0)</f>
        <v>38</v>
      </c>
      <c r="D59" s="4">
        <f>VLOOKUP($A59,[1]中含分析60315!$A:$M,10,0)</f>
        <v>37</v>
      </c>
      <c r="E59" s="4">
        <f>VLOOKUP($A59,[1]中含分析60315!$A:$M,11,0)</f>
        <v>35</v>
      </c>
      <c r="F59" s="4">
        <f>VLOOKUP($A59,[1]中含分析60315!$A:$M,12,0)</f>
        <v>34</v>
      </c>
      <c r="G59" s="4">
        <f>VLOOKUP($A59,[1]中含分析60315!$A:$M,13,0)</f>
        <v>32</v>
      </c>
      <c r="H59" s="3" t="s">
        <v>10</v>
      </c>
      <c r="I59" s="3" t="s">
        <v>125</v>
      </c>
    </row>
    <row r="60" customHeight="1" spans="1:9">
      <c r="A60" s="4" t="s">
        <v>126</v>
      </c>
      <c r="B60" s="4">
        <f>VLOOKUP($A60,[1]中含分析60315!$A:$M,8,0)</f>
        <v>46</v>
      </c>
      <c r="C60" s="4">
        <f>VLOOKUP($A60,[1]中含分析60315!$A:$M,9,0)</f>
        <v>45</v>
      </c>
      <c r="D60" s="4">
        <f>VLOOKUP($A60,[1]中含分析60315!$A:$M,10,0)</f>
        <v>43</v>
      </c>
      <c r="E60" s="4">
        <f>VLOOKUP($A60,[1]中含分析60315!$A:$M,11,0)</f>
        <v>41</v>
      </c>
      <c r="F60" s="4">
        <f>VLOOKUP($A60,[1]中含分析60315!$A:$M,12,0)</f>
        <v>40</v>
      </c>
      <c r="G60" s="4">
        <f>VLOOKUP($A60,[1]中含分析60315!$A:$M,13,0)</f>
        <v>38</v>
      </c>
      <c r="H60" s="3" t="s">
        <v>10</v>
      </c>
      <c r="I60" s="3" t="s">
        <v>127</v>
      </c>
    </row>
    <row r="61" customHeight="1" spans="1:9">
      <c r="A61" s="4" t="s">
        <v>128</v>
      </c>
      <c r="B61" s="4">
        <f>VLOOKUP($A61,[1]中含分析60315!$A:$M,8,0)</f>
        <v>40</v>
      </c>
      <c r="C61" s="4">
        <f>VLOOKUP($A61,[1]中含分析60315!$A:$M,9,0)</f>
        <v>38</v>
      </c>
      <c r="D61" s="4">
        <f>VLOOKUP($A61,[1]中含分析60315!$A:$M,10,0)</f>
        <v>37</v>
      </c>
      <c r="E61" s="4">
        <f>VLOOKUP($A61,[1]中含分析60315!$A:$M,11,0)</f>
        <v>35</v>
      </c>
      <c r="F61" s="4">
        <f>VLOOKUP($A61,[1]中含分析60315!$A:$M,12,0)</f>
        <v>34</v>
      </c>
      <c r="G61" s="4">
        <f>VLOOKUP($A61,[1]中含分析60315!$A:$M,13,0)</f>
        <v>32</v>
      </c>
      <c r="H61" s="3" t="s">
        <v>10</v>
      </c>
      <c r="I61" s="3" t="s">
        <v>129</v>
      </c>
    </row>
    <row r="62" customHeight="1" spans="1:9">
      <c r="A62" s="4" t="s">
        <v>130</v>
      </c>
      <c r="B62" s="4">
        <f>VLOOKUP($A62,[1]中含分析60315!$A:$M,8,0)</f>
        <v>49</v>
      </c>
      <c r="C62" s="4">
        <f>VLOOKUP($A62,[1]中含分析60315!$A:$M,9,0)</f>
        <v>47</v>
      </c>
      <c r="D62" s="4">
        <f>VLOOKUP($A62,[1]中含分析60315!$A:$M,10,0)</f>
        <v>46</v>
      </c>
      <c r="E62" s="4">
        <f>VLOOKUP($A62,[1]中含分析60315!$A:$M,11,0)</f>
        <v>44</v>
      </c>
      <c r="F62" s="4">
        <f>VLOOKUP($A62,[1]中含分析60315!$A:$M,12,0)</f>
        <v>42</v>
      </c>
      <c r="G62" s="4">
        <f>VLOOKUP($A62,[1]中含分析60315!$A:$M,13,0)</f>
        <v>40</v>
      </c>
      <c r="H62" s="3" t="s">
        <v>10</v>
      </c>
      <c r="I62" s="3" t="s">
        <v>131</v>
      </c>
    </row>
    <row r="63" customHeight="1" spans="1:9">
      <c r="A63" s="4" t="s">
        <v>132</v>
      </c>
      <c r="B63" s="4">
        <f>VLOOKUP($A63,[1]中含分析60315!$A:$M,8,0)</f>
        <v>44</v>
      </c>
      <c r="C63" s="4">
        <f>VLOOKUP($A63,[1]中含分析60315!$A:$M,9,0)</f>
        <v>42</v>
      </c>
      <c r="D63" s="4">
        <f>VLOOKUP($A63,[1]中含分析60315!$A:$M,10,0)</f>
        <v>40</v>
      </c>
      <c r="E63" s="4">
        <f>VLOOKUP($A63,[1]中含分析60315!$A:$M,11,0)</f>
        <v>39</v>
      </c>
      <c r="F63" s="4">
        <f>VLOOKUP($A63,[1]中含分析60315!$A:$M,12,0)</f>
        <v>37</v>
      </c>
      <c r="G63" s="4">
        <f>VLOOKUP($A63,[1]中含分析60315!$A:$M,13,0)</f>
        <v>36</v>
      </c>
      <c r="H63" s="3" t="s">
        <v>10</v>
      </c>
      <c r="I63" s="3" t="s">
        <v>133</v>
      </c>
    </row>
    <row r="64" customHeight="1" spans="1:9">
      <c r="A64" s="4" t="s">
        <v>134</v>
      </c>
      <c r="B64" s="4">
        <f>VLOOKUP($A64,[1]中含分析60315!$A:$M,8,0)</f>
        <v>34</v>
      </c>
      <c r="C64" s="4">
        <f>VLOOKUP($A64,[1]中含分析60315!$A:$M,9,0)</f>
        <v>33</v>
      </c>
      <c r="D64" s="4">
        <f>VLOOKUP($A64,[1]中含分析60315!$A:$M,10,0)</f>
        <v>32</v>
      </c>
      <c r="E64" s="4">
        <f>VLOOKUP($A64,[1]中含分析60315!$A:$M,11,0)</f>
        <v>31</v>
      </c>
      <c r="F64" s="4">
        <f>VLOOKUP($A64,[1]中含分析60315!$A:$M,12,0)</f>
        <v>29</v>
      </c>
      <c r="G64" s="4">
        <f>VLOOKUP($A64,[1]中含分析60315!$A:$M,13,0)</f>
        <v>28</v>
      </c>
      <c r="H64" s="3" t="s">
        <v>10</v>
      </c>
      <c r="I64" s="3" t="s">
        <v>135</v>
      </c>
    </row>
    <row r="65" customHeight="1" spans="1:9">
      <c r="A65" s="4" t="s">
        <v>136</v>
      </c>
      <c r="B65" s="4">
        <f>VLOOKUP($A65,[1]中含分析60315!$A:$M,8,0)</f>
        <v>27</v>
      </c>
      <c r="C65" s="4">
        <f>VLOOKUP($A65,[1]中含分析60315!$A:$M,9,0)</f>
        <v>26</v>
      </c>
      <c r="D65" s="4">
        <f>VLOOKUP($A65,[1]中含分析60315!$A:$M,10,0)</f>
        <v>25</v>
      </c>
      <c r="E65" s="4">
        <f>VLOOKUP($A65,[1]中含分析60315!$A:$M,11,0)</f>
        <v>24</v>
      </c>
      <c r="F65" s="4">
        <f>VLOOKUP($A65,[1]中含分析60315!$A:$M,12,0)</f>
        <v>23</v>
      </c>
      <c r="G65" s="4">
        <f>VLOOKUP($A65,[1]中含分析60315!$A:$M,13,0)</f>
        <v>22</v>
      </c>
      <c r="H65" s="3" t="s">
        <v>10</v>
      </c>
      <c r="I65" s="3" t="s">
        <v>137</v>
      </c>
    </row>
    <row r="66" customHeight="1" spans="1:9">
      <c r="A66" s="4" t="s">
        <v>138</v>
      </c>
      <c r="B66" s="4">
        <f>VLOOKUP($A66,[1]中含分析60315!$A:$M,8,0)</f>
        <v>34</v>
      </c>
      <c r="C66" s="4">
        <f>VLOOKUP($A66,[1]中含分析60315!$A:$M,9,0)</f>
        <v>33</v>
      </c>
      <c r="D66" s="4">
        <f>VLOOKUP($A66,[1]中含分析60315!$A:$M,10,0)</f>
        <v>32</v>
      </c>
      <c r="E66" s="4">
        <f>VLOOKUP($A66,[1]中含分析60315!$A:$M,11,0)</f>
        <v>30</v>
      </c>
      <c r="F66" s="4">
        <f>VLOOKUP($A66,[1]中含分析60315!$A:$M,12,0)</f>
        <v>29</v>
      </c>
      <c r="G66" s="4">
        <f>VLOOKUP($A66,[1]中含分析60315!$A:$M,13,0)</f>
        <v>28</v>
      </c>
      <c r="H66" s="3" t="s">
        <v>10</v>
      </c>
      <c r="I66" s="3" t="s">
        <v>139</v>
      </c>
    </row>
    <row r="67" customHeight="1" spans="1:9">
      <c r="A67" s="4" t="s">
        <v>140</v>
      </c>
      <c r="B67" s="4">
        <f>VLOOKUP($A67,[1]中含分析60315!$A:$M,8,0)</f>
        <v>38</v>
      </c>
      <c r="C67" s="4">
        <f>VLOOKUP($A67,[1]中含分析60315!$A:$M,9,0)</f>
        <v>37</v>
      </c>
      <c r="D67" s="4">
        <f>VLOOKUP($A67,[1]中含分析60315!$A:$M,10,0)</f>
        <v>35</v>
      </c>
      <c r="E67" s="4">
        <f>VLOOKUP($A67,[1]中含分析60315!$A:$M,11,0)</f>
        <v>34</v>
      </c>
      <c r="F67" s="4">
        <f>VLOOKUP($A67,[1]中含分析60315!$A:$M,12,0)</f>
        <v>33</v>
      </c>
      <c r="G67" s="4">
        <f>VLOOKUP($A67,[1]中含分析60315!$A:$M,13,0)</f>
        <v>31</v>
      </c>
      <c r="H67" s="3" t="s">
        <v>10</v>
      </c>
      <c r="I67" s="3" t="s">
        <v>141</v>
      </c>
    </row>
    <row r="68" customHeight="1" spans="1:9">
      <c r="A68" s="4" t="s">
        <v>142</v>
      </c>
      <c r="B68" s="4">
        <f>VLOOKUP($A68,[1]中含分析60315!$A:$M,8,0)</f>
        <v>46</v>
      </c>
      <c r="C68" s="4">
        <f>VLOOKUP($A68,[1]中含分析60315!$A:$M,9,0)</f>
        <v>45</v>
      </c>
      <c r="D68" s="4">
        <f>VLOOKUP($A68,[1]中含分析60315!$A:$M,10,0)</f>
        <v>43</v>
      </c>
      <c r="E68" s="4">
        <f>VLOOKUP($A68,[1]中含分析60315!$A:$M,11,0)</f>
        <v>41</v>
      </c>
      <c r="F68" s="4">
        <f>VLOOKUP($A68,[1]中含分析60315!$A:$M,12,0)</f>
        <v>39</v>
      </c>
      <c r="G68" s="4">
        <f>VLOOKUP($A68,[1]中含分析60315!$A:$M,13,0)</f>
        <v>38</v>
      </c>
      <c r="H68" s="3" t="s">
        <v>10</v>
      </c>
      <c r="I68" s="3" t="s">
        <v>143</v>
      </c>
    </row>
    <row r="69" customHeight="1" spans="1:9">
      <c r="A69" s="4" t="s">
        <v>144</v>
      </c>
      <c r="B69" s="4">
        <f>VLOOKUP($A69,[1]中含分析60315!$A:$M,8,0)</f>
        <v>30</v>
      </c>
      <c r="C69" s="4">
        <f>VLOOKUP($A69,[1]中含分析60315!$A:$M,9,0)</f>
        <v>29</v>
      </c>
      <c r="D69" s="4">
        <f>VLOOKUP($A69,[1]中含分析60315!$A:$M,10,0)</f>
        <v>28</v>
      </c>
      <c r="E69" s="4">
        <f>VLOOKUP($A69,[1]中含分析60315!$A:$M,11,0)</f>
        <v>27</v>
      </c>
      <c r="F69" s="4">
        <f>VLOOKUP($A69,[1]中含分析60315!$A:$M,12,0)</f>
        <v>26</v>
      </c>
      <c r="G69" s="4">
        <f>VLOOKUP($A69,[1]中含分析60315!$A:$M,13,0)</f>
        <v>25</v>
      </c>
      <c r="H69" s="3" t="s">
        <v>10</v>
      </c>
      <c r="I69" s="3" t="s">
        <v>145</v>
      </c>
    </row>
    <row r="70" customHeight="1" spans="1:9">
      <c r="A70" s="4" t="s">
        <v>146</v>
      </c>
      <c r="B70" s="4">
        <f>VLOOKUP($A70,[1]中含分析60315!$A:$M,8,0)</f>
        <v>39</v>
      </c>
      <c r="C70" s="4">
        <f>VLOOKUP($A70,[1]中含分析60315!$A:$M,9,0)</f>
        <v>37</v>
      </c>
      <c r="D70" s="4">
        <f>VLOOKUP($A70,[1]中含分析60315!$A:$M,10,0)</f>
        <v>36</v>
      </c>
      <c r="E70" s="4">
        <f>VLOOKUP($A70,[1]中含分析60315!$A:$M,11,0)</f>
        <v>35</v>
      </c>
      <c r="F70" s="4">
        <f>VLOOKUP($A70,[1]中含分析60315!$A:$M,12,0)</f>
        <v>33</v>
      </c>
      <c r="G70" s="4">
        <f>VLOOKUP($A70,[1]中含分析60315!$A:$M,13,0)</f>
        <v>32</v>
      </c>
      <c r="H70" s="3" t="s">
        <v>10</v>
      </c>
      <c r="I70" s="3" t="s">
        <v>147</v>
      </c>
    </row>
    <row r="71" customHeight="1" spans="1:9">
      <c r="A71" s="4" t="s">
        <v>148</v>
      </c>
      <c r="B71" s="4">
        <f>VLOOKUP($A71,[1]中含分析60315!$A:$M,8,0)</f>
        <v>29</v>
      </c>
      <c r="C71" s="4">
        <f>VLOOKUP($A71,[1]中含分析60315!$A:$M,9,0)</f>
        <v>28</v>
      </c>
      <c r="D71" s="4">
        <f>VLOOKUP($A71,[1]中含分析60315!$A:$M,10,0)</f>
        <v>27</v>
      </c>
      <c r="E71" s="4">
        <f>VLOOKUP($A71,[1]中含分析60315!$A:$M,11,0)</f>
        <v>26</v>
      </c>
      <c r="F71" s="4">
        <f>VLOOKUP($A71,[1]中含分析60315!$A:$M,12,0)</f>
        <v>25</v>
      </c>
      <c r="G71" s="4">
        <f>VLOOKUP($A71,[1]中含分析60315!$A:$M,13,0)</f>
        <v>24</v>
      </c>
      <c r="H71" s="3" t="s">
        <v>10</v>
      </c>
      <c r="I71" s="3" t="s">
        <v>149</v>
      </c>
    </row>
    <row r="72" customHeight="1" spans="1:9">
      <c r="A72" s="4" t="s">
        <v>150</v>
      </c>
      <c r="B72" s="4">
        <f>VLOOKUP($A72,[1]中含分析60315!$A:$M,8,0)</f>
        <v>52</v>
      </c>
      <c r="C72" s="4">
        <f>VLOOKUP($A72,[1]中含分析60315!$A:$M,9,0)</f>
        <v>50</v>
      </c>
      <c r="D72" s="4">
        <f>VLOOKUP($A72,[1]中含分析60315!$A:$M,10,0)</f>
        <v>48</v>
      </c>
      <c r="E72" s="4">
        <f>VLOOKUP($A72,[1]中含分析60315!$A:$M,11,0)</f>
        <v>46</v>
      </c>
      <c r="F72" s="4">
        <f>VLOOKUP($A72,[1]中含分析60315!$A:$M,12,0)</f>
        <v>44</v>
      </c>
      <c r="G72" s="4">
        <f>VLOOKUP($A72,[1]中含分析60315!$A:$M,13,0)</f>
        <v>42</v>
      </c>
      <c r="H72" s="3" t="s">
        <v>10</v>
      </c>
      <c r="I72" s="3" t="s">
        <v>151</v>
      </c>
    </row>
    <row r="73" customHeight="1" spans="1:9">
      <c r="A73" s="4" t="s">
        <v>152</v>
      </c>
      <c r="B73" s="4">
        <f>VLOOKUP($A73,[1]中含分析60315!$A:$M,8,0)</f>
        <v>37</v>
      </c>
      <c r="C73" s="4">
        <f>VLOOKUP($A73,[1]中含分析60315!$A:$M,9,0)</f>
        <v>36</v>
      </c>
      <c r="D73" s="4">
        <f>VLOOKUP($A73,[1]中含分析60315!$A:$M,10,0)</f>
        <v>35</v>
      </c>
      <c r="E73" s="4">
        <f>VLOOKUP($A73,[1]中含分析60315!$A:$M,11,0)</f>
        <v>33</v>
      </c>
      <c r="F73" s="4">
        <f>VLOOKUP($A73,[1]中含分析60315!$A:$M,12,0)</f>
        <v>32</v>
      </c>
      <c r="G73" s="4">
        <f>VLOOKUP($A73,[1]中含分析60315!$A:$M,13,0)</f>
        <v>31</v>
      </c>
      <c r="H73" s="3" t="s">
        <v>10</v>
      </c>
      <c r="I73" s="3" t="s">
        <v>153</v>
      </c>
    </row>
    <row r="74" customHeight="1" spans="1:9">
      <c r="A74" s="4" t="s">
        <v>154</v>
      </c>
      <c r="B74" s="4">
        <f>VLOOKUP($A74,[1]中含分析60315!$A:$M,8,0)</f>
        <v>33</v>
      </c>
      <c r="C74" s="4">
        <f>VLOOKUP($A74,[1]中含分析60315!$A:$M,9,0)</f>
        <v>32</v>
      </c>
      <c r="D74" s="4">
        <f>VLOOKUP($A74,[1]中含分析60315!$A:$M,10,0)</f>
        <v>31</v>
      </c>
      <c r="E74" s="4">
        <f>VLOOKUP($A74,[1]中含分析60315!$A:$M,11,0)</f>
        <v>29</v>
      </c>
      <c r="F74" s="4">
        <f>VLOOKUP($A74,[1]中含分析60315!$A:$M,12,0)</f>
        <v>28</v>
      </c>
      <c r="G74" s="4">
        <f>VLOOKUP($A74,[1]中含分析60315!$A:$M,13,0)</f>
        <v>27</v>
      </c>
      <c r="H74" s="3" t="s">
        <v>10</v>
      </c>
      <c r="I74" s="3" t="s">
        <v>155</v>
      </c>
    </row>
    <row r="75" customHeight="1" spans="1:9">
      <c r="A75" s="4" t="s">
        <v>156</v>
      </c>
      <c r="B75" s="4">
        <f>VLOOKUP($A75,[1]中含分析60315!$A:$M,8,0)</f>
        <v>53</v>
      </c>
      <c r="C75" s="4">
        <f>VLOOKUP($A75,[1]中含分析60315!$A:$M,9,0)</f>
        <v>51</v>
      </c>
      <c r="D75" s="4">
        <f>VLOOKUP($A75,[1]中含分析60315!$A:$M,10,0)</f>
        <v>49</v>
      </c>
      <c r="E75" s="4">
        <f>VLOOKUP($A75,[1]中含分析60315!$A:$M,11,0)</f>
        <v>47</v>
      </c>
      <c r="F75" s="4">
        <f>VLOOKUP($A75,[1]中含分析60315!$A:$M,12,0)</f>
        <v>45</v>
      </c>
      <c r="G75" s="4">
        <f>VLOOKUP($A75,[1]中含分析60315!$A:$M,13,0)</f>
        <v>43</v>
      </c>
      <c r="H75" s="3" t="s">
        <v>10</v>
      </c>
      <c r="I75" s="3" t="s">
        <v>157</v>
      </c>
    </row>
    <row r="76" customHeight="1" spans="1:9">
      <c r="A76" s="4" t="s">
        <v>158</v>
      </c>
      <c r="B76" s="4">
        <f>VLOOKUP($A76,[1]中含分析60315!$A:$M,8,0)</f>
        <v>38</v>
      </c>
      <c r="C76" s="4">
        <f>VLOOKUP($A76,[1]中含分析60315!$A:$M,9,0)</f>
        <v>36</v>
      </c>
      <c r="D76" s="4">
        <f>VLOOKUP($A76,[1]中含分析60315!$A:$M,10,0)</f>
        <v>35</v>
      </c>
      <c r="E76" s="4">
        <f>VLOOKUP($A76,[1]中含分析60315!$A:$M,11,0)</f>
        <v>34</v>
      </c>
      <c r="F76" s="4">
        <f>VLOOKUP($A76,[1]中含分析60315!$A:$M,12,0)</f>
        <v>32</v>
      </c>
      <c r="G76" s="4">
        <f>VLOOKUP($A76,[1]中含分析60315!$A:$M,13,0)</f>
        <v>31</v>
      </c>
      <c r="H76" s="3" t="s">
        <v>10</v>
      </c>
      <c r="I76" s="3" t="s">
        <v>159</v>
      </c>
    </row>
    <row r="77" customHeight="1" spans="1:9">
      <c r="A77" s="4" t="s">
        <v>160</v>
      </c>
      <c r="B77" s="4">
        <f>VLOOKUP($A77,[1]中含分析60315!$A:$M,8,0)</f>
        <v>28</v>
      </c>
      <c r="C77" s="4">
        <f>VLOOKUP($A77,[1]中含分析60315!$A:$M,9,0)</f>
        <v>27</v>
      </c>
      <c r="D77" s="4">
        <f>VLOOKUP($A77,[1]中含分析60315!$A:$M,10,0)</f>
        <v>26</v>
      </c>
      <c r="E77" s="4">
        <f>VLOOKUP($A77,[1]中含分析60315!$A:$M,11,0)</f>
        <v>25</v>
      </c>
      <c r="F77" s="4">
        <f>VLOOKUP($A77,[1]中含分析60315!$A:$M,12,0)</f>
        <v>24</v>
      </c>
      <c r="G77" s="4">
        <f>VLOOKUP($A77,[1]中含分析60315!$A:$M,13,0)</f>
        <v>23</v>
      </c>
      <c r="H77" s="3" t="s">
        <v>10</v>
      </c>
      <c r="I77" s="3" t="s">
        <v>161</v>
      </c>
    </row>
    <row r="78" customHeight="1" spans="1:9">
      <c r="A78" s="4" t="s">
        <v>162</v>
      </c>
      <c r="B78" s="4">
        <f>VLOOKUP($A78,[1]中含分析60315!$A:$M,8,0)</f>
        <v>31</v>
      </c>
      <c r="C78" s="4">
        <f>VLOOKUP($A78,[1]中含分析60315!$A:$M,9,0)</f>
        <v>30</v>
      </c>
      <c r="D78" s="4">
        <f>VLOOKUP($A78,[1]中含分析60315!$A:$M,10,0)</f>
        <v>29</v>
      </c>
      <c r="E78" s="4">
        <f>VLOOKUP($A78,[1]中含分析60315!$A:$M,11,0)</f>
        <v>28</v>
      </c>
      <c r="F78" s="4">
        <f>VLOOKUP($A78,[1]中含分析60315!$A:$M,12,0)</f>
        <v>27</v>
      </c>
      <c r="G78" s="4">
        <f>VLOOKUP($A78,[1]中含分析60315!$A:$M,13,0)</f>
        <v>26</v>
      </c>
      <c r="H78" s="3" t="s">
        <v>10</v>
      </c>
      <c r="I78" s="3" t="s">
        <v>163</v>
      </c>
    </row>
    <row r="79" customHeight="1" spans="1:9">
      <c r="A79" s="4" t="s">
        <v>164</v>
      </c>
      <c r="B79" s="4">
        <f>VLOOKUP($A79,[1]中含分析60315!$A:$M,8,0)</f>
        <v>146</v>
      </c>
      <c r="C79" s="4">
        <f>VLOOKUP($A79,[1]中含分析60315!$A:$M,9,0)</f>
        <v>140</v>
      </c>
      <c r="D79" s="4">
        <f>VLOOKUP($A79,[1]中含分析60315!$A:$M,10,0)</f>
        <v>135</v>
      </c>
      <c r="E79" s="4">
        <f>VLOOKUP($A79,[1]中含分析60315!$A:$M,11,0)</f>
        <v>129</v>
      </c>
      <c r="F79" s="4">
        <f>VLOOKUP($A79,[1]中含分析60315!$A:$M,12,0)</f>
        <v>124</v>
      </c>
      <c r="G79" s="4">
        <f>VLOOKUP($A79,[1]中含分析60315!$A:$M,13,0)</f>
        <v>119</v>
      </c>
      <c r="H79" s="3" t="s">
        <v>10</v>
      </c>
      <c r="I79" s="3" t="s">
        <v>165</v>
      </c>
    </row>
    <row r="80" customHeight="1" spans="1:9">
      <c r="A80" s="4" t="s">
        <v>166</v>
      </c>
      <c r="B80" s="4">
        <f>VLOOKUP($A80,[1]中含分析60315!$A:$M,8,0)</f>
        <v>32</v>
      </c>
      <c r="C80" s="4">
        <f>VLOOKUP($A80,[1]中含分析60315!$A:$M,9,0)</f>
        <v>31</v>
      </c>
      <c r="D80" s="4">
        <f>VLOOKUP($A80,[1]中含分析60315!$A:$M,10,0)</f>
        <v>29</v>
      </c>
      <c r="E80" s="4">
        <f>VLOOKUP($A80,[1]中含分析60315!$A:$M,11,0)</f>
        <v>28</v>
      </c>
      <c r="F80" s="4">
        <f>VLOOKUP($A80,[1]中含分析60315!$A:$M,12,0)</f>
        <v>27</v>
      </c>
      <c r="G80" s="4">
        <f>VLOOKUP($A80,[1]中含分析60315!$A:$M,13,0)</f>
        <v>26</v>
      </c>
      <c r="H80" s="3" t="s">
        <v>10</v>
      </c>
      <c r="I80" s="3" t="s">
        <v>167</v>
      </c>
    </row>
    <row r="81" customHeight="1" spans="1:9">
      <c r="A81" s="4" t="s">
        <v>168</v>
      </c>
      <c r="B81" s="4">
        <f>VLOOKUP($A81,[1]中含分析60315!$A:$M,8,0)</f>
        <v>39</v>
      </c>
      <c r="C81" s="4">
        <f>VLOOKUP($A81,[1]中含分析60315!$A:$M,9,0)</f>
        <v>37</v>
      </c>
      <c r="D81" s="4">
        <f>VLOOKUP($A81,[1]中含分析60315!$A:$M,10,0)</f>
        <v>36</v>
      </c>
      <c r="E81" s="4">
        <f>VLOOKUP($A81,[1]中含分析60315!$A:$M,11,0)</f>
        <v>34</v>
      </c>
      <c r="F81" s="4">
        <f>VLOOKUP($A81,[1]中含分析60315!$A:$M,12,0)</f>
        <v>33</v>
      </c>
      <c r="G81" s="4">
        <f>VLOOKUP($A81,[1]中含分析60315!$A:$M,13,0)</f>
        <v>32</v>
      </c>
      <c r="H81" s="3" t="s">
        <v>10</v>
      </c>
      <c r="I81" s="3" t="s">
        <v>169</v>
      </c>
    </row>
    <row r="82" customHeight="1" spans="1:9">
      <c r="A82" s="4" t="s">
        <v>170</v>
      </c>
      <c r="B82" s="4">
        <f>VLOOKUP($A82,[1]中含分析60315!$A:$M,8,0)</f>
        <v>49</v>
      </c>
      <c r="C82" s="4">
        <f>VLOOKUP($A82,[1]中含分析60315!$A:$M,9,0)</f>
        <v>48</v>
      </c>
      <c r="D82" s="4">
        <f>VLOOKUP($A82,[1]中含分析60315!$A:$M,10,0)</f>
        <v>47</v>
      </c>
      <c r="E82" s="4">
        <f>VLOOKUP($A82,[1]中含分析60315!$A:$M,11,0)</f>
        <v>46</v>
      </c>
      <c r="F82" s="4">
        <f>VLOOKUP($A82,[1]中含分析60315!$A:$M,12,0)</f>
        <v>46</v>
      </c>
      <c r="G82" s="4">
        <f>VLOOKUP($A82,[1]中含分析60315!$A:$M,13,0)</f>
        <v>45</v>
      </c>
      <c r="H82" s="3" t="s">
        <v>39</v>
      </c>
      <c r="I82" s="3" t="s">
        <v>171</v>
      </c>
    </row>
    <row r="83" customHeight="1" spans="1:9">
      <c r="A83" s="4" t="s">
        <v>172</v>
      </c>
      <c r="B83" s="4">
        <f>VLOOKUP($A83,[1]中含分析60315!$A:$M,8,0)</f>
        <v>43</v>
      </c>
      <c r="C83" s="4">
        <f>VLOOKUP($A83,[1]中含分析60315!$A:$M,9,0)</f>
        <v>42</v>
      </c>
      <c r="D83" s="4">
        <f>VLOOKUP($A83,[1]中含分析60315!$A:$M,10,0)</f>
        <v>40</v>
      </c>
      <c r="E83" s="4">
        <f>VLOOKUP($A83,[1]中含分析60315!$A:$M,11,0)</f>
        <v>38</v>
      </c>
      <c r="F83" s="4">
        <f>VLOOKUP($A83,[1]中含分析60315!$A:$M,12,0)</f>
        <v>37</v>
      </c>
      <c r="G83" s="4">
        <f>VLOOKUP($A83,[1]中含分析60315!$A:$M,13,0)</f>
        <v>35</v>
      </c>
      <c r="H83" s="3" t="s">
        <v>10</v>
      </c>
      <c r="I83" s="3" t="s">
        <v>173</v>
      </c>
    </row>
    <row r="84" customHeight="1" spans="1:9">
      <c r="A84" s="4" t="s">
        <v>174</v>
      </c>
      <c r="B84" s="4">
        <f>VLOOKUP($A84,[1]中含分析60315!$A:$M,8,0)</f>
        <v>36</v>
      </c>
      <c r="C84" s="4">
        <f>VLOOKUP($A84,[1]中含分析60315!$A:$M,9,0)</f>
        <v>35</v>
      </c>
      <c r="D84" s="4">
        <f>VLOOKUP($A84,[1]中含分析60315!$A:$M,10,0)</f>
        <v>33</v>
      </c>
      <c r="E84" s="4">
        <f>VLOOKUP($A84,[1]中含分析60315!$A:$M,11,0)</f>
        <v>32</v>
      </c>
      <c r="F84" s="4">
        <f>VLOOKUP($A84,[1]中含分析60315!$A:$M,12,0)</f>
        <v>31</v>
      </c>
      <c r="G84" s="4">
        <f>VLOOKUP($A84,[1]中含分析60315!$A:$M,13,0)</f>
        <v>29</v>
      </c>
      <c r="H84" s="3" t="s">
        <v>10</v>
      </c>
      <c r="I84" s="3" t="s">
        <v>175</v>
      </c>
    </row>
    <row r="85" customHeight="1" spans="1:9">
      <c r="A85" s="4" t="s">
        <v>176</v>
      </c>
      <c r="B85" s="4">
        <f>VLOOKUP($A85,[1]中含分析60315!$A:$M,8,0)</f>
        <v>49</v>
      </c>
      <c r="C85" s="4">
        <f>VLOOKUP($A85,[1]中含分析60315!$A:$M,9,0)</f>
        <v>48</v>
      </c>
      <c r="D85" s="4">
        <f>VLOOKUP($A85,[1]中含分析60315!$A:$M,10,0)</f>
        <v>47</v>
      </c>
      <c r="E85" s="4">
        <f>VLOOKUP($A85,[1]中含分析60315!$A:$M,11,0)</f>
        <v>46</v>
      </c>
      <c r="F85" s="4">
        <f>VLOOKUP($A85,[1]中含分析60315!$A:$M,12,0)</f>
        <v>46</v>
      </c>
      <c r="G85" s="4">
        <f>VLOOKUP($A85,[1]中含分析60315!$A:$M,13,0)</f>
        <v>45</v>
      </c>
      <c r="H85" s="3" t="s">
        <v>39</v>
      </c>
      <c r="I85" s="3" t="s">
        <v>177</v>
      </c>
    </row>
    <row r="86" customHeight="1" spans="1:9">
      <c r="A86" s="4" t="s">
        <v>178</v>
      </c>
      <c r="B86" s="4">
        <f>VLOOKUP($A86,[1]中含分析60315!$A:$M,8,0)</f>
        <v>35</v>
      </c>
      <c r="C86" s="4">
        <f>VLOOKUP($A86,[1]中含分析60315!$A:$M,9,0)</f>
        <v>34</v>
      </c>
      <c r="D86" s="4">
        <f>VLOOKUP($A86,[1]中含分析60315!$A:$M,10,0)</f>
        <v>33</v>
      </c>
      <c r="E86" s="4">
        <f>VLOOKUP($A86,[1]中含分析60315!$A:$M,11,0)</f>
        <v>31</v>
      </c>
      <c r="F86" s="4">
        <f>VLOOKUP($A86,[1]中含分析60315!$A:$M,12,0)</f>
        <v>30</v>
      </c>
      <c r="G86" s="4">
        <f>VLOOKUP($A86,[1]中含分析60315!$A:$M,13,0)</f>
        <v>29</v>
      </c>
      <c r="H86" s="3" t="s">
        <v>10</v>
      </c>
      <c r="I86" s="3" t="s">
        <v>179</v>
      </c>
    </row>
    <row r="87" customHeight="1" spans="1:9">
      <c r="A87" s="4" t="s">
        <v>180</v>
      </c>
      <c r="B87" s="4">
        <f>VLOOKUP($A87,[1]中含分析60315!$A:$M,8,0)</f>
        <v>33</v>
      </c>
      <c r="C87" s="4">
        <f>VLOOKUP($A87,[1]中含分析60315!$A:$M,9,0)</f>
        <v>32</v>
      </c>
      <c r="D87" s="4">
        <f>VLOOKUP($A87,[1]中含分析60315!$A:$M,10,0)</f>
        <v>31</v>
      </c>
      <c r="E87" s="4">
        <f>VLOOKUP($A87,[1]中含分析60315!$A:$M,11,0)</f>
        <v>29</v>
      </c>
      <c r="F87" s="4">
        <f>VLOOKUP($A87,[1]中含分析60315!$A:$M,12,0)</f>
        <v>28</v>
      </c>
      <c r="G87" s="4">
        <f>VLOOKUP($A87,[1]中含分析60315!$A:$M,13,0)</f>
        <v>27</v>
      </c>
      <c r="H87" s="3" t="s">
        <v>10</v>
      </c>
      <c r="I87" s="3" t="s">
        <v>181</v>
      </c>
    </row>
    <row r="88" customHeight="1" spans="1:9">
      <c r="A88" s="4" t="s">
        <v>182</v>
      </c>
      <c r="B88" s="4">
        <f>VLOOKUP($A88,[1]中含分析60315!$A:$M,8,0)</f>
        <v>43</v>
      </c>
      <c r="C88" s="4">
        <f>VLOOKUP($A88,[1]中含分析60315!$A:$M,9,0)</f>
        <v>42</v>
      </c>
      <c r="D88" s="4">
        <f>VLOOKUP($A88,[1]中含分析60315!$A:$M,10,0)</f>
        <v>40</v>
      </c>
      <c r="E88" s="4">
        <f>VLOOKUP($A88,[1]中含分析60315!$A:$M,11,0)</f>
        <v>38</v>
      </c>
      <c r="F88" s="4">
        <f>VLOOKUP($A88,[1]中含分析60315!$A:$M,12,0)</f>
        <v>37</v>
      </c>
      <c r="G88" s="4">
        <f>VLOOKUP($A88,[1]中含分析60315!$A:$M,13,0)</f>
        <v>35</v>
      </c>
      <c r="H88" s="3" t="s">
        <v>10</v>
      </c>
      <c r="I88" s="3" t="s">
        <v>183</v>
      </c>
    </row>
    <row r="89" customHeight="1" spans="1:9">
      <c r="A89" s="4" t="s">
        <v>184</v>
      </c>
      <c r="B89" s="4">
        <f>VLOOKUP($A89,[1]中含分析60315!$A:$M,8,0)</f>
        <v>44</v>
      </c>
      <c r="C89" s="4">
        <f>VLOOKUP($A89,[1]中含分析60315!$A:$M,9,0)</f>
        <v>42</v>
      </c>
      <c r="D89" s="4">
        <f>VLOOKUP($A89,[1]中含分析60315!$A:$M,10,0)</f>
        <v>40</v>
      </c>
      <c r="E89" s="4">
        <f>VLOOKUP($A89,[1]中含分析60315!$A:$M,11,0)</f>
        <v>39</v>
      </c>
      <c r="F89" s="4">
        <f>VLOOKUP($A89,[1]中含分析60315!$A:$M,12,0)</f>
        <v>37</v>
      </c>
      <c r="G89" s="4">
        <f>VLOOKUP($A89,[1]中含分析60315!$A:$M,13,0)</f>
        <v>36</v>
      </c>
      <c r="H89" s="3" t="s">
        <v>10</v>
      </c>
      <c r="I89" s="3" t="s">
        <v>185</v>
      </c>
    </row>
    <row r="90" customHeight="1" spans="1:9">
      <c r="A90" s="4" t="s">
        <v>186</v>
      </c>
      <c r="B90" s="4">
        <f>VLOOKUP($A90,[1]中含分析60315!$A:$M,8,0)</f>
        <v>39</v>
      </c>
      <c r="C90" s="4">
        <f>VLOOKUP($A90,[1]中含分析60315!$A:$M,9,0)</f>
        <v>38</v>
      </c>
      <c r="D90" s="4">
        <f>VLOOKUP($A90,[1]中含分析60315!$A:$M,10,0)</f>
        <v>36</v>
      </c>
      <c r="E90" s="4">
        <f>VLOOKUP($A90,[1]中含分析60315!$A:$M,11,0)</f>
        <v>35</v>
      </c>
      <c r="F90" s="4">
        <f>VLOOKUP($A90,[1]中含分析60315!$A:$M,12,0)</f>
        <v>33</v>
      </c>
      <c r="G90" s="4">
        <f>VLOOKUP($A90,[1]中含分析60315!$A:$M,13,0)</f>
        <v>32</v>
      </c>
      <c r="H90" s="3" t="s">
        <v>10</v>
      </c>
      <c r="I90" s="3" t="s">
        <v>187</v>
      </c>
    </row>
    <row r="91" customHeight="1" spans="1:9">
      <c r="A91" s="4" t="s">
        <v>188</v>
      </c>
      <c r="B91" s="4">
        <f>VLOOKUP($A91,[1]中含分析60315!$A:$M,8,0)</f>
        <v>34</v>
      </c>
      <c r="C91" s="4">
        <f>VLOOKUP($A91,[1]中含分析60315!$A:$M,9,0)</f>
        <v>33</v>
      </c>
      <c r="D91" s="4">
        <f>VLOOKUP($A91,[1]中含分析60315!$A:$M,10,0)</f>
        <v>32</v>
      </c>
      <c r="E91" s="4">
        <f>VLOOKUP($A91,[1]中含分析60315!$A:$M,11,0)</f>
        <v>30</v>
      </c>
      <c r="F91" s="4">
        <f>VLOOKUP($A91,[1]中含分析60315!$A:$M,12,0)</f>
        <v>29</v>
      </c>
      <c r="G91" s="4">
        <f>VLOOKUP($A91,[1]中含分析60315!$A:$M,13,0)</f>
        <v>28</v>
      </c>
      <c r="H91" s="3" t="s">
        <v>10</v>
      </c>
      <c r="I91" s="3" t="s">
        <v>189</v>
      </c>
    </row>
    <row r="92" customHeight="1" spans="1:9">
      <c r="A92" s="4" t="s">
        <v>190</v>
      </c>
      <c r="B92" s="4">
        <f>VLOOKUP($A92,[1]中含分析60315!$A:$M,8,0)</f>
        <v>49</v>
      </c>
      <c r="C92" s="4">
        <f>VLOOKUP($A92,[1]中含分析60315!$A:$M,9,0)</f>
        <v>47</v>
      </c>
      <c r="D92" s="4">
        <f>VLOOKUP($A92,[1]中含分析60315!$A:$M,10,0)</f>
        <v>46</v>
      </c>
      <c r="E92" s="4">
        <f>VLOOKUP($A92,[1]中含分析60315!$A:$M,11,0)</f>
        <v>44</v>
      </c>
      <c r="F92" s="4">
        <f>VLOOKUP($A92,[1]中含分析60315!$A:$M,12,0)</f>
        <v>42</v>
      </c>
      <c r="G92" s="4">
        <f>VLOOKUP($A92,[1]中含分析60315!$A:$M,13,0)</f>
        <v>40</v>
      </c>
      <c r="H92" s="3" t="s">
        <v>10</v>
      </c>
      <c r="I92" s="3" t="s">
        <v>191</v>
      </c>
    </row>
    <row r="93" customHeight="1" spans="1:9">
      <c r="A93" s="4" t="s">
        <v>192</v>
      </c>
      <c r="B93" s="4">
        <f>VLOOKUP($A93,[1]中含分析60315!$A:$M,8,0)</f>
        <v>40</v>
      </c>
      <c r="C93" s="4">
        <f>VLOOKUP($A93,[1]中含分析60315!$A:$M,9,0)</f>
        <v>39</v>
      </c>
      <c r="D93" s="4">
        <f>VLOOKUP($A93,[1]中含分析60315!$A:$M,10,0)</f>
        <v>37</v>
      </c>
      <c r="E93" s="4">
        <f>VLOOKUP($A93,[1]中含分析60315!$A:$M,11,0)</f>
        <v>36</v>
      </c>
      <c r="F93" s="4">
        <f>VLOOKUP($A93,[1]中含分析60315!$A:$M,12,0)</f>
        <v>34</v>
      </c>
      <c r="G93" s="4">
        <f>VLOOKUP($A93,[1]中含分析60315!$A:$M,13,0)</f>
        <v>33</v>
      </c>
      <c r="H93" s="3" t="s">
        <v>10</v>
      </c>
      <c r="I93" s="3" t="s">
        <v>193</v>
      </c>
    </row>
    <row r="94" customHeight="1" spans="1:9">
      <c r="A94" s="4" t="s">
        <v>194</v>
      </c>
      <c r="B94" s="4">
        <f>VLOOKUP($A94,[1]中含分析60315!$A:$M,8,0)</f>
        <v>34</v>
      </c>
      <c r="C94" s="4">
        <f>VLOOKUP($A94,[1]中含分析60315!$A:$M,9,0)</f>
        <v>32</v>
      </c>
      <c r="D94" s="4">
        <f>VLOOKUP($A94,[1]中含分析60315!$A:$M,10,0)</f>
        <v>31</v>
      </c>
      <c r="E94" s="4">
        <f>VLOOKUP($A94,[1]中含分析60315!$A:$M,11,0)</f>
        <v>30</v>
      </c>
      <c r="F94" s="4">
        <f>VLOOKUP($A94,[1]中含分析60315!$A:$M,12,0)</f>
        <v>29</v>
      </c>
      <c r="G94" s="4">
        <f>VLOOKUP($A94,[1]中含分析60315!$A:$M,13,0)</f>
        <v>27</v>
      </c>
      <c r="H94" s="3" t="s">
        <v>10</v>
      </c>
      <c r="I94" s="3" t="s">
        <v>195</v>
      </c>
    </row>
    <row r="95" customHeight="1" spans="1:9">
      <c r="A95" s="4" t="s">
        <v>196</v>
      </c>
      <c r="B95" s="4">
        <f>VLOOKUP($A95,[1]中含分析60315!$A:$M,8,0)</f>
        <v>39</v>
      </c>
      <c r="C95" s="4">
        <f>VLOOKUP($A95,[1]中含分析60315!$A:$M,9,0)</f>
        <v>38</v>
      </c>
      <c r="D95" s="4">
        <f>VLOOKUP($A95,[1]中含分析60315!$A:$M,10,0)</f>
        <v>37</v>
      </c>
      <c r="E95" s="4">
        <f>VLOOKUP($A95,[1]中含分析60315!$A:$M,11,0)</f>
        <v>35</v>
      </c>
      <c r="F95" s="4">
        <f>VLOOKUP($A95,[1]中含分析60315!$A:$M,12,0)</f>
        <v>34</v>
      </c>
      <c r="G95" s="4">
        <f>VLOOKUP($A95,[1]中含分析60315!$A:$M,13,0)</f>
        <v>32</v>
      </c>
      <c r="H95" s="3" t="s">
        <v>10</v>
      </c>
      <c r="I95" s="3" t="s">
        <v>197</v>
      </c>
    </row>
    <row r="96" customHeight="1" spans="1:9">
      <c r="A96" s="4" t="s">
        <v>198</v>
      </c>
      <c r="B96" s="4">
        <f>VLOOKUP($A96,[1]中含分析60315!$A:$M,8,0)</f>
        <v>36</v>
      </c>
      <c r="C96" s="4">
        <f>VLOOKUP($A96,[1]中含分析60315!$A:$M,9,0)</f>
        <v>35</v>
      </c>
      <c r="D96" s="4">
        <f>VLOOKUP($A96,[1]中含分析60315!$A:$M,10,0)</f>
        <v>33</v>
      </c>
      <c r="E96" s="4">
        <f>VLOOKUP($A96,[1]中含分析60315!$A:$M,11,0)</f>
        <v>32</v>
      </c>
      <c r="F96" s="4">
        <f>VLOOKUP($A96,[1]中含分析60315!$A:$M,12,0)</f>
        <v>31</v>
      </c>
      <c r="G96" s="4">
        <f>VLOOKUP($A96,[1]中含分析60315!$A:$M,13,0)</f>
        <v>29</v>
      </c>
      <c r="H96" s="3" t="s">
        <v>10</v>
      </c>
      <c r="I96" s="3" t="s">
        <v>199</v>
      </c>
    </row>
    <row r="97" customHeight="1" spans="1:9">
      <c r="A97" s="4" t="s">
        <v>200</v>
      </c>
      <c r="B97" s="4">
        <f>VLOOKUP($A97,[1]中含分析60315!$A:$M,8,0)</f>
        <v>43</v>
      </c>
      <c r="C97" s="4">
        <f>VLOOKUP($A97,[1]中含分析60315!$A:$M,9,0)</f>
        <v>41</v>
      </c>
      <c r="D97" s="4">
        <f>VLOOKUP($A97,[1]中含分析60315!$A:$M,10,0)</f>
        <v>40</v>
      </c>
      <c r="E97" s="4">
        <f>VLOOKUP($A97,[1]中含分析60315!$A:$M,11,0)</f>
        <v>38</v>
      </c>
      <c r="F97" s="4">
        <f>VLOOKUP($A97,[1]中含分析60315!$A:$M,12,0)</f>
        <v>37</v>
      </c>
      <c r="G97" s="4">
        <f>VLOOKUP($A97,[1]中含分析60315!$A:$M,13,0)</f>
        <v>35</v>
      </c>
      <c r="H97" s="3" t="s">
        <v>10</v>
      </c>
      <c r="I97" s="3" t="s">
        <v>201</v>
      </c>
    </row>
    <row r="98" customHeight="1" spans="1:9">
      <c r="A98" s="4" t="s">
        <v>202</v>
      </c>
      <c r="B98" s="4">
        <f>VLOOKUP($A98,[1]中含分析60315!$A:$M,8,0)</f>
        <v>46</v>
      </c>
      <c r="C98" s="4">
        <f>VLOOKUP($A98,[1]中含分析60315!$A:$M,9,0)</f>
        <v>44</v>
      </c>
      <c r="D98" s="4">
        <f>VLOOKUP($A98,[1]中含分析60315!$A:$M,10,0)</f>
        <v>42</v>
      </c>
      <c r="E98" s="4">
        <f>VLOOKUP($A98,[1]中含分析60315!$A:$M,11,0)</f>
        <v>41</v>
      </c>
      <c r="F98" s="4">
        <f>VLOOKUP($A98,[1]中含分析60315!$A:$M,12,0)</f>
        <v>39</v>
      </c>
      <c r="G98" s="4">
        <f>VLOOKUP($A98,[1]中含分析60315!$A:$M,13,0)</f>
        <v>37</v>
      </c>
      <c r="H98" s="3" t="s">
        <v>10</v>
      </c>
      <c r="I98" s="3" t="s">
        <v>203</v>
      </c>
    </row>
    <row r="99" customHeight="1" spans="1:9">
      <c r="A99" s="4" t="s">
        <v>204</v>
      </c>
      <c r="B99" s="4">
        <f>VLOOKUP($A99,[1]中含分析60315!$A:$M,8,0)</f>
        <v>30</v>
      </c>
      <c r="C99" s="4">
        <f>VLOOKUP($A99,[1]中含分析60315!$A:$M,9,0)</f>
        <v>29</v>
      </c>
      <c r="D99" s="4">
        <f>VLOOKUP($A99,[1]中含分析60315!$A:$M,10,0)</f>
        <v>28</v>
      </c>
      <c r="E99" s="4">
        <f>VLOOKUP($A99,[1]中含分析60315!$A:$M,11,0)</f>
        <v>27</v>
      </c>
      <c r="F99" s="4">
        <f>VLOOKUP($A99,[1]中含分析60315!$A:$M,12,0)</f>
        <v>26</v>
      </c>
      <c r="G99" s="4">
        <f>VLOOKUP($A99,[1]中含分析60315!$A:$M,13,0)</f>
        <v>25</v>
      </c>
      <c r="H99" s="3" t="s">
        <v>10</v>
      </c>
      <c r="I99" s="3" t="s">
        <v>205</v>
      </c>
    </row>
    <row r="100" customHeight="1" spans="1:9">
      <c r="A100" s="4" t="s">
        <v>206</v>
      </c>
      <c r="B100" s="4">
        <f>VLOOKUP($A100,[1]中含分析60315!$A:$M,8,0)</f>
        <v>36</v>
      </c>
      <c r="C100" s="4">
        <f>VLOOKUP($A100,[1]中含分析60315!$A:$M,9,0)</f>
        <v>35</v>
      </c>
      <c r="D100" s="4">
        <f>VLOOKUP($A100,[1]中含分析60315!$A:$M,10,0)</f>
        <v>33</v>
      </c>
      <c r="E100" s="4">
        <f>VLOOKUP($A100,[1]中含分析60315!$A:$M,11,0)</f>
        <v>32</v>
      </c>
      <c r="F100" s="4">
        <f>VLOOKUP($A100,[1]中含分析60315!$A:$M,12,0)</f>
        <v>31</v>
      </c>
      <c r="G100" s="4">
        <f>VLOOKUP($A100,[1]中含分析60315!$A:$M,13,0)</f>
        <v>29</v>
      </c>
      <c r="H100" s="3" t="s">
        <v>10</v>
      </c>
      <c r="I100" s="3" t="s">
        <v>207</v>
      </c>
    </row>
    <row r="101" customHeight="1" spans="1:9">
      <c r="A101" s="4" t="s">
        <v>208</v>
      </c>
      <c r="B101" s="4">
        <f>VLOOKUP($A101,[1]中含分析60315!$A:$M,8,0)</f>
        <v>32</v>
      </c>
      <c r="C101" s="4">
        <f>VLOOKUP($A101,[1]中含分析60315!$A:$M,9,0)</f>
        <v>30</v>
      </c>
      <c r="D101" s="4">
        <f>VLOOKUP($A101,[1]中含分析60315!$A:$M,10,0)</f>
        <v>29</v>
      </c>
      <c r="E101" s="4">
        <f>VLOOKUP($A101,[1]中含分析60315!$A:$M,11,0)</f>
        <v>28</v>
      </c>
      <c r="F101" s="4">
        <f>VLOOKUP($A101,[1]中含分析60315!$A:$M,12,0)</f>
        <v>27</v>
      </c>
      <c r="G101" s="4">
        <f>VLOOKUP($A101,[1]中含分析60315!$A:$M,13,0)</f>
        <v>26</v>
      </c>
      <c r="H101" s="3" t="s">
        <v>10</v>
      </c>
      <c r="I101" s="3" t="s">
        <v>209</v>
      </c>
    </row>
    <row r="102" customHeight="1" spans="1:9">
      <c r="A102" s="4" t="s">
        <v>210</v>
      </c>
      <c r="B102" s="4">
        <f>VLOOKUP($A102,[1]中含分析60315!$A:$M,8,0)</f>
        <v>38</v>
      </c>
      <c r="C102" s="4">
        <f>VLOOKUP($A102,[1]中含分析60315!$A:$M,9,0)</f>
        <v>36</v>
      </c>
      <c r="D102" s="4">
        <f>VLOOKUP($A102,[1]中含分析60315!$A:$M,10,0)</f>
        <v>35</v>
      </c>
      <c r="E102" s="4">
        <f>VLOOKUP($A102,[1]中含分析60315!$A:$M,11,0)</f>
        <v>34</v>
      </c>
      <c r="F102" s="4">
        <f>VLOOKUP($A102,[1]中含分析60315!$A:$M,12,0)</f>
        <v>32</v>
      </c>
      <c r="G102" s="4">
        <f>VLOOKUP($A102,[1]中含分析60315!$A:$M,13,0)</f>
        <v>31</v>
      </c>
      <c r="H102" s="3" t="s">
        <v>10</v>
      </c>
      <c r="I102" s="3" t="s">
        <v>211</v>
      </c>
    </row>
    <row r="103" customHeight="1" spans="1:9">
      <c r="A103" s="4" t="s">
        <v>212</v>
      </c>
      <c r="B103" s="4">
        <f>VLOOKUP($A103,[1]中含分析60315!$A:$M,8,0)</f>
        <v>32</v>
      </c>
      <c r="C103" s="4">
        <f>VLOOKUP($A103,[1]中含分析60315!$A:$M,9,0)</f>
        <v>31</v>
      </c>
      <c r="D103" s="4">
        <f>VLOOKUP($A103,[1]中含分析60315!$A:$M,10,0)</f>
        <v>29</v>
      </c>
      <c r="E103" s="4">
        <f>VLOOKUP($A103,[1]中含分析60315!$A:$M,11,0)</f>
        <v>28</v>
      </c>
      <c r="F103" s="4">
        <f>VLOOKUP($A103,[1]中含分析60315!$A:$M,12,0)</f>
        <v>27</v>
      </c>
      <c r="G103" s="4">
        <f>VLOOKUP($A103,[1]中含分析60315!$A:$M,13,0)</f>
        <v>26</v>
      </c>
      <c r="H103" s="3" t="s">
        <v>10</v>
      </c>
      <c r="I103" s="3" t="s">
        <v>213</v>
      </c>
    </row>
    <row r="104" customHeight="1" spans="1:9">
      <c r="A104" s="4" t="s">
        <v>214</v>
      </c>
      <c r="B104" s="4">
        <f>VLOOKUP($A104,[1]中含分析60315!$A:$M,8,0)</f>
        <v>29</v>
      </c>
      <c r="C104" s="4">
        <f>VLOOKUP($A104,[1]中含分析60315!$A:$M,9,0)</f>
        <v>28</v>
      </c>
      <c r="D104" s="4">
        <f>VLOOKUP($A104,[1]中含分析60315!$A:$M,10,0)</f>
        <v>27</v>
      </c>
      <c r="E104" s="4">
        <f>VLOOKUP($A104,[1]中含分析60315!$A:$M,11,0)</f>
        <v>26</v>
      </c>
      <c r="F104" s="4">
        <f>VLOOKUP($A104,[1]中含分析60315!$A:$M,12,0)</f>
        <v>25</v>
      </c>
      <c r="G104" s="4">
        <f>VLOOKUP($A104,[1]中含分析60315!$A:$M,13,0)</f>
        <v>24</v>
      </c>
      <c r="H104" s="3" t="s">
        <v>10</v>
      </c>
      <c r="I104" s="3" t="s">
        <v>215</v>
      </c>
    </row>
    <row r="105" customHeight="1" spans="1:9">
      <c r="A105" s="4" t="s">
        <v>216</v>
      </c>
      <c r="B105" s="4">
        <f>VLOOKUP($A105,[1]中含分析60315!$A:$M,8,0)</f>
        <v>35</v>
      </c>
      <c r="C105" s="4">
        <f>VLOOKUP($A105,[1]中含分析60315!$A:$M,9,0)</f>
        <v>33</v>
      </c>
      <c r="D105" s="4">
        <f>VLOOKUP($A105,[1]中含分析60315!$A:$M,10,0)</f>
        <v>32</v>
      </c>
      <c r="E105" s="4">
        <f>VLOOKUP($A105,[1]中含分析60315!$A:$M,11,0)</f>
        <v>31</v>
      </c>
      <c r="F105" s="4">
        <f>VLOOKUP($A105,[1]中含分析60315!$A:$M,12,0)</f>
        <v>30</v>
      </c>
      <c r="G105" s="4">
        <f>VLOOKUP($A105,[1]中含分析60315!$A:$M,13,0)</f>
        <v>28</v>
      </c>
      <c r="H105" s="3" t="s">
        <v>10</v>
      </c>
      <c r="I105" s="3" t="s">
        <v>217</v>
      </c>
    </row>
    <row r="106" customHeight="1" spans="1:9">
      <c r="A106" s="4" t="s">
        <v>218</v>
      </c>
      <c r="B106" s="4">
        <f>VLOOKUP($A106,[1]中含分析60315!$A:$M,8,0)</f>
        <v>34</v>
      </c>
      <c r="C106" s="4">
        <f>VLOOKUP($A106,[1]中含分析60315!$A:$M,9,0)</f>
        <v>33</v>
      </c>
      <c r="D106" s="4">
        <f>VLOOKUP($A106,[1]中含分析60315!$A:$M,10,0)</f>
        <v>31</v>
      </c>
      <c r="E106" s="4">
        <f>VLOOKUP($A106,[1]中含分析60315!$A:$M,11,0)</f>
        <v>30</v>
      </c>
      <c r="F106" s="4">
        <f>VLOOKUP($A106,[1]中含分析60315!$A:$M,12,0)</f>
        <v>29</v>
      </c>
      <c r="G106" s="4">
        <f>VLOOKUP($A106,[1]中含分析60315!$A:$M,13,0)</f>
        <v>28</v>
      </c>
      <c r="H106" s="3" t="s">
        <v>10</v>
      </c>
      <c r="I106" s="3" t="s">
        <v>219</v>
      </c>
    </row>
    <row r="107" customHeight="1" spans="1:9">
      <c r="A107" s="4" t="s">
        <v>220</v>
      </c>
      <c r="B107" s="4">
        <f>VLOOKUP($A107,[1]中含分析60315!$A:$M,8,0)</f>
        <v>44</v>
      </c>
      <c r="C107" s="4">
        <f>VLOOKUP($A107,[1]中含分析60315!$A:$M,9,0)</f>
        <v>42</v>
      </c>
      <c r="D107" s="4">
        <f>VLOOKUP($A107,[1]中含分析60315!$A:$M,10,0)</f>
        <v>41</v>
      </c>
      <c r="E107" s="4">
        <f>VLOOKUP($A107,[1]中含分析60315!$A:$M,11,0)</f>
        <v>39</v>
      </c>
      <c r="F107" s="4">
        <f>VLOOKUP($A107,[1]中含分析60315!$A:$M,12,0)</f>
        <v>37</v>
      </c>
      <c r="G107" s="4">
        <f>VLOOKUP($A107,[1]中含分析60315!$A:$M,13,0)</f>
        <v>36</v>
      </c>
      <c r="H107" s="3" t="s">
        <v>10</v>
      </c>
      <c r="I107" s="3" t="s">
        <v>221</v>
      </c>
    </row>
    <row r="108" customHeight="1" spans="1:9">
      <c r="A108" s="4" t="s">
        <v>222</v>
      </c>
      <c r="B108" s="4">
        <f>VLOOKUP($A108,[1]中含分析60315!$A:$M,8,0)</f>
        <v>26</v>
      </c>
      <c r="C108" s="4">
        <f>VLOOKUP($A108,[1]中含分析60315!$A:$M,9,0)</f>
        <v>25</v>
      </c>
      <c r="D108" s="4">
        <f>VLOOKUP($A108,[1]中含分析60315!$A:$M,10,0)</f>
        <v>24</v>
      </c>
      <c r="E108" s="4">
        <f>VLOOKUP($A108,[1]中含分析60315!$A:$M,11,0)</f>
        <v>23</v>
      </c>
      <c r="F108" s="4">
        <f>VLOOKUP($A108,[1]中含分析60315!$A:$M,12,0)</f>
        <v>22</v>
      </c>
      <c r="G108" s="4">
        <f>VLOOKUP($A108,[1]中含分析60315!$A:$M,13,0)</f>
        <v>21</v>
      </c>
      <c r="H108" s="3" t="s">
        <v>10</v>
      </c>
      <c r="I108" s="3" t="s">
        <v>223</v>
      </c>
    </row>
    <row r="109" customHeight="1" spans="1:9">
      <c r="A109" s="4" t="s">
        <v>224</v>
      </c>
      <c r="B109" s="4">
        <f>VLOOKUP($A109,[1]中含分析60315!$A:$M,8,0)</f>
        <v>46</v>
      </c>
      <c r="C109" s="4">
        <f>VLOOKUP($A109,[1]中含分析60315!$A:$M,9,0)</f>
        <v>44</v>
      </c>
      <c r="D109" s="4">
        <f>VLOOKUP($A109,[1]中含分析60315!$A:$M,10,0)</f>
        <v>43</v>
      </c>
      <c r="E109" s="4">
        <f>VLOOKUP($A109,[1]中含分析60315!$A:$M,11,0)</f>
        <v>41</v>
      </c>
      <c r="F109" s="4">
        <f>VLOOKUP($A109,[1]中含分析60315!$A:$M,12,0)</f>
        <v>39</v>
      </c>
      <c r="G109" s="4">
        <f>VLOOKUP($A109,[1]中含分析60315!$A:$M,13,0)</f>
        <v>38</v>
      </c>
      <c r="H109" s="3" t="s">
        <v>10</v>
      </c>
      <c r="I109" s="3" t="s">
        <v>225</v>
      </c>
    </row>
    <row r="110" customHeight="1" spans="1:9">
      <c r="A110" s="4" t="s">
        <v>226</v>
      </c>
      <c r="B110" s="4">
        <f>VLOOKUP($A110,[1]中含分析60315!$A:$M,8,0)</f>
        <v>150</v>
      </c>
      <c r="C110" s="4">
        <f>VLOOKUP($A110,[1]中含分析60315!$A:$M,9,0)</f>
        <v>148</v>
      </c>
      <c r="D110" s="4">
        <f>VLOOKUP($A110,[1]中含分析60315!$A:$M,10,0)</f>
        <v>145</v>
      </c>
      <c r="E110" s="4">
        <f>VLOOKUP($A110,[1]中含分析60315!$A:$M,11,0)</f>
        <v>143</v>
      </c>
      <c r="F110" s="4">
        <f>VLOOKUP($A110,[1]中含分析60315!$A:$M,12,0)</f>
        <v>142</v>
      </c>
      <c r="G110" s="4">
        <f>VLOOKUP($A110,[1]中含分析60315!$A:$M,13,0)</f>
        <v>139</v>
      </c>
      <c r="H110" s="3" t="s">
        <v>39</v>
      </c>
      <c r="I110" s="3" t="s">
        <v>227</v>
      </c>
    </row>
    <row r="111" customHeight="1" spans="1:9">
      <c r="A111" s="4" t="s">
        <v>228</v>
      </c>
      <c r="B111" s="4">
        <f>VLOOKUP($A111,[1]中含分析60315!$A:$M,8,0)</f>
        <v>25</v>
      </c>
      <c r="C111" s="4">
        <f>VLOOKUP($A111,[1]中含分析60315!$A:$M,9,0)</f>
        <v>24</v>
      </c>
      <c r="D111" s="4">
        <f>VLOOKUP($A111,[1]中含分析60315!$A:$M,10,0)</f>
        <v>23</v>
      </c>
      <c r="E111" s="4">
        <f>VLOOKUP($A111,[1]中含分析60315!$A:$M,11,0)</f>
        <v>22</v>
      </c>
      <c r="F111" s="4">
        <f>VLOOKUP($A111,[1]中含分析60315!$A:$M,12,0)</f>
        <v>21</v>
      </c>
      <c r="G111" s="4">
        <f>VLOOKUP($A111,[1]中含分析60315!$A:$M,13,0)</f>
        <v>20</v>
      </c>
      <c r="H111" s="3" t="s">
        <v>10</v>
      </c>
      <c r="I111" s="3" t="s">
        <v>229</v>
      </c>
    </row>
    <row r="112" customHeight="1" spans="1:9">
      <c r="A112" s="4" t="s">
        <v>230</v>
      </c>
      <c r="B112" s="4">
        <f>VLOOKUP($A112,[1]中含分析60315!$A:$M,8,0)</f>
        <v>34</v>
      </c>
      <c r="C112" s="4">
        <f>VLOOKUP($A112,[1]中含分析60315!$A:$M,9,0)</f>
        <v>33</v>
      </c>
      <c r="D112" s="4">
        <f>VLOOKUP($A112,[1]中含分析60315!$A:$M,10,0)</f>
        <v>31</v>
      </c>
      <c r="E112" s="4">
        <f>VLOOKUP($A112,[1]中含分析60315!$A:$M,11,0)</f>
        <v>30</v>
      </c>
      <c r="F112" s="4">
        <f>VLOOKUP($A112,[1]中含分析60315!$A:$M,12,0)</f>
        <v>29</v>
      </c>
      <c r="G112" s="4">
        <f>VLOOKUP($A112,[1]中含分析60315!$A:$M,13,0)</f>
        <v>28</v>
      </c>
      <c r="H112" s="3" t="s">
        <v>10</v>
      </c>
      <c r="I112" s="3" t="s">
        <v>231</v>
      </c>
    </row>
    <row r="113" customHeight="1" spans="1:9">
      <c r="A113" s="4" t="s">
        <v>232</v>
      </c>
      <c r="B113" s="4">
        <f>VLOOKUP($A113,[1]中含分析60315!$A:$M,8,0)</f>
        <v>49</v>
      </c>
      <c r="C113" s="4">
        <f>VLOOKUP($A113,[1]中含分析60315!$A:$M,9,0)</f>
        <v>47</v>
      </c>
      <c r="D113" s="4">
        <f>VLOOKUP($A113,[1]中含分析60315!$A:$M,10,0)</f>
        <v>46</v>
      </c>
      <c r="E113" s="4">
        <f>VLOOKUP($A113,[1]中含分析60315!$A:$M,11,0)</f>
        <v>44</v>
      </c>
      <c r="F113" s="4">
        <f>VLOOKUP($A113,[1]中含分析60315!$A:$M,12,0)</f>
        <v>42</v>
      </c>
      <c r="G113" s="4">
        <f>VLOOKUP($A113,[1]中含分析60315!$A:$M,13,0)</f>
        <v>40</v>
      </c>
      <c r="H113" s="3" t="s">
        <v>10</v>
      </c>
      <c r="I113" s="3" t="s">
        <v>233</v>
      </c>
    </row>
    <row r="114" customHeight="1" spans="1:9">
      <c r="A114" s="4" t="s">
        <v>234</v>
      </c>
      <c r="B114" s="4">
        <f>VLOOKUP($A114,[1]中含分析60315!$A:$M,8,0)</f>
        <v>38</v>
      </c>
      <c r="C114" s="4">
        <f>VLOOKUP($A114,[1]中含分析60315!$A:$M,9,0)</f>
        <v>36</v>
      </c>
      <c r="D114" s="4">
        <f>VLOOKUP($A114,[1]中含分析60315!$A:$M,10,0)</f>
        <v>35</v>
      </c>
      <c r="E114" s="4">
        <f>VLOOKUP($A114,[1]中含分析60315!$A:$M,11,0)</f>
        <v>34</v>
      </c>
      <c r="F114" s="4">
        <f>VLOOKUP($A114,[1]中含分析60315!$A:$M,12,0)</f>
        <v>32</v>
      </c>
      <c r="G114" s="4">
        <f>VLOOKUP($A114,[1]中含分析60315!$A:$M,13,0)</f>
        <v>31</v>
      </c>
      <c r="H114" s="3" t="s">
        <v>10</v>
      </c>
      <c r="I114" s="3" t="s">
        <v>235</v>
      </c>
    </row>
    <row r="115" customHeight="1" spans="1:9">
      <c r="A115" s="4" t="s">
        <v>236</v>
      </c>
      <c r="B115" s="4">
        <f>VLOOKUP($A115,[1]中含分析60315!$A:$M,8,0)</f>
        <v>41</v>
      </c>
      <c r="C115" s="4">
        <f>VLOOKUP($A115,[1]中含分析60315!$A:$M,9,0)</f>
        <v>39</v>
      </c>
      <c r="D115" s="4">
        <f>VLOOKUP($A115,[1]中含分析60315!$A:$M,10,0)</f>
        <v>38</v>
      </c>
      <c r="E115" s="4">
        <f>VLOOKUP($A115,[1]中含分析60315!$A:$M,11,0)</f>
        <v>36</v>
      </c>
      <c r="F115" s="4">
        <f>VLOOKUP($A115,[1]中含分析60315!$A:$M,12,0)</f>
        <v>35</v>
      </c>
      <c r="G115" s="4">
        <f>VLOOKUP($A115,[1]中含分析60315!$A:$M,13,0)</f>
        <v>33</v>
      </c>
      <c r="H115" s="3" t="s">
        <v>10</v>
      </c>
      <c r="I115" s="3" t="s">
        <v>237</v>
      </c>
    </row>
    <row r="116" customHeight="1" spans="1:9">
      <c r="A116" s="4" t="s">
        <v>238</v>
      </c>
      <c r="B116" s="4">
        <f>VLOOKUP($A116,[1]中含分析60315!$A:$M,8,0)</f>
        <v>43</v>
      </c>
      <c r="C116" s="4">
        <f>VLOOKUP($A116,[1]中含分析60315!$A:$M,9,0)</f>
        <v>42</v>
      </c>
      <c r="D116" s="4">
        <f>VLOOKUP($A116,[1]中含分析60315!$A:$M,10,0)</f>
        <v>40</v>
      </c>
      <c r="E116" s="4">
        <f>VLOOKUP($A116,[1]中含分析60315!$A:$M,11,0)</f>
        <v>39</v>
      </c>
      <c r="F116" s="4">
        <f>VLOOKUP($A116,[1]中含分析60315!$A:$M,12,0)</f>
        <v>37</v>
      </c>
      <c r="G116" s="4">
        <f>VLOOKUP($A116,[1]中含分析60315!$A:$M,13,0)</f>
        <v>35</v>
      </c>
      <c r="H116" s="3" t="s">
        <v>10</v>
      </c>
      <c r="I116" s="3" t="s">
        <v>239</v>
      </c>
    </row>
    <row r="117" customHeight="1" spans="1:9">
      <c r="A117" s="4" t="s">
        <v>240</v>
      </c>
      <c r="B117" s="4">
        <f>VLOOKUP($A117,[1]中含分析60315!$A:$M,8,0)</f>
        <v>28</v>
      </c>
      <c r="C117" s="4">
        <f>VLOOKUP($A117,[1]中含分析60315!$A:$M,9,0)</f>
        <v>27</v>
      </c>
      <c r="D117" s="4">
        <f>VLOOKUP($A117,[1]中含分析60315!$A:$M,10,0)</f>
        <v>26</v>
      </c>
      <c r="E117" s="4">
        <f>VLOOKUP($A117,[1]中含分析60315!$A:$M,11,0)</f>
        <v>25</v>
      </c>
      <c r="F117" s="4">
        <f>VLOOKUP($A117,[1]中含分析60315!$A:$M,12,0)</f>
        <v>24</v>
      </c>
      <c r="G117" s="4">
        <f>VLOOKUP($A117,[1]中含分析60315!$A:$M,13,0)</f>
        <v>23</v>
      </c>
      <c r="H117" s="3" t="s">
        <v>10</v>
      </c>
      <c r="I117" s="3" t="s">
        <v>241</v>
      </c>
    </row>
    <row r="118" customHeight="1" spans="1:9">
      <c r="A118" s="4" t="s">
        <v>242</v>
      </c>
      <c r="B118" s="4">
        <f>VLOOKUP($A118,[1]中含分析60315!$A:$M,8,0)</f>
        <v>35</v>
      </c>
      <c r="C118" s="4">
        <f>VLOOKUP($A118,[1]中含分析60315!$A:$M,9,0)</f>
        <v>33</v>
      </c>
      <c r="D118" s="4">
        <f>VLOOKUP($A118,[1]中含分析60315!$A:$M,10,0)</f>
        <v>32</v>
      </c>
      <c r="E118" s="4">
        <f>VLOOKUP($A118,[1]中含分析60315!$A:$M,11,0)</f>
        <v>31</v>
      </c>
      <c r="F118" s="4">
        <f>VLOOKUP($A118,[1]中含分析60315!$A:$M,12,0)</f>
        <v>30</v>
      </c>
      <c r="G118" s="4">
        <f>VLOOKUP($A118,[1]中含分析60315!$A:$M,13,0)</f>
        <v>28</v>
      </c>
      <c r="H118" s="3" t="s">
        <v>10</v>
      </c>
      <c r="I118" s="3" t="s">
        <v>243</v>
      </c>
    </row>
    <row r="119" customHeight="1" spans="1:9">
      <c r="A119" s="4" t="s">
        <v>244</v>
      </c>
      <c r="B119" s="4">
        <f>VLOOKUP($A119,[1]中含分析60315!$A:$M,8,0)</f>
        <v>44</v>
      </c>
      <c r="C119" s="4">
        <f>VLOOKUP($A119,[1]中含分析60315!$A:$M,9,0)</f>
        <v>42</v>
      </c>
      <c r="D119" s="4">
        <f>VLOOKUP($A119,[1]中含分析60315!$A:$M,10,0)</f>
        <v>41</v>
      </c>
      <c r="E119" s="4">
        <f>VLOOKUP($A119,[1]中含分析60315!$A:$M,11,0)</f>
        <v>39</v>
      </c>
      <c r="F119" s="4">
        <f>VLOOKUP($A119,[1]中含分析60315!$A:$M,12,0)</f>
        <v>37</v>
      </c>
      <c r="G119" s="4">
        <f>VLOOKUP($A119,[1]中含分析60315!$A:$M,13,0)</f>
        <v>36</v>
      </c>
      <c r="H119" s="3" t="s">
        <v>10</v>
      </c>
      <c r="I119" s="3" t="s">
        <v>245</v>
      </c>
    </row>
    <row r="120" customHeight="1" spans="1:9">
      <c r="A120" s="4" t="s">
        <v>246</v>
      </c>
      <c r="B120" s="4">
        <f>VLOOKUP($A120,[1]中含分析60315!$A:$M,8,0)</f>
        <v>34</v>
      </c>
      <c r="C120" s="4">
        <f>VLOOKUP($A120,[1]中含分析60315!$A:$M,9,0)</f>
        <v>33</v>
      </c>
      <c r="D120" s="4">
        <f>VLOOKUP($A120,[1]中含分析60315!$A:$M,10,0)</f>
        <v>32</v>
      </c>
      <c r="E120" s="4">
        <f>VLOOKUP($A120,[1]中含分析60315!$A:$M,11,0)</f>
        <v>31</v>
      </c>
      <c r="F120" s="4">
        <f>VLOOKUP($A120,[1]中含分析60315!$A:$M,12,0)</f>
        <v>29</v>
      </c>
      <c r="G120" s="4">
        <f>VLOOKUP($A120,[1]中含分析60315!$A:$M,13,0)</f>
        <v>28</v>
      </c>
      <c r="H120" s="3" t="s">
        <v>10</v>
      </c>
      <c r="I120" s="3" t="s">
        <v>247</v>
      </c>
    </row>
    <row r="121" customHeight="1" spans="1:9">
      <c r="A121" s="4" t="s">
        <v>248</v>
      </c>
      <c r="B121" s="4">
        <f>VLOOKUP($A121,[1]中含分析60315!$A:$M,8,0)</f>
        <v>39</v>
      </c>
      <c r="C121" s="4">
        <f>VLOOKUP($A121,[1]中含分析60315!$A:$M,9,0)</f>
        <v>38</v>
      </c>
      <c r="D121" s="4">
        <f>VLOOKUP($A121,[1]中含分析60315!$A:$M,10,0)</f>
        <v>37</v>
      </c>
      <c r="E121" s="4">
        <f>VLOOKUP($A121,[1]中含分析60315!$A:$M,11,0)</f>
        <v>35</v>
      </c>
      <c r="F121" s="4">
        <f>VLOOKUP($A121,[1]中含分析60315!$A:$M,12,0)</f>
        <v>34</v>
      </c>
      <c r="G121" s="4">
        <f>VLOOKUP($A121,[1]中含分析60315!$A:$M,13,0)</f>
        <v>32</v>
      </c>
      <c r="H121" s="3" t="s">
        <v>10</v>
      </c>
      <c r="I121" s="3" t="s">
        <v>249</v>
      </c>
    </row>
    <row r="122" customHeight="1" spans="1:9">
      <c r="A122" s="4" t="s">
        <v>250</v>
      </c>
      <c r="B122" s="4">
        <f>VLOOKUP($A122,[1]中含分析60315!$A:$M,8,0)</f>
        <v>59</v>
      </c>
      <c r="C122" s="4">
        <f>VLOOKUP($A122,[1]中含分析60315!$A:$M,9,0)</f>
        <v>58</v>
      </c>
      <c r="D122" s="4">
        <f>VLOOKUP($A122,[1]中含分析60315!$A:$M,10,0)</f>
        <v>57</v>
      </c>
      <c r="E122" s="4">
        <f>VLOOKUP($A122,[1]中含分析60315!$A:$M,11,0)</f>
        <v>56</v>
      </c>
      <c r="F122" s="4">
        <f>VLOOKUP($A122,[1]中含分析60315!$A:$M,12,0)</f>
        <v>56</v>
      </c>
      <c r="G122" s="4">
        <f>VLOOKUP($A122,[1]中含分析60315!$A:$M,13,0)</f>
        <v>55</v>
      </c>
      <c r="H122" s="3" t="s">
        <v>39</v>
      </c>
      <c r="I122" s="3" t="s">
        <v>251</v>
      </c>
    </row>
    <row r="123" customHeight="1" spans="1:9">
      <c r="A123" s="4" t="s">
        <v>252</v>
      </c>
      <c r="B123" s="4">
        <f>VLOOKUP($A123,[1]中含分析60315!$A:$M,8,0)</f>
        <v>31</v>
      </c>
      <c r="C123" s="4">
        <f>VLOOKUP($A123,[1]中含分析60315!$A:$M,9,0)</f>
        <v>30</v>
      </c>
      <c r="D123" s="4">
        <f>VLOOKUP($A123,[1]中含分析60315!$A:$M,10,0)</f>
        <v>29</v>
      </c>
      <c r="E123" s="4">
        <f>VLOOKUP($A123,[1]中含分析60315!$A:$M,11,0)</f>
        <v>28</v>
      </c>
      <c r="F123" s="4">
        <f>VLOOKUP($A123,[1]中含分析60315!$A:$M,12,0)</f>
        <v>27</v>
      </c>
      <c r="G123" s="4">
        <f>VLOOKUP($A123,[1]中含分析60315!$A:$M,13,0)</f>
        <v>26</v>
      </c>
      <c r="H123" s="3" t="s">
        <v>10</v>
      </c>
      <c r="I123" s="3" t="s">
        <v>253</v>
      </c>
    </row>
    <row r="124" customHeight="1" spans="1:9">
      <c r="A124" s="4" t="s">
        <v>254</v>
      </c>
      <c r="B124" s="4">
        <f>VLOOKUP($A124,[1]中含分析60315!$A:$M,8,0)</f>
        <v>32</v>
      </c>
      <c r="C124" s="4">
        <f>VLOOKUP($A124,[1]中含分析60315!$A:$M,9,0)</f>
        <v>31</v>
      </c>
      <c r="D124" s="4">
        <f>VLOOKUP($A124,[1]中含分析60315!$A:$M,10,0)</f>
        <v>29</v>
      </c>
      <c r="E124" s="4">
        <f>VLOOKUP($A124,[1]中含分析60315!$A:$M,11,0)</f>
        <v>28</v>
      </c>
      <c r="F124" s="4">
        <f>VLOOKUP($A124,[1]中含分析60315!$A:$M,12,0)</f>
        <v>27</v>
      </c>
      <c r="G124" s="4">
        <f>VLOOKUP($A124,[1]中含分析60315!$A:$M,13,0)</f>
        <v>26</v>
      </c>
      <c r="H124" s="3" t="s">
        <v>10</v>
      </c>
      <c r="I124" s="3" t="s">
        <v>255</v>
      </c>
    </row>
    <row r="125" customHeight="1" spans="1:9">
      <c r="A125" s="4" t="s">
        <v>256</v>
      </c>
      <c r="B125" s="4">
        <f>VLOOKUP($A125,[1]中含分析60315!$A:$M,8,0)</f>
        <v>33</v>
      </c>
      <c r="C125" s="4">
        <f>VLOOKUP($A125,[1]中含分析60315!$A:$M,9,0)</f>
        <v>31</v>
      </c>
      <c r="D125" s="4">
        <f>VLOOKUP($A125,[1]中含分析60315!$A:$M,10,0)</f>
        <v>30</v>
      </c>
      <c r="E125" s="4">
        <f>VLOOKUP($A125,[1]中含分析60315!$A:$M,11,0)</f>
        <v>29</v>
      </c>
      <c r="F125" s="4">
        <f>VLOOKUP($A125,[1]中含分析60315!$A:$M,12,0)</f>
        <v>28</v>
      </c>
      <c r="G125" s="4">
        <f>VLOOKUP($A125,[1]中含分析60315!$A:$M,13,0)</f>
        <v>27</v>
      </c>
      <c r="H125" s="3" t="s">
        <v>10</v>
      </c>
      <c r="I125" s="3" t="s">
        <v>257</v>
      </c>
    </row>
    <row r="126" customHeight="1" spans="1:9">
      <c r="A126" s="4" t="s">
        <v>258</v>
      </c>
      <c r="B126" s="4">
        <f>VLOOKUP($A126,[1]中含分析60315!$A:$M,8,0)</f>
        <v>29</v>
      </c>
      <c r="C126" s="4">
        <f>VLOOKUP($A126,[1]中含分析60315!$A:$M,9,0)</f>
        <v>28</v>
      </c>
      <c r="D126" s="4">
        <f>VLOOKUP($A126,[1]中含分析60315!$A:$M,10,0)</f>
        <v>27</v>
      </c>
      <c r="E126" s="4">
        <f>VLOOKUP($A126,[1]中含分析60315!$A:$M,11,0)</f>
        <v>26</v>
      </c>
      <c r="F126" s="4">
        <f>VLOOKUP($A126,[1]中含分析60315!$A:$M,12,0)</f>
        <v>25</v>
      </c>
      <c r="G126" s="4">
        <f>VLOOKUP($A126,[1]中含分析60315!$A:$M,13,0)</f>
        <v>24</v>
      </c>
      <c r="H126" s="3" t="s">
        <v>10</v>
      </c>
      <c r="I126" s="3" t="s">
        <v>259</v>
      </c>
    </row>
    <row r="127" customHeight="1" spans="1:9">
      <c r="A127" s="4" t="s">
        <v>260</v>
      </c>
      <c r="B127" s="4">
        <f>VLOOKUP($A127,[1]中含分析60315!$A:$M,8,0)</f>
        <v>36</v>
      </c>
      <c r="C127" s="4">
        <f>VLOOKUP($A127,[1]中含分析60315!$A:$M,9,0)</f>
        <v>35</v>
      </c>
      <c r="D127" s="4">
        <f>VLOOKUP($A127,[1]中含分析60315!$A:$M,10,0)</f>
        <v>33</v>
      </c>
      <c r="E127" s="4">
        <f>VLOOKUP($A127,[1]中含分析60315!$A:$M,11,0)</f>
        <v>32</v>
      </c>
      <c r="F127" s="4">
        <f>VLOOKUP($A127,[1]中含分析60315!$A:$M,12,0)</f>
        <v>31</v>
      </c>
      <c r="G127" s="4">
        <f>VLOOKUP($A127,[1]中含分析60315!$A:$M,13,0)</f>
        <v>29</v>
      </c>
      <c r="H127" s="3" t="s">
        <v>10</v>
      </c>
      <c r="I127" s="3" t="s">
        <v>261</v>
      </c>
    </row>
    <row r="128" customHeight="1" spans="1:9">
      <c r="A128" s="4" t="s">
        <v>262</v>
      </c>
      <c r="B128" s="4">
        <f>VLOOKUP($A128,[1]中含分析60315!$A:$M,8,0)</f>
        <v>33</v>
      </c>
      <c r="C128" s="4">
        <f>VLOOKUP($A128,[1]中含分析60315!$A:$M,9,0)</f>
        <v>32</v>
      </c>
      <c r="D128" s="4">
        <f>VLOOKUP($A128,[1]中含分析60315!$A:$M,10,0)</f>
        <v>30</v>
      </c>
      <c r="E128" s="4">
        <f>VLOOKUP($A128,[1]中含分析60315!$A:$M,11,0)</f>
        <v>29</v>
      </c>
      <c r="F128" s="4">
        <f>VLOOKUP($A128,[1]中含分析60315!$A:$M,12,0)</f>
        <v>28</v>
      </c>
      <c r="G128" s="4">
        <f>VLOOKUP($A128,[1]中含分析60315!$A:$M,13,0)</f>
        <v>27</v>
      </c>
      <c r="H128" s="3" t="s">
        <v>10</v>
      </c>
      <c r="I128" s="3" t="s">
        <v>85</v>
      </c>
    </row>
    <row r="129" customHeight="1" spans="1:9">
      <c r="A129" s="4" t="s">
        <v>263</v>
      </c>
      <c r="B129" s="4">
        <f>VLOOKUP($A129,[1]中含分析60315!$A:$M,8,0)</f>
        <v>32</v>
      </c>
      <c r="C129" s="4">
        <f>VLOOKUP($A129,[1]中含分析60315!$A:$M,9,0)</f>
        <v>31</v>
      </c>
      <c r="D129" s="4">
        <f>VLOOKUP($A129,[1]中含分析60315!$A:$M,10,0)</f>
        <v>30</v>
      </c>
      <c r="E129" s="4">
        <f>VLOOKUP($A129,[1]中含分析60315!$A:$M,11,0)</f>
        <v>29</v>
      </c>
      <c r="F129" s="4">
        <f>VLOOKUP($A129,[1]中含分析60315!$A:$M,12,0)</f>
        <v>28</v>
      </c>
      <c r="G129" s="4">
        <f>VLOOKUP($A129,[1]中含分析60315!$A:$M,13,0)</f>
        <v>26</v>
      </c>
      <c r="H129" s="3" t="s">
        <v>10</v>
      </c>
      <c r="I129" s="3" t="s">
        <v>264</v>
      </c>
    </row>
    <row r="130" customHeight="1" spans="1:9">
      <c r="A130" s="4" t="s">
        <v>265</v>
      </c>
      <c r="B130" s="4">
        <f>VLOOKUP($A130,[1]中含分析60315!$A:$M,8,0)</f>
        <v>78</v>
      </c>
      <c r="C130" s="4">
        <f>VLOOKUP($A130,[1]中含分析60315!$A:$M,9,0)</f>
        <v>75</v>
      </c>
      <c r="D130" s="4">
        <f>VLOOKUP($A130,[1]中含分析60315!$A:$M,10,0)</f>
        <v>73</v>
      </c>
      <c r="E130" s="4">
        <f>VLOOKUP($A130,[1]中含分析60315!$A:$M,11,0)</f>
        <v>70</v>
      </c>
      <c r="F130" s="4">
        <f>VLOOKUP($A130,[1]中含分析60315!$A:$M,12,0)</f>
        <v>67</v>
      </c>
      <c r="G130" s="4">
        <f>VLOOKUP($A130,[1]中含分析60315!$A:$M,13,0)</f>
        <v>64</v>
      </c>
      <c r="H130" s="3" t="s">
        <v>10</v>
      </c>
      <c r="I130" s="3" t="s">
        <v>266</v>
      </c>
    </row>
    <row r="131" customHeight="1" spans="1:9">
      <c r="A131" s="4" t="s">
        <v>267</v>
      </c>
      <c r="B131" s="4">
        <f>VLOOKUP($A131,[1]中含分析60315!$A:$M,8,0)</f>
        <v>27</v>
      </c>
      <c r="C131" s="4">
        <f>VLOOKUP($A131,[1]中含分析60315!$A:$M,9,0)</f>
        <v>26</v>
      </c>
      <c r="D131" s="4">
        <f>VLOOKUP($A131,[1]中含分析60315!$A:$M,10,0)</f>
        <v>25</v>
      </c>
      <c r="E131" s="4">
        <f>VLOOKUP($A131,[1]中含分析60315!$A:$M,11,0)</f>
        <v>24</v>
      </c>
      <c r="F131" s="4">
        <f>VLOOKUP($A131,[1]中含分析60315!$A:$M,12,0)</f>
        <v>23</v>
      </c>
      <c r="G131" s="4">
        <f>VLOOKUP($A131,[1]中含分析60315!$A:$M,13,0)</f>
        <v>22</v>
      </c>
      <c r="H131" s="3" t="s">
        <v>10</v>
      </c>
      <c r="I131" s="3" t="s">
        <v>268</v>
      </c>
    </row>
    <row r="132" customHeight="1" spans="1:9">
      <c r="A132" s="4" t="s">
        <v>269</v>
      </c>
      <c r="B132" s="4">
        <f>VLOOKUP($A132,[1]中含分析60315!$A:$M,8,0)</f>
        <v>31</v>
      </c>
      <c r="C132" s="4">
        <f>VLOOKUP($A132,[1]中含分析60315!$A:$M,9,0)</f>
        <v>30</v>
      </c>
      <c r="D132" s="4">
        <f>VLOOKUP($A132,[1]中含分析60315!$A:$M,10,0)</f>
        <v>29</v>
      </c>
      <c r="E132" s="4">
        <f>VLOOKUP($A132,[1]中含分析60315!$A:$M,11,0)</f>
        <v>28</v>
      </c>
      <c r="F132" s="4">
        <f>VLOOKUP($A132,[1]中含分析60315!$A:$M,12,0)</f>
        <v>27</v>
      </c>
      <c r="G132" s="4">
        <f>VLOOKUP($A132,[1]中含分析60315!$A:$M,13,0)</f>
        <v>26</v>
      </c>
      <c r="H132" s="3" t="s">
        <v>10</v>
      </c>
      <c r="I132" s="3" t="s">
        <v>270</v>
      </c>
    </row>
    <row r="133" customHeight="1" spans="1:9">
      <c r="A133" s="4" t="s">
        <v>271</v>
      </c>
      <c r="B133" s="4">
        <f>VLOOKUP($A133,[1]中含分析60315!$A:$M,8,0)</f>
        <v>38</v>
      </c>
      <c r="C133" s="4">
        <f>VLOOKUP($A133,[1]中含分析60315!$A:$M,9,0)</f>
        <v>37</v>
      </c>
      <c r="D133" s="4">
        <f>VLOOKUP($A133,[1]中含分析60315!$A:$M,10,0)</f>
        <v>35</v>
      </c>
      <c r="E133" s="4">
        <f>VLOOKUP($A133,[1]中含分析60315!$A:$M,11,0)</f>
        <v>34</v>
      </c>
      <c r="F133" s="4">
        <f>VLOOKUP($A133,[1]中含分析60315!$A:$M,12,0)</f>
        <v>32</v>
      </c>
      <c r="G133" s="4">
        <f>VLOOKUP($A133,[1]中含分析60315!$A:$M,13,0)</f>
        <v>31</v>
      </c>
      <c r="H133" s="3" t="s">
        <v>10</v>
      </c>
      <c r="I133" s="3" t="s">
        <v>272</v>
      </c>
    </row>
    <row r="134" customHeight="1" spans="1:9">
      <c r="A134" s="4" t="s">
        <v>273</v>
      </c>
      <c r="B134" s="4">
        <f>VLOOKUP($A134,[1]中含分析60315!$A:$M,8,0)</f>
        <v>35</v>
      </c>
      <c r="C134" s="4">
        <f>VLOOKUP($A134,[1]中含分析60315!$A:$M,9,0)</f>
        <v>33</v>
      </c>
      <c r="D134" s="4">
        <f>VLOOKUP($A134,[1]中含分析60315!$A:$M,10,0)</f>
        <v>32</v>
      </c>
      <c r="E134" s="4">
        <f>VLOOKUP($A134,[1]中含分析60315!$A:$M,11,0)</f>
        <v>31</v>
      </c>
      <c r="F134" s="4">
        <f>VLOOKUP($A134,[1]中含分析60315!$A:$M,12,0)</f>
        <v>30</v>
      </c>
      <c r="G134" s="4">
        <f>VLOOKUP($A134,[1]中含分析60315!$A:$M,13,0)</f>
        <v>28</v>
      </c>
      <c r="H134" s="3" t="s">
        <v>10</v>
      </c>
      <c r="I134" s="3" t="s">
        <v>274</v>
      </c>
    </row>
    <row r="135" customHeight="1" spans="1:9">
      <c r="A135" s="4" t="s">
        <v>275</v>
      </c>
      <c r="B135" s="4">
        <f>VLOOKUP($A135,[1]中含分析60315!$A:$M,8,0)</f>
        <v>28</v>
      </c>
      <c r="C135" s="4">
        <f>VLOOKUP($A135,[1]中含分析60315!$A:$M,9,0)</f>
        <v>27</v>
      </c>
      <c r="D135" s="4">
        <f>VLOOKUP($A135,[1]中含分析60315!$A:$M,10,0)</f>
        <v>26</v>
      </c>
      <c r="E135" s="4">
        <f>VLOOKUP($A135,[1]中含分析60315!$A:$M,11,0)</f>
        <v>25</v>
      </c>
      <c r="F135" s="4">
        <f>VLOOKUP($A135,[1]中含分析60315!$A:$M,12,0)</f>
        <v>24</v>
      </c>
      <c r="G135" s="4">
        <f>VLOOKUP($A135,[1]中含分析60315!$A:$M,13,0)</f>
        <v>23</v>
      </c>
      <c r="H135" s="3" t="s">
        <v>10</v>
      </c>
      <c r="I135" s="3" t="s">
        <v>276</v>
      </c>
    </row>
    <row r="136" customHeight="1" spans="1:9">
      <c r="A136" s="4" t="s">
        <v>277</v>
      </c>
      <c r="B136" s="4">
        <f>VLOOKUP($A136,[1]中含分析60315!$A:$M,8,0)</f>
        <v>39</v>
      </c>
      <c r="C136" s="4">
        <f>VLOOKUP($A136,[1]中含分析60315!$A:$M,9,0)</f>
        <v>38</v>
      </c>
      <c r="D136" s="4">
        <f>VLOOKUP($A136,[1]中含分析60315!$A:$M,10,0)</f>
        <v>36</v>
      </c>
      <c r="E136" s="4">
        <f>VLOOKUP($A136,[1]中含分析60315!$A:$M,11,0)</f>
        <v>35</v>
      </c>
      <c r="F136" s="4">
        <f>VLOOKUP($A136,[1]中含分析60315!$A:$M,12,0)</f>
        <v>34</v>
      </c>
      <c r="G136" s="4">
        <f>VLOOKUP($A136,[1]中含分析60315!$A:$M,13,0)</f>
        <v>32</v>
      </c>
      <c r="H136" s="3" t="s">
        <v>10</v>
      </c>
      <c r="I136" s="3" t="s">
        <v>278</v>
      </c>
    </row>
    <row r="137" customHeight="1" spans="1:9">
      <c r="A137" s="4" t="s">
        <v>279</v>
      </c>
      <c r="B137" s="4">
        <f>VLOOKUP($A137,[1]中含分析60315!$A:$M,8,0)</f>
        <v>31</v>
      </c>
      <c r="C137" s="4">
        <f>VLOOKUP($A137,[1]中含分析60315!$A:$M,9,0)</f>
        <v>30</v>
      </c>
      <c r="D137" s="4">
        <f>VLOOKUP($A137,[1]中含分析60315!$A:$M,10,0)</f>
        <v>29</v>
      </c>
      <c r="E137" s="4">
        <f>VLOOKUP($A137,[1]中含分析60315!$A:$M,11,0)</f>
        <v>28</v>
      </c>
      <c r="F137" s="4">
        <f>VLOOKUP($A137,[1]中含分析60315!$A:$M,12,0)</f>
        <v>27</v>
      </c>
      <c r="G137" s="4">
        <f>VLOOKUP($A137,[1]中含分析60315!$A:$M,13,0)</f>
        <v>26</v>
      </c>
      <c r="H137" s="3" t="s">
        <v>10</v>
      </c>
      <c r="I137" s="3" t="s">
        <v>280</v>
      </c>
    </row>
    <row r="138" customHeight="1" spans="1:9">
      <c r="A138" s="4" t="s">
        <v>281</v>
      </c>
      <c r="B138" s="4">
        <f>VLOOKUP($A138,[1]中含分析60315!$A:$M,8,0)</f>
        <v>39</v>
      </c>
      <c r="C138" s="4">
        <f>VLOOKUP($A138,[1]中含分析60315!$A:$M,9,0)</f>
        <v>38</v>
      </c>
      <c r="D138" s="4">
        <f>VLOOKUP($A138,[1]中含分析60315!$A:$M,10,0)</f>
        <v>36</v>
      </c>
      <c r="E138" s="4">
        <f>VLOOKUP($A138,[1]中含分析60315!$A:$M,11,0)</f>
        <v>35</v>
      </c>
      <c r="F138" s="4">
        <f>VLOOKUP($A138,[1]中含分析60315!$A:$M,12,0)</f>
        <v>34</v>
      </c>
      <c r="G138" s="4">
        <f>VLOOKUP($A138,[1]中含分析60315!$A:$M,13,0)</f>
        <v>32</v>
      </c>
      <c r="H138" s="3" t="s">
        <v>10</v>
      </c>
      <c r="I138" s="3" t="s">
        <v>282</v>
      </c>
    </row>
    <row r="139" customHeight="1" spans="1:9">
      <c r="A139" s="4" t="s">
        <v>283</v>
      </c>
      <c r="B139" s="4">
        <f>VLOOKUP($A139,[1]中含分析60315!$A:$M,8,0)</f>
        <v>43</v>
      </c>
      <c r="C139" s="4">
        <f>VLOOKUP($A139,[1]中含分析60315!$A:$M,9,0)</f>
        <v>42</v>
      </c>
      <c r="D139" s="4">
        <f>VLOOKUP($A139,[1]中含分析60315!$A:$M,10,0)</f>
        <v>40</v>
      </c>
      <c r="E139" s="4">
        <f>VLOOKUP($A139,[1]中含分析60315!$A:$M,11,0)</f>
        <v>38</v>
      </c>
      <c r="F139" s="4">
        <f>VLOOKUP($A139,[1]中含分析60315!$A:$M,12,0)</f>
        <v>37</v>
      </c>
      <c r="G139" s="4">
        <f>VLOOKUP($A139,[1]中含分析60315!$A:$M,13,0)</f>
        <v>35</v>
      </c>
      <c r="H139" s="3" t="s">
        <v>10</v>
      </c>
      <c r="I139" s="3" t="s">
        <v>284</v>
      </c>
    </row>
    <row r="140" customHeight="1" spans="1:9">
      <c r="A140" s="4" t="s">
        <v>285</v>
      </c>
      <c r="B140" s="4">
        <f>VLOOKUP($A140,[1]中含分析60315!$A:$M,8,0)</f>
        <v>34</v>
      </c>
      <c r="C140" s="4">
        <f>VLOOKUP($A140,[1]中含分析60315!$A:$M,9,0)</f>
        <v>33</v>
      </c>
      <c r="D140" s="4">
        <f>VLOOKUP($A140,[1]中含分析60315!$A:$M,10,0)</f>
        <v>32</v>
      </c>
      <c r="E140" s="4">
        <f>VLOOKUP($A140,[1]中含分析60315!$A:$M,11,0)</f>
        <v>30</v>
      </c>
      <c r="F140" s="4">
        <f>VLOOKUP($A140,[1]中含分析60315!$A:$M,12,0)</f>
        <v>29</v>
      </c>
      <c r="G140" s="4">
        <f>VLOOKUP($A140,[1]中含分析60315!$A:$M,13,0)</f>
        <v>28</v>
      </c>
      <c r="H140" s="3" t="s">
        <v>10</v>
      </c>
      <c r="I140" s="3" t="s">
        <v>286</v>
      </c>
    </row>
    <row r="141" customHeight="1" spans="1:9">
      <c r="A141" s="4" t="s">
        <v>287</v>
      </c>
      <c r="B141" s="4">
        <f>VLOOKUP($A141,[1]中含分析60315!$A:$M,8,0)</f>
        <v>36</v>
      </c>
      <c r="C141" s="4">
        <f>VLOOKUP($A141,[1]中含分析60315!$A:$M,9,0)</f>
        <v>35</v>
      </c>
      <c r="D141" s="4">
        <f>VLOOKUP($A141,[1]中含分析60315!$A:$M,10,0)</f>
        <v>34</v>
      </c>
      <c r="E141" s="4">
        <f>VLOOKUP($A141,[1]中含分析60315!$A:$M,11,0)</f>
        <v>32</v>
      </c>
      <c r="F141" s="4">
        <f>VLOOKUP($A141,[1]中含分析60315!$A:$M,12,0)</f>
        <v>31</v>
      </c>
      <c r="G141" s="4">
        <f>VLOOKUP($A141,[1]中含分析60315!$A:$M,13,0)</f>
        <v>30</v>
      </c>
      <c r="H141" s="3" t="s">
        <v>10</v>
      </c>
      <c r="I141" s="3" t="s">
        <v>288</v>
      </c>
    </row>
    <row r="142" customHeight="1" spans="1:9">
      <c r="A142" s="4" t="s">
        <v>289</v>
      </c>
      <c r="B142" s="4">
        <f>VLOOKUP($A142,[1]中含分析60315!$A:$M,8,0)</f>
        <v>46</v>
      </c>
      <c r="C142" s="4">
        <f>VLOOKUP($A142,[1]中含分析60315!$A:$M,9,0)</f>
        <v>44</v>
      </c>
      <c r="D142" s="4">
        <f>VLOOKUP($A142,[1]中含分析60315!$A:$M,10,0)</f>
        <v>42</v>
      </c>
      <c r="E142" s="4">
        <f>VLOOKUP($A142,[1]中含分析60315!$A:$M,11,0)</f>
        <v>41</v>
      </c>
      <c r="F142" s="4">
        <f>VLOOKUP($A142,[1]中含分析60315!$A:$M,12,0)</f>
        <v>39</v>
      </c>
      <c r="G142" s="4">
        <f>VLOOKUP($A142,[1]中含分析60315!$A:$M,13,0)</f>
        <v>37</v>
      </c>
      <c r="H142" s="3" t="s">
        <v>10</v>
      </c>
      <c r="I142" s="3" t="s">
        <v>290</v>
      </c>
    </row>
    <row r="143" customHeight="1" spans="1:9">
      <c r="A143" s="4" t="s">
        <v>291</v>
      </c>
      <c r="B143" s="4">
        <f>VLOOKUP($A143,[1]中含分析60315!$A:$M,8,0)</f>
        <v>37</v>
      </c>
      <c r="C143" s="4">
        <f>VLOOKUP($A143,[1]中含分析60315!$A:$M,9,0)</f>
        <v>36</v>
      </c>
      <c r="D143" s="4">
        <f>VLOOKUP($A143,[1]中含分析60315!$A:$M,10,0)</f>
        <v>35</v>
      </c>
      <c r="E143" s="4">
        <f>VLOOKUP($A143,[1]中含分析60315!$A:$M,11,0)</f>
        <v>33</v>
      </c>
      <c r="F143" s="4">
        <f>VLOOKUP($A143,[1]中含分析60315!$A:$M,12,0)</f>
        <v>32</v>
      </c>
      <c r="G143" s="4">
        <f>VLOOKUP($A143,[1]中含分析60315!$A:$M,13,0)</f>
        <v>31</v>
      </c>
      <c r="H143" s="3" t="s">
        <v>10</v>
      </c>
      <c r="I143" s="3" t="s">
        <v>292</v>
      </c>
    </row>
    <row r="144" customHeight="1" spans="1:9">
      <c r="A144" s="4" t="s">
        <v>293</v>
      </c>
      <c r="B144" s="4">
        <f>VLOOKUP($A144,[1]中含分析60315!$A:$M,8,0)</f>
        <v>43</v>
      </c>
      <c r="C144" s="4">
        <f>VLOOKUP($A144,[1]中含分析60315!$A:$M,9,0)</f>
        <v>42</v>
      </c>
      <c r="D144" s="4">
        <f>VLOOKUP($A144,[1]中含分析60315!$A:$M,10,0)</f>
        <v>40</v>
      </c>
      <c r="E144" s="4">
        <f>VLOOKUP($A144,[1]中含分析60315!$A:$M,11,0)</f>
        <v>39</v>
      </c>
      <c r="F144" s="4">
        <f>VLOOKUP($A144,[1]中含分析60315!$A:$M,12,0)</f>
        <v>37</v>
      </c>
      <c r="G144" s="4">
        <f>VLOOKUP($A144,[1]中含分析60315!$A:$M,13,0)</f>
        <v>35</v>
      </c>
      <c r="H144" s="3" t="s">
        <v>10</v>
      </c>
      <c r="I144" s="3" t="s">
        <v>294</v>
      </c>
    </row>
    <row r="145" customHeight="1" spans="1:9">
      <c r="A145" s="4" t="s">
        <v>295</v>
      </c>
      <c r="B145" s="4">
        <f>VLOOKUP($A145,[1]中含分析60315!$A:$M,8,0)</f>
        <v>64</v>
      </c>
      <c r="C145" s="4">
        <f>VLOOKUP($A145,[1]中含分析60315!$A:$M,9,0)</f>
        <v>63</v>
      </c>
      <c r="D145" s="4">
        <f>VLOOKUP($A145,[1]中含分析60315!$A:$M,10,0)</f>
        <v>62</v>
      </c>
      <c r="E145" s="4">
        <f>VLOOKUP($A145,[1]中含分析60315!$A:$M,11,0)</f>
        <v>61</v>
      </c>
      <c r="F145" s="4">
        <f>VLOOKUP($A145,[1]中含分析60315!$A:$M,12,0)</f>
        <v>60</v>
      </c>
      <c r="G145" s="4">
        <f>VLOOKUP($A145,[1]中含分析60315!$A:$M,13,0)</f>
        <v>59</v>
      </c>
      <c r="H145" s="3" t="s">
        <v>39</v>
      </c>
      <c r="I145" s="3" t="s">
        <v>296</v>
      </c>
    </row>
    <row r="146" customHeight="1" spans="1:9">
      <c r="A146" s="4" t="s">
        <v>297</v>
      </c>
      <c r="B146" s="4">
        <f>VLOOKUP($A146,[1]中含分析60315!$A:$M,8,0)</f>
        <v>53</v>
      </c>
      <c r="C146" s="4">
        <f>VLOOKUP($A146,[1]中含分析60315!$A:$M,9,0)</f>
        <v>51</v>
      </c>
      <c r="D146" s="4">
        <f>VLOOKUP($A146,[1]中含分析60315!$A:$M,10,0)</f>
        <v>49</v>
      </c>
      <c r="E146" s="4">
        <f>VLOOKUP($A146,[1]中含分析60315!$A:$M,11,0)</f>
        <v>47</v>
      </c>
      <c r="F146" s="4">
        <f>VLOOKUP($A146,[1]中含分析60315!$A:$M,12,0)</f>
        <v>45</v>
      </c>
      <c r="G146" s="4">
        <f>VLOOKUP($A146,[1]中含分析60315!$A:$M,13,0)</f>
        <v>43</v>
      </c>
      <c r="H146" s="3" t="s">
        <v>10</v>
      </c>
      <c r="I146" s="3" t="s">
        <v>298</v>
      </c>
    </row>
    <row r="147" customHeight="1" spans="1:9">
      <c r="A147" s="4" t="s">
        <v>299</v>
      </c>
      <c r="B147" s="4">
        <f>VLOOKUP($A147,[1]中含分析60315!$A:$M,8,0)</f>
        <v>34</v>
      </c>
      <c r="C147" s="4">
        <f>VLOOKUP($A147,[1]中含分析60315!$A:$M,9,0)</f>
        <v>33</v>
      </c>
      <c r="D147" s="4">
        <f>VLOOKUP($A147,[1]中含分析60315!$A:$M,10,0)</f>
        <v>32</v>
      </c>
      <c r="E147" s="4">
        <f>VLOOKUP($A147,[1]中含分析60315!$A:$M,11,0)</f>
        <v>30</v>
      </c>
      <c r="F147" s="4">
        <f>VLOOKUP($A147,[1]中含分析60315!$A:$M,12,0)</f>
        <v>29</v>
      </c>
      <c r="G147" s="4">
        <f>VLOOKUP($A147,[1]中含分析60315!$A:$M,13,0)</f>
        <v>28</v>
      </c>
      <c r="H147" s="3" t="s">
        <v>10</v>
      </c>
      <c r="I147" s="3" t="s">
        <v>300</v>
      </c>
    </row>
    <row r="148" customHeight="1" spans="1:9">
      <c r="A148" s="4" t="s">
        <v>301</v>
      </c>
      <c r="B148" s="4">
        <f>VLOOKUP($A148,[1]中含分析60315!$A:$M,8,0)</f>
        <v>34</v>
      </c>
      <c r="C148" s="4">
        <f>VLOOKUP($A148,[1]中含分析60315!$A:$M,9,0)</f>
        <v>33</v>
      </c>
      <c r="D148" s="4">
        <f>VLOOKUP($A148,[1]中含分析60315!$A:$M,10,0)</f>
        <v>31</v>
      </c>
      <c r="E148" s="4">
        <f>VLOOKUP($A148,[1]中含分析60315!$A:$M,11,0)</f>
        <v>30</v>
      </c>
      <c r="F148" s="4">
        <f>VLOOKUP($A148,[1]中含分析60315!$A:$M,12,0)</f>
        <v>29</v>
      </c>
      <c r="G148" s="4">
        <f>VLOOKUP($A148,[1]中含分析60315!$A:$M,13,0)</f>
        <v>28</v>
      </c>
      <c r="H148" s="3" t="s">
        <v>10</v>
      </c>
      <c r="I148" s="3" t="s">
        <v>302</v>
      </c>
    </row>
    <row r="149" customHeight="1" spans="1:9">
      <c r="A149" s="4" t="s">
        <v>303</v>
      </c>
      <c r="B149" s="4">
        <f>VLOOKUP($A149,[1]中含分析60315!$A:$M,8,0)</f>
        <v>44</v>
      </c>
      <c r="C149" s="4">
        <f>VLOOKUP($A149,[1]中含分析60315!$A:$M,9,0)</f>
        <v>43</v>
      </c>
      <c r="D149" s="4">
        <f>VLOOKUP($A149,[1]中含分析60315!$A:$M,10,0)</f>
        <v>41</v>
      </c>
      <c r="E149" s="4">
        <f>VLOOKUP($A149,[1]中含分析60315!$A:$M,11,0)</f>
        <v>39</v>
      </c>
      <c r="F149" s="4">
        <f>VLOOKUP($A149,[1]中含分析60315!$A:$M,12,0)</f>
        <v>38</v>
      </c>
      <c r="G149" s="4">
        <f>VLOOKUP($A149,[1]中含分析60315!$A:$M,13,0)</f>
        <v>36</v>
      </c>
      <c r="H149" s="3" t="s">
        <v>10</v>
      </c>
      <c r="I149" s="3" t="s">
        <v>304</v>
      </c>
    </row>
    <row r="150" customHeight="1" spans="1:9">
      <c r="A150" s="4" t="s">
        <v>305</v>
      </c>
      <c r="B150" s="4">
        <f>VLOOKUP($A150,[1]中含分析60315!$A:$M,8,0)</f>
        <v>26</v>
      </c>
      <c r="C150" s="4">
        <f>VLOOKUP($A150,[1]中含分析60315!$A:$M,9,0)</f>
        <v>25</v>
      </c>
      <c r="D150" s="4">
        <f>VLOOKUP($A150,[1]中含分析60315!$A:$M,10,0)</f>
        <v>24</v>
      </c>
      <c r="E150" s="4">
        <f>VLOOKUP($A150,[1]中含分析60315!$A:$M,11,0)</f>
        <v>23</v>
      </c>
      <c r="F150" s="4">
        <f>VLOOKUP($A150,[1]中含分析60315!$A:$M,12,0)</f>
        <v>22</v>
      </c>
      <c r="G150" s="4">
        <f>VLOOKUP($A150,[1]中含分析60315!$A:$M,13,0)</f>
        <v>21</v>
      </c>
      <c r="H150" s="3" t="s">
        <v>10</v>
      </c>
      <c r="I150" s="3" t="s">
        <v>306</v>
      </c>
    </row>
    <row r="151" customHeight="1" spans="1:9">
      <c r="A151" s="4" t="s">
        <v>307</v>
      </c>
      <c r="B151" s="4">
        <f>VLOOKUP($A151,[1]中含分析60315!$A:$M,8,0)</f>
        <v>32</v>
      </c>
      <c r="C151" s="4">
        <f>VLOOKUP($A151,[1]中含分析60315!$A:$M,9,0)</f>
        <v>31</v>
      </c>
      <c r="D151" s="4">
        <f>VLOOKUP($A151,[1]中含分析60315!$A:$M,10,0)</f>
        <v>30</v>
      </c>
      <c r="E151" s="4">
        <f>VLOOKUP($A151,[1]中含分析60315!$A:$M,11,0)</f>
        <v>29</v>
      </c>
      <c r="F151" s="4">
        <f>VLOOKUP($A151,[1]中含分析60315!$A:$M,12,0)</f>
        <v>28</v>
      </c>
      <c r="G151" s="4">
        <f>VLOOKUP($A151,[1]中含分析60315!$A:$M,13,0)</f>
        <v>27</v>
      </c>
      <c r="H151" s="3" t="s">
        <v>10</v>
      </c>
      <c r="I151" s="3" t="s">
        <v>308</v>
      </c>
    </row>
    <row r="152" customHeight="1" spans="1:9">
      <c r="A152" s="4" t="s">
        <v>309</v>
      </c>
      <c r="B152" s="4">
        <f>VLOOKUP($A152,[1]中含分析60315!$A:$M,8,0)</f>
        <v>47</v>
      </c>
      <c r="C152" s="4">
        <f>VLOOKUP($A152,[1]中含分析60315!$A:$M,9,0)</f>
        <v>46</v>
      </c>
      <c r="D152" s="4">
        <f>VLOOKUP($A152,[1]中含分析60315!$A:$M,10,0)</f>
        <v>44</v>
      </c>
      <c r="E152" s="4">
        <f>VLOOKUP($A152,[1]中含分析60315!$A:$M,11,0)</f>
        <v>42</v>
      </c>
      <c r="F152" s="4">
        <f>VLOOKUP($A152,[1]中含分析60315!$A:$M,12,0)</f>
        <v>40</v>
      </c>
      <c r="G152" s="4">
        <f>VLOOKUP($A152,[1]中含分析60315!$A:$M,13,0)</f>
        <v>39</v>
      </c>
      <c r="H152" s="3" t="s">
        <v>10</v>
      </c>
      <c r="I152" s="3" t="s">
        <v>310</v>
      </c>
    </row>
    <row r="153" customHeight="1" spans="1:9">
      <c r="A153" s="4" t="s">
        <v>311</v>
      </c>
      <c r="B153" s="4">
        <f>VLOOKUP($A153,[1]中含分析60315!$A:$M,8,0)</f>
        <v>31</v>
      </c>
      <c r="C153" s="4">
        <f>VLOOKUP($A153,[1]中含分析60315!$A:$M,9,0)</f>
        <v>30</v>
      </c>
      <c r="D153" s="4">
        <f>VLOOKUP($A153,[1]中含分析60315!$A:$M,10,0)</f>
        <v>29</v>
      </c>
      <c r="E153" s="4">
        <f>VLOOKUP($A153,[1]中含分析60315!$A:$M,11,0)</f>
        <v>28</v>
      </c>
      <c r="F153" s="4">
        <f>VLOOKUP($A153,[1]中含分析60315!$A:$M,12,0)</f>
        <v>26</v>
      </c>
      <c r="G153" s="4">
        <f>VLOOKUP($A153,[1]中含分析60315!$A:$M,13,0)</f>
        <v>25</v>
      </c>
      <c r="H153" s="3" t="s">
        <v>10</v>
      </c>
      <c r="I153" s="3" t="s">
        <v>312</v>
      </c>
    </row>
    <row r="154" customHeight="1" spans="1:9">
      <c r="A154" s="4" t="s">
        <v>313</v>
      </c>
      <c r="B154" s="4">
        <f>VLOOKUP($A154,[1]中含分析60315!$A:$M,8,0)</f>
        <v>31</v>
      </c>
      <c r="C154" s="4">
        <f>VLOOKUP($A154,[1]中含分析60315!$A:$M,9,0)</f>
        <v>30</v>
      </c>
      <c r="D154" s="4">
        <f>VLOOKUP($A154,[1]中含分析60315!$A:$M,10,0)</f>
        <v>29</v>
      </c>
      <c r="E154" s="4">
        <f>VLOOKUP($A154,[1]中含分析60315!$A:$M,11,0)</f>
        <v>28</v>
      </c>
      <c r="F154" s="4">
        <f>VLOOKUP($A154,[1]中含分析60315!$A:$M,12,0)</f>
        <v>27</v>
      </c>
      <c r="G154" s="4">
        <f>VLOOKUP($A154,[1]中含分析60315!$A:$M,13,0)</f>
        <v>26</v>
      </c>
      <c r="H154" s="3" t="s">
        <v>10</v>
      </c>
      <c r="I154" s="3" t="s">
        <v>314</v>
      </c>
    </row>
    <row r="155" customHeight="1" spans="1:9">
      <c r="A155" s="4" t="s">
        <v>315</v>
      </c>
      <c r="B155" s="4">
        <f>VLOOKUP($A155,[1]中含分析60315!$A:$M,8,0)</f>
        <v>52</v>
      </c>
      <c r="C155" s="4">
        <f>VLOOKUP($A155,[1]中含分析60315!$A:$M,9,0)</f>
        <v>50</v>
      </c>
      <c r="D155" s="4">
        <f>VLOOKUP($A155,[1]中含分析60315!$A:$M,10,0)</f>
        <v>48</v>
      </c>
      <c r="E155" s="4">
        <f>VLOOKUP($A155,[1]中含分析60315!$A:$M,11,0)</f>
        <v>47</v>
      </c>
      <c r="F155" s="4">
        <f>VLOOKUP($A155,[1]中含分析60315!$A:$M,12,0)</f>
        <v>45</v>
      </c>
      <c r="G155" s="4">
        <f>VLOOKUP($A155,[1]中含分析60315!$A:$M,13,0)</f>
        <v>43</v>
      </c>
      <c r="H155" s="3" t="s">
        <v>10</v>
      </c>
      <c r="I155" s="3" t="s">
        <v>316</v>
      </c>
    </row>
    <row r="156" customHeight="1" spans="1:9">
      <c r="A156" s="4" t="s">
        <v>317</v>
      </c>
      <c r="B156" s="4">
        <f>VLOOKUP($A156,[1]中含分析60315!$A:$M,8,0)</f>
        <v>36</v>
      </c>
      <c r="C156" s="4">
        <f>VLOOKUP($A156,[1]中含分析60315!$A:$M,9,0)</f>
        <v>35</v>
      </c>
      <c r="D156" s="4">
        <f>VLOOKUP($A156,[1]中含分析60315!$A:$M,10,0)</f>
        <v>33</v>
      </c>
      <c r="E156" s="4">
        <f>VLOOKUP($A156,[1]中含分析60315!$A:$M,11,0)</f>
        <v>32</v>
      </c>
      <c r="F156" s="4">
        <f>VLOOKUP($A156,[1]中含分析60315!$A:$M,12,0)</f>
        <v>31</v>
      </c>
      <c r="G156" s="4">
        <f>VLOOKUP($A156,[1]中含分析60315!$A:$M,13,0)</f>
        <v>30</v>
      </c>
      <c r="H156" s="3" t="s">
        <v>10</v>
      </c>
      <c r="I156" s="3" t="s">
        <v>318</v>
      </c>
    </row>
    <row r="157" customHeight="1" spans="1:9">
      <c r="A157" s="4" t="s">
        <v>319</v>
      </c>
      <c r="B157" s="4">
        <f>VLOOKUP($A157,[1]中含分析60315!$A:$M,8,0)</f>
        <v>29</v>
      </c>
      <c r="C157" s="4">
        <f>VLOOKUP($A157,[1]中含分析60315!$A:$M,9,0)</f>
        <v>28</v>
      </c>
      <c r="D157" s="4">
        <f>VLOOKUP($A157,[1]中含分析60315!$A:$M,10,0)</f>
        <v>27</v>
      </c>
      <c r="E157" s="4">
        <f>VLOOKUP($A157,[1]中含分析60315!$A:$M,11,0)</f>
        <v>26</v>
      </c>
      <c r="F157" s="4">
        <f>VLOOKUP($A157,[1]中含分析60315!$A:$M,12,0)</f>
        <v>25</v>
      </c>
      <c r="G157" s="4">
        <f>VLOOKUP($A157,[1]中含分析60315!$A:$M,13,0)</f>
        <v>24</v>
      </c>
      <c r="H157" s="3" t="s">
        <v>10</v>
      </c>
      <c r="I157" s="3" t="s">
        <v>320</v>
      </c>
    </row>
    <row r="158" customHeight="1" spans="1:9">
      <c r="A158" s="4" t="s">
        <v>321</v>
      </c>
      <c r="B158" s="4">
        <f>VLOOKUP($A158,[1]中含分析60315!$A:$M,8,0)</f>
        <v>48</v>
      </c>
      <c r="C158" s="4">
        <f>VLOOKUP($A158,[1]中含分析60315!$A:$M,9,0)</f>
        <v>47</v>
      </c>
      <c r="D158" s="4">
        <f>VLOOKUP($A158,[1]中含分析60315!$A:$M,10,0)</f>
        <v>45</v>
      </c>
      <c r="E158" s="4">
        <f>VLOOKUP($A158,[1]中含分析60315!$A:$M,11,0)</f>
        <v>43</v>
      </c>
      <c r="F158" s="4">
        <f>VLOOKUP($A158,[1]中含分析60315!$A:$M,12,0)</f>
        <v>41</v>
      </c>
      <c r="G158" s="4">
        <f>VLOOKUP($A158,[1]中含分析60315!$A:$M,13,0)</f>
        <v>40</v>
      </c>
      <c r="H158" s="3" t="s">
        <v>10</v>
      </c>
      <c r="I158" s="3" t="s">
        <v>322</v>
      </c>
    </row>
    <row r="159" customHeight="1" spans="1:9">
      <c r="A159" s="4" t="s">
        <v>323</v>
      </c>
      <c r="B159" s="4">
        <f>VLOOKUP($A159,[1]中含分析60315!$A:$M,8,0)</f>
        <v>43</v>
      </c>
      <c r="C159" s="4">
        <f>VLOOKUP($A159,[1]中含分析60315!$A:$M,9,0)</f>
        <v>41</v>
      </c>
      <c r="D159" s="4">
        <f>VLOOKUP($A159,[1]中含分析60315!$A:$M,10,0)</f>
        <v>40</v>
      </c>
      <c r="E159" s="4">
        <f>VLOOKUP($A159,[1]中含分析60315!$A:$M,11,0)</f>
        <v>38</v>
      </c>
      <c r="F159" s="4">
        <f>VLOOKUP($A159,[1]中含分析60315!$A:$M,12,0)</f>
        <v>37</v>
      </c>
      <c r="G159" s="4">
        <f>VLOOKUP($A159,[1]中含分析60315!$A:$M,13,0)</f>
        <v>35</v>
      </c>
      <c r="H159" s="3" t="s">
        <v>10</v>
      </c>
      <c r="I159" s="3" t="s">
        <v>324</v>
      </c>
    </row>
    <row r="160" customHeight="1" spans="1:9">
      <c r="A160" s="4" t="s">
        <v>325</v>
      </c>
      <c r="B160" s="4">
        <f>VLOOKUP($A160,[1]中含分析60315!$A:$M,8,0)</f>
        <v>44</v>
      </c>
      <c r="C160" s="4">
        <f>VLOOKUP($A160,[1]中含分析60315!$A:$M,9,0)</f>
        <v>43</v>
      </c>
      <c r="D160" s="4">
        <f>VLOOKUP($A160,[1]中含分析60315!$A:$M,10,0)</f>
        <v>41</v>
      </c>
      <c r="E160" s="4">
        <f>VLOOKUP($A160,[1]中含分析60315!$A:$M,11,0)</f>
        <v>39</v>
      </c>
      <c r="F160" s="4">
        <f>VLOOKUP($A160,[1]中含分析60315!$A:$M,12,0)</f>
        <v>38</v>
      </c>
      <c r="G160" s="4">
        <f>VLOOKUP($A160,[1]中含分析60315!$A:$M,13,0)</f>
        <v>36</v>
      </c>
      <c r="H160" s="3" t="s">
        <v>10</v>
      </c>
      <c r="I160" s="3" t="s">
        <v>326</v>
      </c>
    </row>
    <row r="161" customHeight="1" spans="1:9">
      <c r="A161" s="4" t="s">
        <v>327</v>
      </c>
      <c r="B161" s="4">
        <f>VLOOKUP($A161,[1]中含分析60315!$A:$M,8,0)</f>
        <v>79</v>
      </c>
      <c r="C161" s="4">
        <f>VLOOKUP($A161,[1]中含分析60315!$A:$M,9,0)</f>
        <v>78</v>
      </c>
      <c r="D161" s="4">
        <f>VLOOKUP($A161,[1]中含分析60315!$A:$M,10,0)</f>
        <v>77</v>
      </c>
      <c r="E161" s="4">
        <f>VLOOKUP($A161,[1]中含分析60315!$A:$M,11,0)</f>
        <v>75</v>
      </c>
      <c r="F161" s="4">
        <f>VLOOKUP($A161,[1]中含分析60315!$A:$M,12,0)</f>
        <v>75</v>
      </c>
      <c r="G161" s="4">
        <f>VLOOKUP($A161,[1]中含分析60315!$A:$M,13,0)</f>
        <v>73</v>
      </c>
      <c r="H161" s="3" t="s">
        <v>39</v>
      </c>
      <c r="I161" s="3" t="s">
        <v>328</v>
      </c>
    </row>
    <row r="162" customHeight="1" spans="1:9">
      <c r="A162" s="4" t="s">
        <v>329</v>
      </c>
      <c r="B162" s="4">
        <f>VLOOKUP($A162,[1]中含分析60315!$A:$M,8,0)</f>
        <v>47</v>
      </c>
      <c r="C162" s="4">
        <f>VLOOKUP($A162,[1]中含分析60315!$A:$M,9,0)</f>
        <v>46</v>
      </c>
      <c r="D162" s="4">
        <f>VLOOKUP($A162,[1]中含分析60315!$A:$M,10,0)</f>
        <v>44</v>
      </c>
      <c r="E162" s="4">
        <f>VLOOKUP($A162,[1]中含分析60315!$A:$M,11,0)</f>
        <v>42</v>
      </c>
      <c r="F162" s="4">
        <f>VLOOKUP($A162,[1]中含分析60315!$A:$M,12,0)</f>
        <v>40</v>
      </c>
      <c r="G162" s="4">
        <f>VLOOKUP($A162,[1]中含分析60315!$A:$M,13,0)</f>
        <v>39</v>
      </c>
      <c r="H162" s="3" t="s">
        <v>10</v>
      </c>
      <c r="I162" s="3" t="s">
        <v>330</v>
      </c>
    </row>
    <row r="163" customHeight="1" spans="1:9">
      <c r="A163" s="4" t="s">
        <v>331</v>
      </c>
      <c r="B163" s="4">
        <f>VLOOKUP($A163,[1]中含分析60315!$A:$M,8,0)</f>
        <v>31</v>
      </c>
      <c r="C163" s="4">
        <f>VLOOKUP($A163,[1]中含分析60315!$A:$M,9,0)</f>
        <v>30</v>
      </c>
      <c r="D163" s="4">
        <f>VLOOKUP($A163,[1]中含分析60315!$A:$M,10,0)</f>
        <v>29</v>
      </c>
      <c r="E163" s="4">
        <f>VLOOKUP($A163,[1]中含分析60315!$A:$M,11,0)</f>
        <v>28</v>
      </c>
      <c r="F163" s="4">
        <f>VLOOKUP($A163,[1]中含分析60315!$A:$M,12,0)</f>
        <v>26</v>
      </c>
      <c r="G163" s="4">
        <f>VLOOKUP($A163,[1]中含分析60315!$A:$M,13,0)</f>
        <v>25</v>
      </c>
      <c r="H163" s="3" t="s">
        <v>10</v>
      </c>
      <c r="I163" s="3" t="s">
        <v>332</v>
      </c>
    </row>
    <row r="164" customHeight="1" spans="1:9">
      <c r="A164" s="4" t="s">
        <v>333</v>
      </c>
      <c r="B164" s="4">
        <f>VLOOKUP($A164,[1]中含分析60315!$A:$M,8,0)</f>
        <v>48</v>
      </c>
      <c r="C164" s="4">
        <f>VLOOKUP($A164,[1]中含分析60315!$A:$M,9,0)</f>
        <v>47</v>
      </c>
      <c r="D164" s="4">
        <f>VLOOKUP($A164,[1]中含分析60315!$A:$M,10,0)</f>
        <v>45</v>
      </c>
      <c r="E164" s="4">
        <f>VLOOKUP($A164,[1]中含分析60315!$A:$M,11,0)</f>
        <v>43</v>
      </c>
      <c r="F164" s="4">
        <f>VLOOKUP($A164,[1]中含分析60315!$A:$M,12,0)</f>
        <v>41</v>
      </c>
      <c r="G164" s="4">
        <f>VLOOKUP($A164,[1]中含分析60315!$A:$M,13,0)</f>
        <v>39</v>
      </c>
      <c r="H164" s="3" t="s">
        <v>10</v>
      </c>
      <c r="I164" s="3" t="s">
        <v>334</v>
      </c>
    </row>
    <row r="165" customHeight="1" spans="1:9">
      <c r="A165" s="4" t="s">
        <v>335</v>
      </c>
      <c r="B165" s="4">
        <f>VLOOKUP($A165,[1]中含分析60315!$A:$M,8,0)</f>
        <v>59</v>
      </c>
      <c r="C165" s="4">
        <f>VLOOKUP($A165,[1]中含分析60315!$A:$M,9,0)</f>
        <v>57</v>
      </c>
      <c r="D165" s="4">
        <f>VLOOKUP($A165,[1]中含分析60315!$A:$M,10,0)</f>
        <v>55</v>
      </c>
      <c r="E165" s="4">
        <f>VLOOKUP($A165,[1]中含分析60315!$A:$M,11,0)</f>
        <v>53</v>
      </c>
      <c r="F165" s="4">
        <f>VLOOKUP($A165,[1]中含分析60315!$A:$M,12,0)</f>
        <v>51</v>
      </c>
      <c r="G165" s="4">
        <f>VLOOKUP($A165,[1]中含分析60315!$A:$M,13,0)</f>
        <v>49</v>
      </c>
      <c r="H165" s="3" t="s">
        <v>10</v>
      </c>
      <c r="I165" s="3" t="s">
        <v>336</v>
      </c>
    </row>
    <row r="166" customHeight="1" spans="1:9">
      <c r="A166" s="4" t="s">
        <v>337</v>
      </c>
      <c r="B166" s="4">
        <f>VLOOKUP($A166,[1]中含分析60315!$A:$M,8,0)</f>
        <v>43</v>
      </c>
      <c r="C166" s="4">
        <f>VLOOKUP($A166,[1]中含分析60315!$A:$M,9,0)</f>
        <v>42</v>
      </c>
      <c r="D166" s="4">
        <f>VLOOKUP($A166,[1]中含分析60315!$A:$M,10,0)</f>
        <v>40</v>
      </c>
      <c r="E166" s="4">
        <f>VLOOKUP($A166,[1]中含分析60315!$A:$M,11,0)</f>
        <v>38</v>
      </c>
      <c r="F166" s="4">
        <f>VLOOKUP($A166,[1]中含分析60315!$A:$M,12,0)</f>
        <v>37</v>
      </c>
      <c r="G166" s="4">
        <f>VLOOKUP($A166,[1]中含分析60315!$A:$M,13,0)</f>
        <v>35</v>
      </c>
      <c r="H166" s="3" t="s">
        <v>10</v>
      </c>
      <c r="I166" s="3" t="s">
        <v>338</v>
      </c>
    </row>
    <row r="167" customHeight="1" spans="1:9">
      <c r="A167" s="4" t="s">
        <v>339</v>
      </c>
      <c r="B167" s="4">
        <f>VLOOKUP($A167,[1]中含分析60315!$A:$M,8,0)</f>
        <v>30</v>
      </c>
      <c r="C167" s="4">
        <f>VLOOKUP($A167,[1]中含分析60315!$A:$M,9,0)</f>
        <v>29</v>
      </c>
      <c r="D167" s="4">
        <f>VLOOKUP($A167,[1]中含分析60315!$A:$M,10,0)</f>
        <v>28</v>
      </c>
      <c r="E167" s="4">
        <f>VLOOKUP($A167,[1]中含分析60315!$A:$M,11,0)</f>
        <v>27</v>
      </c>
      <c r="F167" s="4">
        <f>VLOOKUP($A167,[1]中含分析60315!$A:$M,12,0)</f>
        <v>26</v>
      </c>
      <c r="G167" s="4">
        <f>VLOOKUP($A167,[1]中含分析60315!$A:$M,13,0)</f>
        <v>25</v>
      </c>
      <c r="H167" s="3" t="s">
        <v>10</v>
      </c>
      <c r="I167" s="3" t="s">
        <v>340</v>
      </c>
    </row>
    <row r="168" customHeight="1" spans="1:9">
      <c r="A168" s="4" t="s">
        <v>341</v>
      </c>
      <c r="B168" s="4">
        <f>VLOOKUP($A168,[1]中含分析60315!$A:$M,8,0)</f>
        <v>38</v>
      </c>
      <c r="C168" s="4">
        <f>VLOOKUP($A168,[1]中含分析60315!$A:$M,9,0)</f>
        <v>37</v>
      </c>
      <c r="D168" s="4">
        <f>VLOOKUP($A168,[1]中含分析60315!$A:$M,10,0)</f>
        <v>36</v>
      </c>
      <c r="E168" s="4">
        <f>VLOOKUP($A168,[1]中含分析60315!$A:$M,11,0)</f>
        <v>34</v>
      </c>
      <c r="F168" s="4">
        <f>VLOOKUP($A168,[1]中含分析60315!$A:$M,12,0)</f>
        <v>33</v>
      </c>
      <c r="G168" s="4">
        <f>VLOOKUP($A168,[1]中含分析60315!$A:$M,13,0)</f>
        <v>31</v>
      </c>
      <c r="H168" s="3" t="s">
        <v>10</v>
      </c>
      <c r="I168" s="3" t="s">
        <v>342</v>
      </c>
    </row>
    <row r="169" customHeight="1" spans="1:9">
      <c r="A169" s="4" t="s">
        <v>343</v>
      </c>
      <c r="B169" s="4">
        <f>VLOOKUP($A169,[1]中含分析60315!$A:$M,8,0)</f>
        <v>60</v>
      </c>
      <c r="C169" s="4">
        <f>VLOOKUP($A169,[1]中含分析60315!$A:$M,9,0)</f>
        <v>59</v>
      </c>
      <c r="D169" s="4">
        <f>VLOOKUP($A169,[1]中含分析60315!$A:$M,10,0)</f>
        <v>58</v>
      </c>
      <c r="E169" s="4">
        <f>VLOOKUP($A169,[1]中含分析60315!$A:$M,11,0)</f>
        <v>57</v>
      </c>
      <c r="F169" s="4">
        <f>VLOOKUP($A169,[1]中含分析60315!$A:$M,12,0)</f>
        <v>56</v>
      </c>
      <c r="G169" s="4">
        <f>VLOOKUP($A169,[1]中含分析60315!$A:$M,13,0)</f>
        <v>55</v>
      </c>
      <c r="H169" s="3" t="s">
        <v>39</v>
      </c>
      <c r="I169" s="3" t="s">
        <v>344</v>
      </c>
    </row>
    <row r="170" customHeight="1" spans="1:9">
      <c r="A170" s="4" t="s">
        <v>345</v>
      </c>
      <c r="B170" s="4">
        <f>VLOOKUP($A170,[1]中含分析60315!$A:$M,8,0)</f>
        <v>43</v>
      </c>
      <c r="C170" s="4">
        <f>VLOOKUP($A170,[1]中含分析60315!$A:$M,9,0)</f>
        <v>42</v>
      </c>
      <c r="D170" s="4">
        <f>VLOOKUP($A170,[1]中含分析60315!$A:$M,10,0)</f>
        <v>40</v>
      </c>
      <c r="E170" s="4">
        <f>VLOOKUP($A170,[1]中含分析60315!$A:$M,11,0)</f>
        <v>39</v>
      </c>
      <c r="F170" s="4">
        <f>VLOOKUP($A170,[1]中含分析60315!$A:$M,12,0)</f>
        <v>37</v>
      </c>
      <c r="G170" s="4">
        <f>VLOOKUP($A170,[1]中含分析60315!$A:$M,13,0)</f>
        <v>35</v>
      </c>
      <c r="H170" s="3" t="s">
        <v>10</v>
      </c>
      <c r="I170" s="3" t="s">
        <v>346</v>
      </c>
    </row>
    <row r="171" customHeight="1" spans="1:9">
      <c r="A171" s="4" t="s">
        <v>347</v>
      </c>
      <c r="B171" s="4">
        <f>VLOOKUP($A171,[1]中含分析60315!$A:$M,8,0)</f>
        <v>46</v>
      </c>
      <c r="C171" s="4">
        <f>VLOOKUP($A171,[1]中含分析60315!$A:$M,9,0)</f>
        <v>44</v>
      </c>
      <c r="D171" s="4">
        <f>VLOOKUP($A171,[1]中含分析60315!$A:$M,10,0)</f>
        <v>43</v>
      </c>
      <c r="E171" s="4">
        <f>VLOOKUP($A171,[1]中含分析60315!$A:$M,11,0)</f>
        <v>41</v>
      </c>
      <c r="F171" s="4">
        <f>VLOOKUP($A171,[1]中含分析60315!$A:$M,12,0)</f>
        <v>39</v>
      </c>
      <c r="G171" s="4">
        <f>VLOOKUP($A171,[1]中含分析60315!$A:$M,13,0)</f>
        <v>38</v>
      </c>
      <c r="H171" s="3" t="s">
        <v>10</v>
      </c>
      <c r="I171" s="3" t="s">
        <v>348</v>
      </c>
    </row>
    <row r="172" customHeight="1" spans="1:9">
      <c r="A172" s="4" t="s">
        <v>349</v>
      </c>
      <c r="B172" s="4">
        <f>VLOOKUP($A172,[1]中含分析60315!$A:$M,8,0)</f>
        <v>57</v>
      </c>
      <c r="C172" s="4">
        <f>VLOOKUP($A172,[1]中含分析60315!$A:$M,9,0)</f>
        <v>55</v>
      </c>
      <c r="D172" s="4">
        <f>VLOOKUP($A172,[1]中含分析60315!$A:$M,10,0)</f>
        <v>53</v>
      </c>
      <c r="E172" s="4">
        <f>VLOOKUP($A172,[1]中含分析60315!$A:$M,11,0)</f>
        <v>51</v>
      </c>
      <c r="F172" s="4">
        <f>VLOOKUP($A172,[1]中含分析60315!$A:$M,12,0)</f>
        <v>48</v>
      </c>
      <c r="G172" s="4">
        <f>VLOOKUP($A172,[1]中含分析60315!$A:$M,13,0)</f>
        <v>46</v>
      </c>
      <c r="H172" s="3" t="s">
        <v>10</v>
      </c>
      <c r="I172" s="3" t="s">
        <v>350</v>
      </c>
    </row>
    <row r="173" customHeight="1" spans="1:9">
      <c r="A173" s="4" t="s">
        <v>351</v>
      </c>
      <c r="B173" s="4">
        <f>VLOOKUP($A173,[1]中含分析60315!$A:$M,8,0)</f>
        <v>43</v>
      </c>
      <c r="C173" s="4">
        <f>VLOOKUP($A173,[1]中含分析60315!$A:$M,9,0)</f>
        <v>41</v>
      </c>
      <c r="D173" s="4">
        <f>VLOOKUP($A173,[1]中含分析60315!$A:$M,10,0)</f>
        <v>40</v>
      </c>
      <c r="E173" s="4">
        <f>VLOOKUP($A173,[1]中含分析60315!$A:$M,11,0)</f>
        <v>38</v>
      </c>
      <c r="F173" s="4">
        <f>VLOOKUP($A173,[1]中含分析60315!$A:$M,12,0)</f>
        <v>37</v>
      </c>
      <c r="G173" s="4">
        <f>VLOOKUP($A173,[1]中含分析60315!$A:$M,13,0)</f>
        <v>35</v>
      </c>
      <c r="H173" s="3" t="s">
        <v>10</v>
      </c>
      <c r="I173" s="3" t="s">
        <v>352</v>
      </c>
    </row>
    <row r="174" customHeight="1" spans="1:9">
      <c r="A174" s="4" t="s">
        <v>353</v>
      </c>
      <c r="B174" s="4">
        <f>VLOOKUP($A174,[1]中含分析60315!$A:$M,8,0)</f>
        <v>93</v>
      </c>
      <c r="C174" s="4">
        <f>VLOOKUP($A174,[1]中含分析60315!$A:$M,9,0)</f>
        <v>89</v>
      </c>
      <c r="D174" s="4">
        <f>VLOOKUP($A174,[1]中含分析60315!$A:$M,10,0)</f>
        <v>86</v>
      </c>
      <c r="E174" s="4">
        <f>VLOOKUP($A174,[1]中含分析60315!$A:$M,11,0)</f>
        <v>82</v>
      </c>
      <c r="F174" s="4">
        <f>VLOOKUP($A174,[1]中含分析60315!$A:$M,12,0)</f>
        <v>79</v>
      </c>
      <c r="G174" s="4">
        <f>VLOOKUP($A174,[1]中含分析60315!$A:$M,13,0)</f>
        <v>76</v>
      </c>
      <c r="H174" s="3" t="s">
        <v>10</v>
      </c>
      <c r="I174" s="3" t="s">
        <v>354</v>
      </c>
    </row>
    <row r="175" customHeight="1" spans="1:9">
      <c r="A175" s="4" t="s">
        <v>355</v>
      </c>
      <c r="B175" s="4">
        <f>VLOOKUP($A175,[1]中含分析60315!$A:$M,8,0)</f>
        <v>39</v>
      </c>
      <c r="C175" s="4">
        <f>VLOOKUP($A175,[1]中含分析60315!$A:$M,9,0)</f>
        <v>37</v>
      </c>
      <c r="D175" s="4">
        <f>VLOOKUP($A175,[1]中含分析60315!$A:$M,10,0)</f>
        <v>36</v>
      </c>
      <c r="E175" s="4">
        <f>VLOOKUP($A175,[1]中含分析60315!$A:$M,11,0)</f>
        <v>34</v>
      </c>
      <c r="F175" s="4">
        <f>VLOOKUP($A175,[1]中含分析60315!$A:$M,12,0)</f>
        <v>33</v>
      </c>
      <c r="G175" s="4">
        <f>VLOOKUP($A175,[1]中含分析60315!$A:$M,13,0)</f>
        <v>31</v>
      </c>
      <c r="H175" s="3" t="s">
        <v>10</v>
      </c>
      <c r="I175" s="3" t="s">
        <v>356</v>
      </c>
    </row>
    <row r="176" customHeight="1" spans="1:9">
      <c r="A176" s="4" t="s">
        <v>357</v>
      </c>
      <c r="B176" s="4">
        <f>VLOOKUP($A176,[1]中含分析60315!$A:$M,8,0)</f>
        <v>24</v>
      </c>
      <c r="C176" s="4">
        <f>VLOOKUP($A176,[1]中含分析60315!$A:$M,9,0)</f>
        <v>23</v>
      </c>
      <c r="D176" s="4">
        <f>VLOOKUP($A176,[1]中含分析60315!$A:$M,10,0)</f>
        <v>22</v>
      </c>
      <c r="E176" s="4">
        <f>VLOOKUP($A176,[1]中含分析60315!$A:$M,11,0)</f>
        <v>21</v>
      </c>
      <c r="F176" s="4">
        <f>VLOOKUP($A176,[1]中含分析60315!$A:$M,12,0)</f>
        <v>20</v>
      </c>
      <c r="G176" s="4">
        <f>VLOOKUP($A176,[1]中含分析60315!$A:$M,13,0)</f>
        <v>19</v>
      </c>
      <c r="H176" s="3" t="s">
        <v>10</v>
      </c>
      <c r="I176" s="3" t="s">
        <v>358</v>
      </c>
    </row>
    <row r="177" customHeight="1" spans="1:9">
      <c r="A177" s="4" t="s">
        <v>359</v>
      </c>
      <c r="B177" s="4">
        <f>VLOOKUP($A177,[1]中含分析60315!$A:$M,8,0)</f>
        <v>34</v>
      </c>
      <c r="C177" s="4">
        <f>VLOOKUP($A177,[1]中含分析60315!$A:$M,9,0)</f>
        <v>33</v>
      </c>
      <c r="D177" s="4">
        <f>VLOOKUP($A177,[1]中含分析60315!$A:$M,10,0)</f>
        <v>32</v>
      </c>
      <c r="E177" s="4">
        <f>VLOOKUP($A177,[1]中含分析60315!$A:$M,11,0)</f>
        <v>31</v>
      </c>
      <c r="F177" s="4">
        <f>VLOOKUP($A177,[1]中含分析60315!$A:$M,12,0)</f>
        <v>29</v>
      </c>
      <c r="G177" s="4">
        <f>VLOOKUP($A177,[1]中含分析60315!$A:$M,13,0)</f>
        <v>28</v>
      </c>
      <c r="H177" s="3" t="s">
        <v>10</v>
      </c>
      <c r="I177" s="3" t="s">
        <v>360</v>
      </c>
    </row>
    <row r="178" customHeight="1" spans="1:9">
      <c r="A178" s="4" t="s">
        <v>361</v>
      </c>
      <c r="B178" s="4">
        <f>VLOOKUP($A178,[1]中含分析60315!$A:$M,8,0)</f>
        <v>36</v>
      </c>
      <c r="C178" s="4">
        <f>VLOOKUP($A178,[1]中含分析60315!$A:$M,9,0)</f>
        <v>34</v>
      </c>
      <c r="D178" s="4">
        <f>VLOOKUP($A178,[1]中含分析60315!$A:$M,10,0)</f>
        <v>33</v>
      </c>
      <c r="E178" s="4">
        <f>VLOOKUP($A178,[1]中含分析60315!$A:$M,11,0)</f>
        <v>32</v>
      </c>
      <c r="F178" s="4">
        <f>VLOOKUP($A178,[1]中含分析60315!$A:$M,12,0)</f>
        <v>30</v>
      </c>
      <c r="G178" s="4">
        <f>VLOOKUP($A178,[1]中含分析60315!$A:$M,13,0)</f>
        <v>29</v>
      </c>
      <c r="H178" s="3" t="s">
        <v>10</v>
      </c>
      <c r="I178" s="3" t="s">
        <v>362</v>
      </c>
    </row>
    <row r="179" customHeight="1" spans="1:9">
      <c r="A179" s="4" t="s">
        <v>363</v>
      </c>
      <c r="B179" s="4">
        <f>VLOOKUP($A179,[1]中含分析60315!$A:$M,8,0)</f>
        <v>37</v>
      </c>
      <c r="C179" s="4">
        <f>VLOOKUP($A179,[1]中含分析60315!$A:$M,9,0)</f>
        <v>35</v>
      </c>
      <c r="D179" s="4">
        <f>VLOOKUP($A179,[1]中含分析60315!$A:$M,10,0)</f>
        <v>34</v>
      </c>
      <c r="E179" s="4">
        <f>VLOOKUP($A179,[1]中含分析60315!$A:$M,11,0)</f>
        <v>33</v>
      </c>
      <c r="F179" s="4">
        <f>VLOOKUP($A179,[1]中含分析60315!$A:$M,12,0)</f>
        <v>31</v>
      </c>
      <c r="G179" s="4">
        <f>VLOOKUP($A179,[1]中含分析60315!$A:$M,13,0)</f>
        <v>30</v>
      </c>
      <c r="H179" s="3" t="s">
        <v>10</v>
      </c>
      <c r="I179" s="3" t="s">
        <v>364</v>
      </c>
    </row>
    <row r="180" customHeight="1" spans="1:9">
      <c r="A180" s="4" t="s">
        <v>365</v>
      </c>
      <c r="B180" s="4">
        <f>VLOOKUP($A180,[1]中含分析60315!$A:$M,8,0)</f>
        <v>32</v>
      </c>
      <c r="C180" s="4">
        <f>VLOOKUP($A180,[1]中含分析60315!$A:$M,9,0)</f>
        <v>31</v>
      </c>
      <c r="D180" s="4">
        <f>VLOOKUP($A180,[1]中含分析60315!$A:$M,10,0)</f>
        <v>30</v>
      </c>
      <c r="E180" s="4">
        <f>VLOOKUP($A180,[1]中含分析60315!$A:$M,11,0)</f>
        <v>28</v>
      </c>
      <c r="F180" s="4">
        <f>VLOOKUP($A180,[1]中含分析60315!$A:$M,12,0)</f>
        <v>27</v>
      </c>
      <c r="G180" s="4">
        <f>VLOOKUP($A180,[1]中含分析60315!$A:$M,13,0)</f>
        <v>26</v>
      </c>
      <c r="H180" s="3" t="s">
        <v>10</v>
      </c>
      <c r="I180" s="3" t="s">
        <v>366</v>
      </c>
    </row>
    <row r="181" customHeight="1" spans="1:9">
      <c r="A181" s="4" t="s">
        <v>367</v>
      </c>
      <c r="B181" s="4">
        <f>VLOOKUP($A181,[1]中含分析60315!$A:$M,8,0)</f>
        <v>27</v>
      </c>
      <c r="C181" s="4">
        <f>VLOOKUP($A181,[1]中含分析60315!$A:$M,9,0)</f>
        <v>26</v>
      </c>
      <c r="D181" s="4">
        <f>VLOOKUP($A181,[1]中含分析60315!$A:$M,10,0)</f>
        <v>25</v>
      </c>
      <c r="E181" s="4">
        <f>VLOOKUP($A181,[1]中含分析60315!$A:$M,11,0)</f>
        <v>24</v>
      </c>
      <c r="F181" s="4">
        <f>VLOOKUP($A181,[1]中含分析60315!$A:$M,12,0)</f>
        <v>23</v>
      </c>
      <c r="G181" s="4">
        <f>VLOOKUP($A181,[1]中含分析60315!$A:$M,13,0)</f>
        <v>22</v>
      </c>
      <c r="H181" s="3" t="s">
        <v>10</v>
      </c>
      <c r="I181" s="3" t="s">
        <v>368</v>
      </c>
    </row>
    <row r="182" customHeight="1" spans="1:9">
      <c r="A182" s="4" t="s">
        <v>369</v>
      </c>
      <c r="B182" s="4">
        <f>VLOOKUP($A182,[1]中含分析60315!$A:$M,8,0)</f>
        <v>52</v>
      </c>
      <c r="C182" s="4">
        <f>VLOOKUP($A182,[1]中含分析60315!$A:$M,9,0)</f>
        <v>52</v>
      </c>
      <c r="D182" s="4">
        <f>VLOOKUP($A182,[1]中含分析60315!$A:$M,10,0)</f>
        <v>51</v>
      </c>
      <c r="E182" s="4">
        <f>VLOOKUP($A182,[1]中含分析60315!$A:$M,11,0)</f>
        <v>50</v>
      </c>
      <c r="F182" s="4">
        <f>VLOOKUP($A182,[1]中含分析60315!$A:$M,12,0)</f>
        <v>49</v>
      </c>
      <c r="G182" s="4">
        <f>VLOOKUP($A182,[1]中含分析60315!$A:$M,13,0)</f>
        <v>49</v>
      </c>
      <c r="H182" s="3" t="s">
        <v>39</v>
      </c>
      <c r="I182" s="3" t="s">
        <v>370</v>
      </c>
    </row>
    <row r="183" customHeight="1" spans="1:9">
      <c r="A183" s="4" t="s">
        <v>371</v>
      </c>
      <c r="B183" s="4">
        <f>VLOOKUP($A183,[1]中含分析60315!$A:$M,8,0)</f>
        <v>39</v>
      </c>
      <c r="C183" s="4">
        <f>VLOOKUP($A183,[1]中含分析60315!$A:$M,9,0)</f>
        <v>37</v>
      </c>
      <c r="D183" s="4">
        <f>VLOOKUP($A183,[1]中含分析60315!$A:$M,10,0)</f>
        <v>36</v>
      </c>
      <c r="E183" s="4">
        <f>VLOOKUP($A183,[1]中含分析60315!$A:$M,11,0)</f>
        <v>34</v>
      </c>
      <c r="F183" s="4">
        <f>VLOOKUP($A183,[1]中含分析60315!$A:$M,12,0)</f>
        <v>33</v>
      </c>
      <c r="G183" s="4">
        <f>VLOOKUP($A183,[1]中含分析60315!$A:$M,13,0)</f>
        <v>32</v>
      </c>
      <c r="H183" s="3" t="s">
        <v>10</v>
      </c>
      <c r="I183" s="3" t="s">
        <v>372</v>
      </c>
    </row>
    <row r="184" customHeight="1" spans="1:9">
      <c r="A184" s="4" t="s">
        <v>373</v>
      </c>
      <c r="B184" s="4">
        <f>VLOOKUP($A184,[1]中含分析60315!$A:$M,8,0)</f>
        <v>34</v>
      </c>
      <c r="C184" s="4">
        <f>VLOOKUP($A184,[1]中含分析60315!$A:$M,9,0)</f>
        <v>33</v>
      </c>
      <c r="D184" s="4">
        <f>VLOOKUP($A184,[1]中含分析60315!$A:$M,10,0)</f>
        <v>32</v>
      </c>
      <c r="E184" s="4">
        <f>VLOOKUP($A184,[1]中含分析60315!$A:$M,11,0)</f>
        <v>30</v>
      </c>
      <c r="F184" s="4">
        <f>VLOOKUP($A184,[1]中含分析60315!$A:$M,12,0)</f>
        <v>29</v>
      </c>
      <c r="G184" s="4">
        <f>VLOOKUP($A184,[1]中含分析60315!$A:$M,13,0)</f>
        <v>28</v>
      </c>
      <c r="H184" s="3" t="s">
        <v>10</v>
      </c>
      <c r="I184" s="3" t="s">
        <v>374</v>
      </c>
    </row>
    <row r="185" customHeight="1" spans="1:9">
      <c r="A185" s="4" t="s">
        <v>375</v>
      </c>
      <c r="B185" s="4">
        <f>VLOOKUP($A185,[1]中含分析60315!$A:$M,8,0)</f>
        <v>43</v>
      </c>
      <c r="C185" s="4">
        <f>VLOOKUP($A185,[1]中含分析60315!$A:$M,9,0)</f>
        <v>41</v>
      </c>
      <c r="D185" s="4">
        <f>VLOOKUP($A185,[1]中含分析60315!$A:$M,10,0)</f>
        <v>40</v>
      </c>
      <c r="E185" s="4">
        <f>VLOOKUP($A185,[1]中含分析60315!$A:$M,11,0)</f>
        <v>38</v>
      </c>
      <c r="F185" s="4">
        <f>VLOOKUP($A185,[1]中含分析60315!$A:$M,12,0)</f>
        <v>36</v>
      </c>
      <c r="G185" s="4">
        <f>VLOOKUP($A185,[1]中含分析60315!$A:$M,13,0)</f>
        <v>35</v>
      </c>
      <c r="H185" s="3" t="s">
        <v>10</v>
      </c>
      <c r="I185" s="3" t="s">
        <v>376</v>
      </c>
    </row>
    <row r="186" customHeight="1" spans="1:9">
      <c r="A186" s="4" t="s">
        <v>377</v>
      </c>
      <c r="B186" s="4">
        <f>VLOOKUP($A186,[1]中含分析60315!$A:$M,8,0)</f>
        <v>47</v>
      </c>
      <c r="C186" s="4">
        <f>VLOOKUP($A186,[1]中含分析60315!$A:$M,9,0)</f>
        <v>46</v>
      </c>
      <c r="D186" s="4">
        <f>VLOOKUP($A186,[1]中含分析60315!$A:$M,10,0)</f>
        <v>44</v>
      </c>
      <c r="E186" s="4">
        <f>VLOOKUP($A186,[1]中含分析60315!$A:$M,11,0)</f>
        <v>42</v>
      </c>
      <c r="F186" s="4">
        <f>VLOOKUP($A186,[1]中含分析60315!$A:$M,12,0)</f>
        <v>40</v>
      </c>
      <c r="G186" s="4">
        <f>VLOOKUP($A186,[1]中含分析60315!$A:$M,13,0)</f>
        <v>39</v>
      </c>
      <c r="H186" s="3" t="s">
        <v>10</v>
      </c>
      <c r="I186" s="3" t="s">
        <v>310</v>
      </c>
    </row>
    <row r="187" customHeight="1" spans="1:9">
      <c r="A187" s="4" t="s">
        <v>378</v>
      </c>
      <c r="B187" s="4">
        <f>VLOOKUP($A187,[1]中含分析60315!$A:$M,8,0)</f>
        <v>26</v>
      </c>
      <c r="C187" s="4">
        <f>VLOOKUP($A187,[1]中含分析60315!$A:$M,9,0)</f>
        <v>25</v>
      </c>
      <c r="D187" s="4">
        <f>VLOOKUP($A187,[1]中含分析60315!$A:$M,10,0)</f>
        <v>24</v>
      </c>
      <c r="E187" s="4">
        <f>VLOOKUP($A187,[1]中含分析60315!$A:$M,11,0)</f>
        <v>23</v>
      </c>
      <c r="F187" s="4">
        <f>VLOOKUP($A187,[1]中含分析60315!$A:$M,12,0)</f>
        <v>22</v>
      </c>
      <c r="G187" s="4">
        <f>VLOOKUP($A187,[1]中含分析60315!$A:$M,13,0)</f>
        <v>21</v>
      </c>
      <c r="H187" s="3" t="s">
        <v>10</v>
      </c>
      <c r="I187" s="3" t="s">
        <v>19</v>
      </c>
    </row>
    <row r="188" customHeight="1" spans="1:9">
      <c r="A188" s="4" t="s">
        <v>379</v>
      </c>
      <c r="B188" s="4">
        <f>VLOOKUP($A188,[1]中含分析60315!$A:$M,8,0)</f>
        <v>35</v>
      </c>
      <c r="C188" s="4">
        <f>VLOOKUP($A188,[1]中含分析60315!$A:$M,9,0)</f>
        <v>34</v>
      </c>
      <c r="D188" s="4">
        <f>VLOOKUP($A188,[1]中含分析60315!$A:$M,10,0)</f>
        <v>32</v>
      </c>
      <c r="E188" s="4">
        <f>VLOOKUP($A188,[1]中含分析60315!$A:$M,11,0)</f>
        <v>31</v>
      </c>
      <c r="F188" s="4">
        <f>VLOOKUP($A188,[1]中含分析60315!$A:$M,12,0)</f>
        <v>30</v>
      </c>
      <c r="G188" s="4">
        <f>VLOOKUP($A188,[1]中含分析60315!$A:$M,13,0)</f>
        <v>29</v>
      </c>
      <c r="H188" s="3" t="s">
        <v>10</v>
      </c>
      <c r="I188" s="3" t="s">
        <v>380</v>
      </c>
    </row>
    <row r="189" customHeight="1" spans="1:9">
      <c r="A189" s="4" t="s">
        <v>381</v>
      </c>
      <c r="B189" s="4">
        <f>VLOOKUP($A189,[1]中含分析60315!$A:$M,8,0)</f>
        <v>29</v>
      </c>
      <c r="C189" s="4">
        <f>VLOOKUP($A189,[1]中含分析60315!$A:$M,9,0)</f>
        <v>28</v>
      </c>
      <c r="D189" s="4">
        <f>VLOOKUP($A189,[1]中含分析60315!$A:$M,10,0)</f>
        <v>27</v>
      </c>
      <c r="E189" s="4">
        <f>VLOOKUP($A189,[1]中含分析60315!$A:$M,11,0)</f>
        <v>26</v>
      </c>
      <c r="F189" s="4">
        <f>VLOOKUP($A189,[1]中含分析60315!$A:$M,12,0)</f>
        <v>25</v>
      </c>
      <c r="G189" s="4">
        <f>VLOOKUP($A189,[1]中含分析60315!$A:$M,13,0)</f>
        <v>24</v>
      </c>
      <c r="H189" s="3" t="s">
        <v>10</v>
      </c>
      <c r="I189" s="3" t="s">
        <v>382</v>
      </c>
    </row>
    <row r="190" customHeight="1" spans="1:9">
      <c r="A190" s="4" t="s">
        <v>383</v>
      </c>
      <c r="B190" s="4">
        <f>VLOOKUP($A190,[1]中含分析60315!$A:$M,8,0)</f>
        <v>39</v>
      </c>
      <c r="C190" s="4">
        <f>VLOOKUP($A190,[1]中含分析60315!$A:$M,9,0)</f>
        <v>38</v>
      </c>
      <c r="D190" s="4">
        <f>VLOOKUP($A190,[1]中含分析60315!$A:$M,10,0)</f>
        <v>36</v>
      </c>
      <c r="E190" s="4">
        <f>VLOOKUP($A190,[1]中含分析60315!$A:$M,11,0)</f>
        <v>35</v>
      </c>
      <c r="F190" s="4">
        <f>VLOOKUP($A190,[1]中含分析60315!$A:$M,12,0)</f>
        <v>33</v>
      </c>
      <c r="G190" s="4">
        <f>VLOOKUP($A190,[1]中含分析60315!$A:$M,13,0)</f>
        <v>32</v>
      </c>
      <c r="H190" s="3" t="s">
        <v>10</v>
      </c>
      <c r="I190" s="3" t="s">
        <v>384</v>
      </c>
    </row>
    <row r="191" customHeight="1" spans="1:9">
      <c r="A191" s="4" t="s">
        <v>385</v>
      </c>
      <c r="B191" s="4">
        <f>VLOOKUP($A191,[1]中含分析60315!$A:$M,8,0)</f>
        <v>33</v>
      </c>
      <c r="C191" s="4">
        <f>VLOOKUP($A191,[1]中含分析60315!$A:$M,9,0)</f>
        <v>32</v>
      </c>
      <c r="D191" s="4">
        <f>VLOOKUP($A191,[1]中含分析60315!$A:$M,10,0)</f>
        <v>31</v>
      </c>
      <c r="E191" s="4">
        <f>VLOOKUP($A191,[1]中含分析60315!$A:$M,11,0)</f>
        <v>29</v>
      </c>
      <c r="F191" s="4">
        <f>VLOOKUP($A191,[1]中含分析60315!$A:$M,12,0)</f>
        <v>28</v>
      </c>
      <c r="G191" s="4">
        <f>VLOOKUP($A191,[1]中含分析60315!$A:$M,13,0)</f>
        <v>27</v>
      </c>
      <c r="H191" s="3" t="s">
        <v>10</v>
      </c>
      <c r="I191" s="3" t="s">
        <v>386</v>
      </c>
    </row>
    <row r="192" customHeight="1" spans="1:9">
      <c r="A192" s="4" t="s">
        <v>387</v>
      </c>
      <c r="B192" s="4">
        <f>VLOOKUP($A192,[1]中含分析60315!$A:$M,8,0)</f>
        <v>40</v>
      </c>
      <c r="C192" s="4">
        <f>VLOOKUP($A192,[1]中含分析60315!$A:$M,9,0)</f>
        <v>39</v>
      </c>
      <c r="D192" s="4">
        <f>VLOOKUP($A192,[1]中含分析60315!$A:$M,10,0)</f>
        <v>38</v>
      </c>
      <c r="E192" s="4">
        <f>VLOOKUP($A192,[1]中含分析60315!$A:$M,11,0)</f>
        <v>38</v>
      </c>
      <c r="F192" s="4">
        <f>VLOOKUP($A192,[1]中含分析60315!$A:$M,12,0)</f>
        <v>37</v>
      </c>
      <c r="G192" s="4">
        <f>VLOOKUP($A192,[1]中含分析60315!$A:$M,13,0)</f>
        <v>37</v>
      </c>
      <c r="H192" s="3" t="s">
        <v>39</v>
      </c>
      <c r="I192" s="3" t="s">
        <v>388</v>
      </c>
    </row>
    <row r="193" customHeight="1" spans="1:9">
      <c r="A193" s="4" t="s">
        <v>389</v>
      </c>
      <c r="B193" s="4">
        <f>VLOOKUP($A193,[1]中含分析60315!$A:$M,8,0)</f>
        <v>44</v>
      </c>
      <c r="C193" s="4">
        <f>VLOOKUP($A193,[1]中含分析60315!$A:$M,9,0)</f>
        <v>42</v>
      </c>
      <c r="D193" s="4">
        <f>VLOOKUP($A193,[1]中含分析60315!$A:$M,10,0)</f>
        <v>41</v>
      </c>
      <c r="E193" s="4">
        <f>VLOOKUP($A193,[1]中含分析60315!$A:$M,11,0)</f>
        <v>39</v>
      </c>
      <c r="F193" s="4">
        <f>VLOOKUP($A193,[1]中含分析60315!$A:$M,12,0)</f>
        <v>38</v>
      </c>
      <c r="G193" s="4">
        <f>VLOOKUP($A193,[1]中含分析60315!$A:$M,13,0)</f>
        <v>36</v>
      </c>
      <c r="H193" s="3" t="s">
        <v>10</v>
      </c>
      <c r="I193" s="3" t="s">
        <v>390</v>
      </c>
    </row>
    <row r="194" customHeight="1" spans="1:9">
      <c r="A194" s="4" t="s">
        <v>391</v>
      </c>
      <c r="B194" s="4">
        <f>VLOOKUP($A194,[1]中含分析60315!$A:$M,8,0)</f>
        <v>51</v>
      </c>
      <c r="C194" s="4">
        <f>VLOOKUP($A194,[1]中含分析60315!$A:$M,9,0)</f>
        <v>49</v>
      </c>
      <c r="D194" s="4">
        <f>VLOOKUP($A194,[1]中含分析60315!$A:$M,10,0)</f>
        <v>48</v>
      </c>
      <c r="E194" s="4">
        <f>VLOOKUP($A194,[1]中含分析60315!$A:$M,11,0)</f>
        <v>46</v>
      </c>
      <c r="F194" s="4">
        <f>VLOOKUP($A194,[1]中含分析60315!$A:$M,12,0)</f>
        <v>44</v>
      </c>
      <c r="G194" s="4">
        <f>VLOOKUP($A194,[1]中含分析60315!$A:$M,13,0)</f>
        <v>42</v>
      </c>
      <c r="H194" s="3" t="s">
        <v>10</v>
      </c>
      <c r="I194" s="3" t="s">
        <v>392</v>
      </c>
    </row>
    <row r="195" customHeight="1" spans="1:9">
      <c r="A195" s="4" t="s">
        <v>393</v>
      </c>
      <c r="B195" s="4">
        <f>VLOOKUP($A195,[1]中含分析60315!$A:$M,8,0)</f>
        <v>31</v>
      </c>
      <c r="C195" s="4">
        <f>VLOOKUP($A195,[1]中含分析60315!$A:$M,9,0)</f>
        <v>30</v>
      </c>
      <c r="D195" s="4">
        <f>VLOOKUP($A195,[1]中含分析60315!$A:$M,10,0)</f>
        <v>29</v>
      </c>
      <c r="E195" s="4">
        <f>VLOOKUP($A195,[1]中含分析60315!$A:$M,11,0)</f>
        <v>27</v>
      </c>
      <c r="F195" s="4">
        <f>VLOOKUP($A195,[1]中含分析60315!$A:$M,12,0)</f>
        <v>26</v>
      </c>
      <c r="G195" s="4">
        <f>VLOOKUP($A195,[1]中含分析60315!$A:$M,13,0)</f>
        <v>25</v>
      </c>
      <c r="H195" s="3" t="s">
        <v>10</v>
      </c>
      <c r="I195" s="3" t="s">
        <v>394</v>
      </c>
    </row>
    <row r="196" customHeight="1" spans="1:9">
      <c r="A196" s="4" t="s">
        <v>395</v>
      </c>
      <c r="B196" s="4">
        <f>VLOOKUP($A196,[1]中含分析60315!$A:$M,8,0)</f>
        <v>36</v>
      </c>
      <c r="C196" s="4">
        <f>VLOOKUP($A196,[1]中含分析60315!$A:$M,9,0)</f>
        <v>34</v>
      </c>
      <c r="D196" s="4">
        <f>VLOOKUP($A196,[1]中含分析60315!$A:$M,10,0)</f>
        <v>33</v>
      </c>
      <c r="E196" s="4">
        <f>VLOOKUP($A196,[1]中含分析60315!$A:$M,11,0)</f>
        <v>32</v>
      </c>
      <c r="F196" s="4">
        <f>VLOOKUP($A196,[1]中含分析60315!$A:$M,12,0)</f>
        <v>30</v>
      </c>
      <c r="G196" s="4">
        <f>VLOOKUP($A196,[1]中含分析60315!$A:$M,13,0)</f>
        <v>29</v>
      </c>
      <c r="H196" s="3" t="s">
        <v>10</v>
      </c>
      <c r="I196" s="3" t="s">
        <v>396</v>
      </c>
    </row>
    <row r="197" customHeight="1" spans="1:9">
      <c r="A197" s="4" t="s">
        <v>397</v>
      </c>
      <c r="B197" s="4">
        <f>VLOOKUP($A197,[1]中含分析60315!$A:$M,8,0)</f>
        <v>48</v>
      </c>
      <c r="C197" s="4">
        <f>VLOOKUP($A197,[1]中含分析60315!$A:$M,9,0)</f>
        <v>46</v>
      </c>
      <c r="D197" s="4">
        <f>VLOOKUP($A197,[1]中含分析60315!$A:$M,10,0)</f>
        <v>45</v>
      </c>
      <c r="E197" s="4">
        <f>VLOOKUP($A197,[1]中含分析60315!$A:$M,11,0)</f>
        <v>43</v>
      </c>
      <c r="F197" s="4">
        <f>VLOOKUP($A197,[1]中含分析60315!$A:$M,12,0)</f>
        <v>41</v>
      </c>
      <c r="G197" s="4">
        <f>VLOOKUP($A197,[1]中含分析60315!$A:$M,13,0)</f>
        <v>39</v>
      </c>
      <c r="H197" s="3" t="s">
        <v>10</v>
      </c>
      <c r="I197" s="3" t="s">
        <v>398</v>
      </c>
    </row>
    <row r="198" customHeight="1" spans="1:9">
      <c r="A198" s="4" t="s">
        <v>399</v>
      </c>
      <c r="B198" s="4">
        <f>VLOOKUP($A198,[1]中含分析60315!$A:$M,8,0)</f>
        <v>46</v>
      </c>
      <c r="C198" s="4">
        <f>VLOOKUP($A198,[1]中含分析60315!$A:$M,9,0)</f>
        <v>45</v>
      </c>
      <c r="D198" s="4">
        <f>VLOOKUP($A198,[1]中含分析60315!$A:$M,10,0)</f>
        <v>43</v>
      </c>
      <c r="E198" s="4">
        <f>VLOOKUP($A198,[1]中含分析60315!$A:$M,11,0)</f>
        <v>41</v>
      </c>
      <c r="F198" s="4">
        <f>VLOOKUP($A198,[1]中含分析60315!$A:$M,12,0)</f>
        <v>39</v>
      </c>
      <c r="G198" s="4">
        <f>VLOOKUP($A198,[1]中含分析60315!$A:$M,13,0)</f>
        <v>38</v>
      </c>
      <c r="H198" s="3" t="s">
        <v>10</v>
      </c>
      <c r="I198" s="3" t="s">
        <v>400</v>
      </c>
    </row>
    <row r="199" customHeight="1" spans="1:9">
      <c r="A199" s="4" t="s">
        <v>401</v>
      </c>
      <c r="B199" s="4">
        <f>VLOOKUP($A199,[1]中含分析60315!$A:$M,8,0)</f>
        <v>154</v>
      </c>
      <c r="C199" s="4">
        <f>VLOOKUP($A199,[1]中含分析60315!$A:$M,9,0)</f>
        <v>151</v>
      </c>
      <c r="D199" s="4">
        <f>VLOOKUP($A199,[1]中含分析60315!$A:$M,10,0)</f>
        <v>149</v>
      </c>
      <c r="E199" s="4">
        <f>VLOOKUP($A199,[1]中含分析60315!$A:$M,11,0)</f>
        <v>146</v>
      </c>
      <c r="F199" s="4">
        <f>VLOOKUP($A199,[1]中含分析60315!$A:$M,12,0)</f>
        <v>145</v>
      </c>
      <c r="G199" s="4">
        <f>VLOOKUP($A199,[1]中含分析60315!$A:$M,13,0)</f>
        <v>142</v>
      </c>
      <c r="H199" s="3" t="s">
        <v>39</v>
      </c>
      <c r="I199" s="3" t="s">
        <v>402</v>
      </c>
    </row>
    <row r="200" customHeight="1" spans="1:9">
      <c r="A200" s="4" t="s">
        <v>403</v>
      </c>
      <c r="B200" s="4">
        <f>VLOOKUP($A200,[1]中含分析60315!$A:$M,8,0)</f>
        <v>38</v>
      </c>
      <c r="C200" s="4">
        <f>VLOOKUP($A200,[1]中含分析60315!$A:$M,9,0)</f>
        <v>36</v>
      </c>
      <c r="D200" s="4">
        <f>VLOOKUP($A200,[1]中含分析60315!$A:$M,10,0)</f>
        <v>35</v>
      </c>
      <c r="E200" s="4">
        <f>VLOOKUP($A200,[1]中含分析60315!$A:$M,11,0)</f>
        <v>33</v>
      </c>
      <c r="F200" s="4">
        <f>VLOOKUP($A200,[1]中含分析60315!$A:$M,12,0)</f>
        <v>32</v>
      </c>
      <c r="G200" s="4">
        <f>VLOOKUP($A200,[1]中含分析60315!$A:$M,13,0)</f>
        <v>31</v>
      </c>
      <c r="H200" s="3" t="s">
        <v>10</v>
      </c>
      <c r="I200" s="3" t="s">
        <v>404</v>
      </c>
    </row>
    <row r="201" customHeight="1" spans="1:9">
      <c r="A201" s="4" t="s">
        <v>405</v>
      </c>
      <c r="B201" s="4">
        <f>VLOOKUP($A201,[1]中含分析60315!$A:$M,8,0)</f>
        <v>43</v>
      </c>
      <c r="C201" s="4">
        <f>VLOOKUP($A201,[1]中含分析60315!$A:$M,9,0)</f>
        <v>41</v>
      </c>
      <c r="D201" s="4">
        <f>VLOOKUP($A201,[1]中含分析60315!$A:$M,10,0)</f>
        <v>39</v>
      </c>
      <c r="E201" s="4">
        <f>VLOOKUP($A201,[1]中含分析60315!$A:$M,11,0)</f>
        <v>38</v>
      </c>
      <c r="F201" s="4">
        <f>VLOOKUP($A201,[1]中含分析60315!$A:$M,12,0)</f>
        <v>36</v>
      </c>
      <c r="G201" s="4">
        <f>VLOOKUP($A201,[1]中含分析60315!$A:$M,13,0)</f>
        <v>35</v>
      </c>
      <c r="H201" s="3" t="s">
        <v>10</v>
      </c>
      <c r="I201" s="3" t="s">
        <v>406</v>
      </c>
    </row>
    <row r="202" customHeight="1" spans="1:9">
      <c r="A202" s="4" t="s">
        <v>407</v>
      </c>
      <c r="B202" s="4">
        <f>VLOOKUP($A202,[1]中含分析60315!$A:$M,8,0)</f>
        <v>47</v>
      </c>
      <c r="C202" s="4">
        <f>VLOOKUP($A202,[1]中含分析60315!$A:$M,9,0)</f>
        <v>45</v>
      </c>
      <c r="D202" s="4">
        <f>VLOOKUP($A202,[1]中含分析60315!$A:$M,10,0)</f>
        <v>43</v>
      </c>
      <c r="E202" s="4">
        <f>VLOOKUP($A202,[1]中含分析60315!$A:$M,11,0)</f>
        <v>41</v>
      </c>
      <c r="F202" s="4">
        <f>VLOOKUP($A202,[1]中含分析60315!$A:$M,12,0)</f>
        <v>40</v>
      </c>
      <c r="G202" s="4">
        <f>VLOOKUP($A202,[1]中含分析60315!$A:$M,13,0)</f>
        <v>38</v>
      </c>
      <c r="H202" s="3" t="s">
        <v>10</v>
      </c>
      <c r="I202" s="3" t="s">
        <v>408</v>
      </c>
    </row>
    <row r="203" customHeight="1" spans="1:9">
      <c r="A203" s="4" t="s">
        <v>409</v>
      </c>
      <c r="B203" s="4">
        <f>VLOOKUP($A203,[1]中含分析60315!$A:$M,8,0)</f>
        <v>46</v>
      </c>
      <c r="C203" s="4">
        <f>VLOOKUP($A203,[1]中含分析60315!$A:$M,9,0)</f>
        <v>45</v>
      </c>
      <c r="D203" s="4">
        <f>VLOOKUP($A203,[1]中含分析60315!$A:$M,10,0)</f>
        <v>43</v>
      </c>
      <c r="E203" s="4">
        <f>VLOOKUP($A203,[1]中含分析60315!$A:$M,11,0)</f>
        <v>41</v>
      </c>
      <c r="F203" s="4">
        <f>VLOOKUP($A203,[1]中含分析60315!$A:$M,12,0)</f>
        <v>40</v>
      </c>
      <c r="G203" s="4">
        <f>VLOOKUP($A203,[1]中含分析60315!$A:$M,13,0)</f>
        <v>38</v>
      </c>
      <c r="H203" s="3" t="s">
        <v>10</v>
      </c>
      <c r="I203" s="3" t="s">
        <v>410</v>
      </c>
    </row>
    <row r="204" customHeight="1" spans="1:9">
      <c r="A204" s="4" t="s">
        <v>411</v>
      </c>
      <c r="B204" s="4">
        <f>VLOOKUP($A204,[1]中含分析60315!$A:$M,8,0)</f>
        <v>45</v>
      </c>
      <c r="C204" s="4">
        <f>VLOOKUP($A204,[1]中含分析60315!$A:$M,9,0)</f>
        <v>43</v>
      </c>
      <c r="D204" s="4">
        <f>VLOOKUP($A204,[1]中含分析60315!$A:$M,10,0)</f>
        <v>41</v>
      </c>
      <c r="E204" s="4">
        <f>VLOOKUP($A204,[1]中含分析60315!$A:$M,11,0)</f>
        <v>40</v>
      </c>
      <c r="F204" s="4">
        <f>VLOOKUP($A204,[1]中含分析60315!$A:$M,12,0)</f>
        <v>38</v>
      </c>
      <c r="G204" s="4">
        <f>VLOOKUP($A204,[1]中含分析60315!$A:$M,13,0)</f>
        <v>36</v>
      </c>
      <c r="H204" s="3" t="s">
        <v>10</v>
      </c>
      <c r="I204" s="3" t="s">
        <v>412</v>
      </c>
    </row>
    <row r="205" customHeight="1" spans="1:9">
      <c r="A205" s="4" t="s">
        <v>413</v>
      </c>
      <c r="B205" s="4">
        <f>VLOOKUP($A205,[1]中含分析60315!$A:$M,8,0)</f>
        <v>26</v>
      </c>
      <c r="C205" s="4">
        <f>VLOOKUP($A205,[1]中含分析60315!$A:$M,9,0)</f>
        <v>25</v>
      </c>
      <c r="D205" s="4">
        <f>VLOOKUP($A205,[1]中含分析60315!$A:$M,10,0)</f>
        <v>24</v>
      </c>
      <c r="E205" s="4">
        <f>VLOOKUP($A205,[1]中含分析60315!$A:$M,11,0)</f>
        <v>23</v>
      </c>
      <c r="F205" s="4">
        <f>VLOOKUP($A205,[1]中含分析60315!$A:$M,12,0)</f>
        <v>22</v>
      </c>
      <c r="G205" s="4">
        <f>VLOOKUP($A205,[1]中含分析60315!$A:$M,13,0)</f>
        <v>22</v>
      </c>
      <c r="H205" s="3" t="s">
        <v>10</v>
      </c>
      <c r="I205" s="3" t="s">
        <v>414</v>
      </c>
    </row>
    <row r="206" customHeight="1" spans="1:9">
      <c r="A206" s="4" t="s">
        <v>415</v>
      </c>
      <c r="B206" s="4">
        <f>VLOOKUP($A206,[1]中含分析60315!$A:$M,8,0)</f>
        <v>32</v>
      </c>
      <c r="C206" s="4">
        <f>VLOOKUP($A206,[1]中含分析60315!$A:$M,9,0)</f>
        <v>30</v>
      </c>
      <c r="D206" s="4">
        <f>VLOOKUP($A206,[1]中含分析60315!$A:$M,10,0)</f>
        <v>29</v>
      </c>
      <c r="E206" s="4">
        <f>VLOOKUP($A206,[1]中含分析60315!$A:$M,11,0)</f>
        <v>28</v>
      </c>
      <c r="F206" s="4">
        <f>VLOOKUP($A206,[1]中含分析60315!$A:$M,12,0)</f>
        <v>27</v>
      </c>
      <c r="G206" s="4">
        <f>VLOOKUP($A206,[1]中含分析60315!$A:$M,13,0)</f>
        <v>26</v>
      </c>
      <c r="H206" s="3" t="s">
        <v>10</v>
      </c>
      <c r="I206" s="3" t="s">
        <v>416</v>
      </c>
    </row>
    <row r="207" customHeight="1" spans="1:9">
      <c r="A207" s="4" t="s">
        <v>417</v>
      </c>
      <c r="B207" s="4">
        <f>VLOOKUP($A207,[1]中含分析60315!$A:$M,8,0)</f>
        <v>73</v>
      </c>
      <c r="C207" s="4">
        <f>VLOOKUP($A207,[1]中含分析60315!$A:$M,9,0)</f>
        <v>71</v>
      </c>
      <c r="D207" s="4">
        <f>VLOOKUP($A207,[1]中含分析60315!$A:$M,10,0)</f>
        <v>70</v>
      </c>
      <c r="E207" s="4">
        <f>VLOOKUP($A207,[1]中含分析60315!$A:$M,11,0)</f>
        <v>69</v>
      </c>
      <c r="F207" s="4">
        <f>VLOOKUP($A207,[1]中含分析60315!$A:$M,12,0)</f>
        <v>68</v>
      </c>
      <c r="G207" s="4">
        <f>VLOOKUP($A207,[1]中含分析60315!$A:$M,13,0)</f>
        <v>67</v>
      </c>
      <c r="H207" s="3" t="s">
        <v>39</v>
      </c>
      <c r="I207" s="3" t="s">
        <v>418</v>
      </c>
    </row>
    <row r="208" customHeight="1" spans="1:9">
      <c r="A208" s="4" t="s">
        <v>419</v>
      </c>
      <c r="B208" s="4">
        <f>VLOOKUP($A208,[1]中含分析60315!$A:$M,8,0)</f>
        <v>43</v>
      </c>
      <c r="C208" s="4">
        <f>VLOOKUP($A208,[1]中含分析60315!$A:$M,9,0)</f>
        <v>41</v>
      </c>
      <c r="D208" s="4">
        <f>VLOOKUP($A208,[1]中含分析60315!$A:$M,10,0)</f>
        <v>40</v>
      </c>
      <c r="E208" s="4">
        <f>VLOOKUP($A208,[1]中含分析60315!$A:$M,11,0)</f>
        <v>38</v>
      </c>
      <c r="F208" s="4">
        <f>VLOOKUP($A208,[1]中含分析60315!$A:$M,12,0)</f>
        <v>36</v>
      </c>
      <c r="G208" s="4">
        <f>VLOOKUP($A208,[1]中含分析60315!$A:$M,13,0)</f>
        <v>35</v>
      </c>
      <c r="H208" s="3" t="s">
        <v>10</v>
      </c>
      <c r="I208" s="3" t="s">
        <v>420</v>
      </c>
    </row>
    <row r="209" customHeight="1" spans="1:9">
      <c r="A209" s="4" t="s">
        <v>421</v>
      </c>
      <c r="B209" s="4">
        <f>VLOOKUP($A209,[1]中含分析60315!$A:$M,8,0)</f>
        <v>39</v>
      </c>
      <c r="C209" s="4">
        <f>VLOOKUP($A209,[1]中含分析60315!$A:$M,9,0)</f>
        <v>38</v>
      </c>
      <c r="D209" s="4">
        <f>VLOOKUP($A209,[1]中含分析60315!$A:$M,10,0)</f>
        <v>36</v>
      </c>
      <c r="E209" s="4">
        <f>VLOOKUP($A209,[1]中含分析60315!$A:$M,11,0)</f>
        <v>35</v>
      </c>
      <c r="F209" s="4">
        <f>VLOOKUP($A209,[1]中含分析60315!$A:$M,12,0)</f>
        <v>33</v>
      </c>
      <c r="G209" s="4">
        <f>VLOOKUP($A209,[1]中含分析60315!$A:$M,13,0)</f>
        <v>32</v>
      </c>
      <c r="H209" s="3" t="s">
        <v>10</v>
      </c>
      <c r="I209" s="3" t="s">
        <v>422</v>
      </c>
    </row>
    <row r="210" customHeight="1" spans="1:9">
      <c r="A210" s="4" t="s">
        <v>423</v>
      </c>
      <c r="B210" s="4">
        <f>VLOOKUP($A210,[1]中含分析60315!$A:$M,8,0)</f>
        <v>39</v>
      </c>
      <c r="C210" s="4">
        <f>VLOOKUP($A210,[1]中含分析60315!$A:$M,9,0)</f>
        <v>37</v>
      </c>
      <c r="D210" s="4">
        <f>VLOOKUP($A210,[1]中含分析60315!$A:$M,10,0)</f>
        <v>36</v>
      </c>
      <c r="E210" s="4">
        <f>VLOOKUP($A210,[1]中含分析60315!$A:$M,11,0)</f>
        <v>35</v>
      </c>
      <c r="F210" s="4">
        <f>VLOOKUP($A210,[1]中含分析60315!$A:$M,12,0)</f>
        <v>33</v>
      </c>
      <c r="G210" s="4">
        <f>VLOOKUP($A210,[1]中含分析60315!$A:$M,13,0)</f>
        <v>32</v>
      </c>
      <c r="H210" s="3" t="s">
        <v>10</v>
      </c>
      <c r="I210" s="3" t="s">
        <v>424</v>
      </c>
    </row>
    <row r="211" customHeight="1" spans="1:9">
      <c r="A211" s="4" t="s">
        <v>425</v>
      </c>
      <c r="B211" s="4">
        <f>VLOOKUP($A211,[1]中含分析60315!$A:$M,8,0)</f>
        <v>45</v>
      </c>
      <c r="C211" s="4">
        <f>VLOOKUP($A211,[1]中含分析60315!$A:$M,9,0)</f>
        <v>44</v>
      </c>
      <c r="D211" s="4">
        <f>VLOOKUP($A211,[1]中含分析60315!$A:$M,10,0)</f>
        <v>42</v>
      </c>
      <c r="E211" s="4">
        <f>VLOOKUP($A211,[1]中含分析60315!$A:$M,11,0)</f>
        <v>40</v>
      </c>
      <c r="F211" s="4">
        <f>VLOOKUP($A211,[1]中含分析60315!$A:$M,12,0)</f>
        <v>39</v>
      </c>
      <c r="G211" s="4">
        <f>VLOOKUP($A211,[1]中含分析60315!$A:$M,13,0)</f>
        <v>37</v>
      </c>
      <c r="H211" s="3" t="s">
        <v>10</v>
      </c>
      <c r="I211" s="3" t="s">
        <v>426</v>
      </c>
    </row>
    <row r="212" customHeight="1" spans="1:9">
      <c r="A212" s="4" t="s">
        <v>427</v>
      </c>
      <c r="B212" s="4">
        <f>VLOOKUP($A212,[1]中含分析60315!$A:$M,8,0)</f>
        <v>45</v>
      </c>
      <c r="C212" s="4">
        <f>VLOOKUP($A212,[1]中含分析60315!$A:$M,9,0)</f>
        <v>43</v>
      </c>
      <c r="D212" s="4">
        <f>VLOOKUP($A212,[1]中含分析60315!$A:$M,10,0)</f>
        <v>41</v>
      </c>
      <c r="E212" s="4">
        <f>VLOOKUP($A212,[1]中含分析60315!$A:$M,11,0)</f>
        <v>40</v>
      </c>
      <c r="F212" s="4">
        <f>VLOOKUP($A212,[1]中含分析60315!$A:$M,12,0)</f>
        <v>38</v>
      </c>
      <c r="G212" s="4">
        <f>VLOOKUP($A212,[1]中含分析60315!$A:$M,13,0)</f>
        <v>36</v>
      </c>
      <c r="H212" s="3" t="s">
        <v>10</v>
      </c>
      <c r="I212" s="3" t="s">
        <v>428</v>
      </c>
    </row>
    <row r="213" customHeight="1" spans="1:9">
      <c r="A213" s="4" t="s">
        <v>429</v>
      </c>
      <c r="B213" s="4">
        <f>VLOOKUP($A213,[1]中含分析60315!$A:$M,8,0)</f>
        <v>45</v>
      </c>
      <c r="C213" s="4">
        <f>VLOOKUP($A213,[1]中含分析60315!$A:$M,9,0)</f>
        <v>43</v>
      </c>
      <c r="D213" s="4">
        <f>VLOOKUP($A213,[1]中含分析60315!$A:$M,10,0)</f>
        <v>42</v>
      </c>
      <c r="E213" s="4">
        <f>VLOOKUP($A213,[1]中含分析60315!$A:$M,11,0)</f>
        <v>40</v>
      </c>
      <c r="F213" s="4">
        <f>VLOOKUP($A213,[1]中含分析60315!$A:$M,12,0)</f>
        <v>39</v>
      </c>
      <c r="G213" s="4">
        <f>VLOOKUP($A213,[1]中含分析60315!$A:$M,13,0)</f>
        <v>37</v>
      </c>
      <c r="H213" s="3" t="s">
        <v>10</v>
      </c>
      <c r="I213" s="3" t="s">
        <v>430</v>
      </c>
    </row>
    <row r="214" customHeight="1" spans="1:9">
      <c r="A214" s="4" t="s">
        <v>431</v>
      </c>
      <c r="B214" s="4">
        <f>VLOOKUP($A214,[1]中含分析60315!$A:$M,8,0)</f>
        <v>34</v>
      </c>
      <c r="C214" s="4">
        <f>VLOOKUP($A214,[1]中含分析60315!$A:$M,9,0)</f>
        <v>32</v>
      </c>
      <c r="D214" s="4">
        <f>VLOOKUP($A214,[1]中含分析60315!$A:$M,10,0)</f>
        <v>31</v>
      </c>
      <c r="E214" s="4">
        <f>VLOOKUP($A214,[1]中含分析60315!$A:$M,11,0)</f>
        <v>30</v>
      </c>
      <c r="F214" s="4">
        <f>VLOOKUP($A214,[1]中含分析60315!$A:$M,12,0)</f>
        <v>29</v>
      </c>
      <c r="G214" s="4">
        <f>VLOOKUP($A214,[1]中含分析60315!$A:$M,13,0)</f>
        <v>27</v>
      </c>
      <c r="H214" s="3" t="s">
        <v>10</v>
      </c>
      <c r="I214" s="3" t="s">
        <v>432</v>
      </c>
    </row>
    <row r="215" customHeight="1" spans="1:9">
      <c r="A215" s="4" t="s">
        <v>433</v>
      </c>
      <c r="B215" s="4">
        <f>VLOOKUP($A215,[1]中含分析60315!$A:$M,8,0)</f>
        <v>38</v>
      </c>
      <c r="C215" s="4">
        <f>VLOOKUP($A215,[1]中含分析60315!$A:$M,9,0)</f>
        <v>37</v>
      </c>
      <c r="D215" s="4">
        <f>VLOOKUP($A215,[1]中含分析60315!$A:$M,10,0)</f>
        <v>35</v>
      </c>
      <c r="E215" s="4">
        <f>VLOOKUP($A215,[1]中含分析60315!$A:$M,11,0)</f>
        <v>34</v>
      </c>
      <c r="F215" s="4">
        <f>VLOOKUP($A215,[1]中含分析60315!$A:$M,12,0)</f>
        <v>33</v>
      </c>
      <c r="G215" s="4">
        <f>VLOOKUP($A215,[1]中含分析60315!$A:$M,13,0)</f>
        <v>31</v>
      </c>
      <c r="H215" s="3" t="s">
        <v>10</v>
      </c>
      <c r="I215" s="3" t="s">
        <v>434</v>
      </c>
    </row>
    <row r="216" customHeight="1" spans="1:9">
      <c r="A216" s="4" t="s">
        <v>435</v>
      </c>
      <c r="B216" s="4">
        <f>VLOOKUP($A216,[1]中含分析60315!$A:$M,8,0)</f>
        <v>23</v>
      </c>
      <c r="C216" s="4">
        <f>VLOOKUP($A216,[1]中含分析60315!$A:$M,9,0)</f>
        <v>22</v>
      </c>
      <c r="D216" s="4">
        <f>VLOOKUP($A216,[1]中含分析60315!$A:$M,10,0)</f>
        <v>22</v>
      </c>
      <c r="E216" s="4">
        <f>VLOOKUP($A216,[1]中含分析60315!$A:$M,11,0)</f>
        <v>21</v>
      </c>
      <c r="F216" s="4">
        <f>VLOOKUP($A216,[1]中含分析60315!$A:$M,12,0)</f>
        <v>20</v>
      </c>
      <c r="G216" s="4">
        <f>VLOOKUP($A216,[1]中含分析60315!$A:$M,13,0)</f>
        <v>19</v>
      </c>
      <c r="H216" s="3" t="s">
        <v>10</v>
      </c>
      <c r="I216" s="3" t="s">
        <v>436</v>
      </c>
    </row>
    <row r="217" customHeight="1" spans="1:9">
      <c r="A217" s="4" t="s">
        <v>437</v>
      </c>
      <c r="B217" s="4">
        <f>VLOOKUP($A217,[1]中含分析60315!$A:$M,8,0)</f>
        <v>40</v>
      </c>
      <c r="C217" s="4">
        <f>VLOOKUP($A217,[1]中含分析60315!$A:$M,9,0)</f>
        <v>38</v>
      </c>
      <c r="D217" s="4">
        <f>VLOOKUP($A217,[1]中含分析60315!$A:$M,10,0)</f>
        <v>37</v>
      </c>
      <c r="E217" s="4">
        <f>VLOOKUP($A217,[1]中含分析60315!$A:$M,11,0)</f>
        <v>35</v>
      </c>
      <c r="F217" s="4">
        <f>VLOOKUP($A217,[1]中含分析60315!$A:$M,12,0)</f>
        <v>34</v>
      </c>
      <c r="G217" s="4">
        <f>VLOOKUP($A217,[1]中含分析60315!$A:$M,13,0)</f>
        <v>32</v>
      </c>
      <c r="H217" s="3" t="s">
        <v>10</v>
      </c>
      <c r="I217" s="3" t="s">
        <v>438</v>
      </c>
    </row>
    <row r="218" customHeight="1" spans="1:9">
      <c r="A218" s="4" t="s">
        <v>439</v>
      </c>
      <c r="B218" s="4">
        <f>VLOOKUP($A218,[1]中含分析60315!$A:$M,8,0)</f>
        <v>45</v>
      </c>
      <c r="C218" s="4">
        <f>VLOOKUP($A218,[1]中含分析60315!$A:$M,9,0)</f>
        <v>43</v>
      </c>
      <c r="D218" s="4">
        <f>VLOOKUP($A218,[1]中含分析60315!$A:$M,10,0)</f>
        <v>42</v>
      </c>
      <c r="E218" s="4">
        <f>VLOOKUP($A218,[1]中含分析60315!$A:$M,11,0)</f>
        <v>40</v>
      </c>
      <c r="F218" s="4">
        <f>VLOOKUP($A218,[1]中含分析60315!$A:$M,12,0)</f>
        <v>38</v>
      </c>
      <c r="G218" s="4">
        <f>VLOOKUP($A218,[1]中含分析60315!$A:$M,13,0)</f>
        <v>37</v>
      </c>
      <c r="H218" s="3" t="s">
        <v>10</v>
      </c>
      <c r="I218" s="3" t="s">
        <v>440</v>
      </c>
    </row>
    <row r="219" customHeight="1" spans="1:9">
      <c r="A219" s="4" t="s">
        <v>441</v>
      </c>
      <c r="B219" s="4">
        <f>VLOOKUP($A219,[1]中含分析60315!$A:$M,8,0)</f>
        <v>106</v>
      </c>
      <c r="C219" s="4">
        <f>VLOOKUP($A219,[1]中含分析60315!$A:$M,9,0)</f>
        <v>104</v>
      </c>
      <c r="D219" s="4">
        <f>VLOOKUP($A219,[1]中含分析60315!$A:$M,10,0)</f>
        <v>103</v>
      </c>
      <c r="E219" s="4">
        <f>VLOOKUP($A219,[1]中含分析60315!$A:$M,11,0)</f>
        <v>101</v>
      </c>
      <c r="F219" s="4">
        <f>VLOOKUP($A219,[1]中含分析60315!$A:$M,12,0)</f>
        <v>100</v>
      </c>
      <c r="G219" s="4">
        <f>VLOOKUP($A219,[1]中含分析60315!$A:$M,13,0)</f>
        <v>98</v>
      </c>
      <c r="H219" s="3" t="s">
        <v>39</v>
      </c>
      <c r="I219" s="3" t="s">
        <v>442</v>
      </c>
    </row>
    <row r="220" customHeight="1" spans="1:9">
      <c r="A220" s="4" t="s">
        <v>443</v>
      </c>
      <c r="B220" s="4">
        <f>VLOOKUP($A220,[1]中含分析60315!$A:$M,8,0)</f>
        <v>36</v>
      </c>
      <c r="C220" s="4">
        <f>VLOOKUP($A220,[1]中含分析60315!$A:$M,9,0)</f>
        <v>35</v>
      </c>
      <c r="D220" s="4">
        <f>VLOOKUP($A220,[1]中含分析60315!$A:$M,10,0)</f>
        <v>34</v>
      </c>
      <c r="E220" s="4">
        <f>VLOOKUP($A220,[1]中含分析60315!$A:$M,11,0)</f>
        <v>32</v>
      </c>
      <c r="F220" s="4">
        <f>VLOOKUP($A220,[1]中含分析60315!$A:$M,12,0)</f>
        <v>31</v>
      </c>
      <c r="G220" s="4">
        <f>VLOOKUP($A220,[1]中含分析60315!$A:$M,13,0)</f>
        <v>30</v>
      </c>
      <c r="H220" s="3" t="s">
        <v>10</v>
      </c>
      <c r="I220" s="3" t="s">
        <v>444</v>
      </c>
    </row>
    <row r="221" customHeight="1" spans="1:9">
      <c r="A221" s="4" t="s">
        <v>445</v>
      </c>
      <c r="B221" s="4">
        <f>VLOOKUP($A221,[1]中含分析60315!$A:$M,8,0)</f>
        <v>43</v>
      </c>
      <c r="C221" s="4">
        <f>VLOOKUP($A221,[1]中含分析60315!$A:$M,9,0)</f>
        <v>42</v>
      </c>
      <c r="D221" s="4">
        <f>VLOOKUP($A221,[1]中含分析60315!$A:$M,10,0)</f>
        <v>40</v>
      </c>
      <c r="E221" s="4">
        <f>VLOOKUP($A221,[1]中含分析60315!$A:$M,11,0)</f>
        <v>38</v>
      </c>
      <c r="F221" s="4">
        <f>VLOOKUP($A221,[1]中含分析60315!$A:$M,12,0)</f>
        <v>37</v>
      </c>
      <c r="G221" s="4">
        <f>VLOOKUP($A221,[1]中含分析60315!$A:$M,13,0)</f>
        <v>35</v>
      </c>
      <c r="H221" s="3" t="s">
        <v>10</v>
      </c>
      <c r="I221" s="3" t="s">
        <v>35</v>
      </c>
    </row>
    <row r="222" customHeight="1" spans="1:9">
      <c r="A222" s="4" t="s">
        <v>446</v>
      </c>
      <c r="B222" s="4">
        <f>VLOOKUP($A222,[1]中含分析60315!$A:$M,8,0)</f>
        <v>39</v>
      </c>
      <c r="C222" s="4">
        <f>VLOOKUP($A222,[1]中含分析60315!$A:$M,9,0)</f>
        <v>37</v>
      </c>
      <c r="D222" s="4">
        <f>VLOOKUP($A222,[1]中含分析60315!$A:$M,10,0)</f>
        <v>36</v>
      </c>
      <c r="E222" s="4">
        <f>VLOOKUP($A222,[1]中含分析60315!$A:$M,11,0)</f>
        <v>34</v>
      </c>
      <c r="F222" s="4">
        <f>VLOOKUP($A222,[1]中含分析60315!$A:$M,12,0)</f>
        <v>33</v>
      </c>
      <c r="G222" s="4">
        <f>VLOOKUP($A222,[1]中含分析60315!$A:$M,13,0)</f>
        <v>31</v>
      </c>
      <c r="H222" s="3" t="s">
        <v>10</v>
      </c>
      <c r="I222" s="3" t="s">
        <v>447</v>
      </c>
    </row>
    <row r="223" customHeight="1" spans="1:9">
      <c r="A223" s="4" t="s">
        <v>448</v>
      </c>
      <c r="B223" s="4">
        <f>VLOOKUP($A223,[1]中含分析60315!$A:$M,8,0)</f>
        <v>38</v>
      </c>
      <c r="C223" s="4">
        <f>VLOOKUP($A223,[1]中含分析60315!$A:$M,9,0)</f>
        <v>37</v>
      </c>
      <c r="D223" s="4">
        <f>VLOOKUP($A223,[1]中含分析60315!$A:$M,10,0)</f>
        <v>36</v>
      </c>
      <c r="E223" s="4">
        <f>VLOOKUP($A223,[1]中含分析60315!$A:$M,11,0)</f>
        <v>34</v>
      </c>
      <c r="F223" s="4">
        <f>VLOOKUP($A223,[1]中含分析60315!$A:$M,12,0)</f>
        <v>33</v>
      </c>
      <c r="G223" s="4">
        <f>VLOOKUP($A223,[1]中含分析60315!$A:$M,13,0)</f>
        <v>31</v>
      </c>
      <c r="H223" s="3" t="s">
        <v>10</v>
      </c>
      <c r="I223" s="3" t="s">
        <v>449</v>
      </c>
    </row>
    <row r="224" customHeight="1" spans="1:9">
      <c r="A224" s="4" t="s">
        <v>450</v>
      </c>
      <c r="B224" s="4">
        <f>VLOOKUP($A224,[1]中含分析60315!$A:$M,8,0)</f>
        <v>43</v>
      </c>
      <c r="C224" s="4">
        <f>VLOOKUP($A224,[1]中含分析60315!$A:$M,9,0)</f>
        <v>42</v>
      </c>
      <c r="D224" s="4">
        <f>VLOOKUP($A224,[1]中含分析60315!$A:$M,10,0)</f>
        <v>40</v>
      </c>
      <c r="E224" s="4">
        <f>VLOOKUP($A224,[1]中含分析60315!$A:$M,11,0)</f>
        <v>38</v>
      </c>
      <c r="F224" s="4">
        <f>VLOOKUP($A224,[1]中含分析60315!$A:$M,12,0)</f>
        <v>37</v>
      </c>
      <c r="G224" s="4">
        <f>VLOOKUP($A224,[1]中含分析60315!$A:$M,13,0)</f>
        <v>35</v>
      </c>
      <c r="H224" s="3" t="s">
        <v>10</v>
      </c>
      <c r="I224" s="3" t="s">
        <v>451</v>
      </c>
    </row>
    <row r="225" customHeight="1" spans="1:9">
      <c r="A225" s="4" t="s">
        <v>452</v>
      </c>
      <c r="B225" s="4">
        <f>VLOOKUP($A225,[1]中含分析60315!$A:$M,8,0)</f>
        <v>32</v>
      </c>
      <c r="C225" s="4">
        <f>VLOOKUP($A225,[1]中含分析60315!$A:$M,9,0)</f>
        <v>30</v>
      </c>
      <c r="D225" s="4">
        <f>VLOOKUP($A225,[1]中含分析60315!$A:$M,10,0)</f>
        <v>29</v>
      </c>
      <c r="E225" s="4">
        <f>VLOOKUP($A225,[1]中含分析60315!$A:$M,11,0)</f>
        <v>28</v>
      </c>
      <c r="F225" s="4">
        <f>VLOOKUP($A225,[1]中含分析60315!$A:$M,12,0)</f>
        <v>27</v>
      </c>
      <c r="G225" s="4">
        <f>VLOOKUP($A225,[1]中含分析60315!$A:$M,13,0)</f>
        <v>26</v>
      </c>
      <c r="H225" s="3" t="s">
        <v>10</v>
      </c>
      <c r="I225" s="3" t="s">
        <v>453</v>
      </c>
    </row>
    <row r="226" customHeight="1" spans="1:9">
      <c r="A226" s="4" t="s">
        <v>454</v>
      </c>
      <c r="B226" s="4">
        <f>VLOOKUP($A226,[1]中含分析60315!$A:$M,8,0)</f>
        <v>34</v>
      </c>
      <c r="C226" s="4">
        <f>VLOOKUP($A226,[1]中含分析60315!$A:$M,9,0)</f>
        <v>33</v>
      </c>
      <c r="D226" s="4">
        <f>VLOOKUP($A226,[1]中含分析60315!$A:$M,10,0)</f>
        <v>32</v>
      </c>
      <c r="E226" s="4">
        <f>VLOOKUP($A226,[1]中含分析60315!$A:$M,11,0)</f>
        <v>31</v>
      </c>
      <c r="F226" s="4">
        <f>VLOOKUP($A226,[1]中含分析60315!$A:$M,12,0)</f>
        <v>29</v>
      </c>
      <c r="G226" s="4">
        <f>VLOOKUP($A226,[1]中含分析60315!$A:$M,13,0)</f>
        <v>28</v>
      </c>
      <c r="H226" s="3" t="s">
        <v>10</v>
      </c>
      <c r="I226" s="3" t="s">
        <v>455</v>
      </c>
    </row>
    <row r="227" customHeight="1" spans="1:9">
      <c r="A227" s="4" t="s">
        <v>456</v>
      </c>
      <c r="B227" s="4">
        <f>VLOOKUP($A227,[1]中含分析60315!$A:$M,8,0)</f>
        <v>57</v>
      </c>
      <c r="C227" s="4">
        <f>VLOOKUP($A227,[1]中含分析60315!$A:$M,9,0)</f>
        <v>55</v>
      </c>
      <c r="D227" s="4">
        <f>VLOOKUP($A227,[1]中含分析60315!$A:$M,10,0)</f>
        <v>53</v>
      </c>
      <c r="E227" s="4">
        <f>VLOOKUP($A227,[1]中含分析60315!$A:$M,11,0)</f>
        <v>51</v>
      </c>
      <c r="F227" s="4">
        <f>VLOOKUP($A227,[1]中含分析60315!$A:$M,12,0)</f>
        <v>48</v>
      </c>
      <c r="G227" s="4">
        <f>VLOOKUP($A227,[1]中含分析60315!$A:$M,13,0)</f>
        <v>46</v>
      </c>
      <c r="H227" s="3" t="s">
        <v>10</v>
      </c>
      <c r="I227" s="3" t="s">
        <v>457</v>
      </c>
    </row>
    <row r="228" customHeight="1" spans="1:9">
      <c r="A228" s="4" t="s">
        <v>458</v>
      </c>
      <c r="B228" s="4">
        <f>VLOOKUP($A228,[1]中含分析60315!$A:$M,8,0)</f>
        <v>64</v>
      </c>
      <c r="C228" s="4">
        <f>VLOOKUP($A228,[1]中含分析60315!$A:$M,9,0)</f>
        <v>63</v>
      </c>
      <c r="D228" s="4">
        <f>VLOOKUP($A228,[1]中含分析60315!$A:$M,10,0)</f>
        <v>62</v>
      </c>
      <c r="E228" s="4">
        <f>VLOOKUP($A228,[1]中含分析60315!$A:$M,11,0)</f>
        <v>61</v>
      </c>
      <c r="F228" s="4">
        <f>VLOOKUP($A228,[1]中含分析60315!$A:$M,12,0)</f>
        <v>60</v>
      </c>
      <c r="G228" s="4">
        <f>VLOOKUP($A228,[1]中含分析60315!$A:$M,13,0)</f>
        <v>59</v>
      </c>
      <c r="H228" s="3" t="s">
        <v>39</v>
      </c>
      <c r="I228" s="3" t="s">
        <v>459</v>
      </c>
    </row>
    <row r="229" customHeight="1" spans="1:9">
      <c r="A229" s="4" t="s">
        <v>460</v>
      </c>
      <c r="B229" s="4">
        <f>VLOOKUP($A229,[1]中含分析60315!$A:$M,8,0)</f>
        <v>67</v>
      </c>
      <c r="C229" s="4">
        <f>VLOOKUP($A229,[1]中含分析60315!$A:$M,9,0)</f>
        <v>65</v>
      </c>
      <c r="D229" s="4">
        <f>VLOOKUP($A229,[1]中含分析60315!$A:$M,10,0)</f>
        <v>62</v>
      </c>
      <c r="E229" s="4">
        <f>VLOOKUP($A229,[1]中含分析60315!$A:$M,11,0)</f>
        <v>60</v>
      </c>
      <c r="F229" s="4">
        <f>VLOOKUP($A229,[1]中含分析60315!$A:$M,12,0)</f>
        <v>57</v>
      </c>
      <c r="G229" s="4">
        <f>VLOOKUP($A229,[1]中含分析60315!$A:$M,13,0)</f>
        <v>55</v>
      </c>
      <c r="H229" s="3" t="s">
        <v>10</v>
      </c>
      <c r="I229" s="3" t="s">
        <v>461</v>
      </c>
    </row>
    <row r="230" customHeight="1" spans="1:9">
      <c r="A230" s="4" t="s">
        <v>462</v>
      </c>
      <c r="B230" s="4">
        <f>VLOOKUP($A230,[1]中含分析60315!$A:$M,8,0)</f>
        <v>46</v>
      </c>
      <c r="C230" s="4">
        <f>VLOOKUP($A230,[1]中含分析60315!$A:$M,9,0)</f>
        <v>44</v>
      </c>
      <c r="D230" s="4">
        <f>VLOOKUP($A230,[1]中含分析60315!$A:$M,10,0)</f>
        <v>43</v>
      </c>
      <c r="E230" s="4">
        <f>VLOOKUP($A230,[1]中含分析60315!$A:$M,11,0)</f>
        <v>41</v>
      </c>
      <c r="F230" s="4">
        <f>VLOOKUP($A230,[1]中含分析60315!$A:$M,12,0)</f>
        <v>39</v>
      </c>
      <c r="G230" s="4">
        <f>VLOOKUP($A230,[1]中含分析60315!$A:$M,13,0)</f>
        <v>38</v>
      </c>
      <c r="H230" s="3" t="s">
        <v>10</v>
      </c>
      <c r="I230" s="3" t="s">
        <v>463</v>
      </c>
    </row>
    <row r="231" customHeight="1" spans="1:9">
      <c r="A231" s="4" t="s">
        <v>464</v>
      </c>
      <c r="B231" s="4">
        <f>VLOOKUP($A231,[1]中含分析60315!$A:$M,8,0)</f>
        <v>23</v>
      </c>
      <c r="C231" s="4">
        <f>VLOOKUP($A231,[1]中含分析60315!$A:$M,9,0)</f>
        <v>22</v>
      </c>
      <c r="D231" s="4">
        <f>VLOOKUP($A231,[1]中含分析60315!$A:$M,10,0)</f>
        <v>21</v>
      </c>
      <c r="E231" s="4">
        <f>VLOOKUP($A231,[1]中含分析60315!$A:$M,11,0)</f>
        <v>20</v>
      </c>
      <c r="F231" s="4">
        <f>VLOOKUP($A231,[1]中含分析60315!$A:$M,12,0)</f>
        <v>19</v>
      </c>
      <c r="G231" s="4">
        <f>VLOOKUP($A231,[1]中含分析60315!$A:$M,13,0)</f>
        <v>19</v>
      </c>
      <c r="H231" s="3" t="s">
        <v>10</v>
      </c>
      <c r="I231" s="3" t="s">
        <v>465</v>
      </c>
    </row>
    <row r="232" customHeight="1" spans="1:9">
      <c r="A232" s="4" t="s">
        <v>466</v>
      </c>
      <c r="B232" s="4">
        <f>VLOOKUP($A232,[1]中含分析60315!$A:$M,8,0)</f>
        <v>54</v>
      </c>
      <c r="C232" s="4">
        <f>VLOOKUP($A232,[1]中含分析60315!$A:$M,9,0)</f>
        <v>53</v>
      </c>
      <c r="D232" s="4">
        <f>VLOOKUP($A232,[1]中含分析60315!$A:$M,10,0)</f>
        <v>52</v>
      </c>
      <c r="E232" s="4">
        <f>VLOOKUP($A232,[1]中含分析60315!$A:$M,11,0)</f>
        <v>51</v>
      </c>
      <c r="F232" s="4">
        <f>VLOOKUP($A232,[1]中含分析60315!$A:$M,12,0)</f>
        <v>51</v>
      </c>
      <c r="G232" s="4">
        <f>VLOOKUP($A232,[1]中含分析60315!$A:$M,13,0)</f>
        <v>50</v>
      </c>
      <c r="H232" s="3" t="s">
        <v>39</v>
      </c>
      <c r="I232" s="3" t="s">
        <v>467</v>
      </c>
    </row>
    <row r="233" customHeight="1" spans="1:9">
      <c r="A233" s="4" t="s">
        <v>468</v>
      </c>
      <c r="B233" s="4">
        <f>VLOOKUP($A233,[1]中含分析60315!$A:$M,8,0)</f>
        <v>28</v>
      </c>
      <c r="C233" s="4">
        <f>VLOOKUP($A233,[1]中含分析60315!$A:$M,9,0)</f>
        <v>27</v>
      </c>
      <c r="D233" s="4">
        <f>VLOOKUP($A233,[1]中含分析60315!$A:$M,10,0)</f>
        <v>26</v>
      </c>
      <c r="E233" s="4">
        <f>VLOOKUP($A233,[1]中含分析60315!$A:$M,11,0)</f>
        <v>25</v>
      </c>
      <c r="F233" s="4">
        <f>VLOOKUP($A233,[1]中含分析60315!$A:$M,12,0)</f>
        <v>24</v>
      </c>
      <c r="G233" s="4">
        <f>VLOOKUP($A233,[1]中含分析60315!$A:$M,13,0)</f>
        <v>23</v>
      </c>
      <c r="H233" s="3" t="s">
        <v>10</v>
      </c>
      <c r="I233" s="3" t="s">
        <v>469</v>
      </c>
    </row>
    <row r="234" customHeight="1" spans="1:9">
      <c r="A234" s="4" t="s">
        <v>470</v>
      </c>
      <c r="B234" s="4">
        <f>VLOOKUP($A234,[1]中含分析60315!$A:$M,8,0)</f>
        <v>59</v>
      </c>
      <c r="C234" s="4">
        <f>VLOOKUP($A234,[1]中含分析60315!$A:$M,9,0)</f>
        <v>57</v>
      </c>
      <c r="D234" s="4">
        <f>VLOOKUP($A234,[1]中含分析60315!$A:$M,10,0)</f>
        <v>55</v>
      </c>
      <c r="E234" s="4">
        <f>VLOOKUP($A234,[1]中含分析60315!$A:$M,11,0)</f>
        <v>53</v>
      </c>
      <c r="F234" s="4">
        <f>VLOOKUP($A234,[1]中含分析60315!$A:$M,12,0)</f>
        <v>51</v>
      </c>
      <c r="G234" s="4">
        <f>VLOOKUP($A234,[1]中含分析60315!$A:$M,13,0)</f>
        <v>49</v>
      </c>
      <c r="H234" s="3" t="s">
        <v>10</v>
      </c>
      <c r="I234" s="3" t="s">
        <v>471</v>
      </c>
    </row>
    <row r="235" customHeight="1" spans="1:9">
      <c r="A235" s="4" t="s">
        <v>472</v>
      </c>
      <c r="B235" s="4">
        <f>VLOOKUP($A235,[1]中含分析60315!$A:$M,8,0)</f>
        <v>44</v>
      </c>
      <c r="C235" s="4">
        <f>VLOOKUP($A235,[1]中含分析60315!$A:$M,9,0)</f>
        <v>43</v>
      </c>
      <c r="D235" s="4">
        <f>VLOOKUP($A235,[1]中含分析60315!$A:$M,10,0)</f>
        <v>41</v>
      </c>
      <c r="E235" s="4">
        <f>VLOOKUP($A235,[1]中含分析60315!$A:$M,11,0)</f>
        <v>40</v>
      </c>
      <c r="F235" s="4">
        <f>VLOOKUP($A235,[1]中含分析60315!$A:$M,12,0)</f>
        <v>38</v>
      </c>
      <c r="G235" s="4">
        <f>VLOOKUP($A235,[1]中含分析60315!$A:$M,13,0)</f>
        <v>36</v>
      </c>
      <c r="H235" s="3" t="s">
        <v>10</v>
      </c>
      <c r="I235" s="3" t="s">
        <v>473</v>
      </c>
    </row>
    <row r="236" customHeight="1" spans="1:9">
      <c r="A236" s="4" t="s">
        <v>474</v>
      </c>
      <c r="B236" s="4">
        <f>VLOOKUP($A236,[1]中含分析60315!$A:$M,8,0)</f>
        <v>31</v>
      </c>
      <c r="C236" s="4">
        <f>VLOOKUP($A236,[1]中含分析60315!$A:$M,9,0)</f>
        <v>30</v>
      </c>
      <c r="D236" s="4">
        <f>VLOOKUP($A236,[1]中含分析60315!$A:$M,10,0)</f>
        <v>29</v>
      </c>
      <c r="E236" s="4">
        <f>VLOOKUP($A236,[1]中含分析60315!$A:$M,11,0)</f>
        <v>28</v>
      </c>
      <c r="F236" s="4">
        <f>VLOOKUP($A236,[1]中含分析60315!$A:$M,12,0)</f>
        <v>27</v>
      </c>
      <c r="G236" s="4">
        <f>VLOOKUP($A236,[1]中含分析60315!$A:$M,13,0)</f>
        <v>26</v>
      </c>
      <c r="H236" s="3" t="s">
        <v>10</v>
      </c>
      <c r="I236" s="3" t="s">
        <v>475</v>
      </c>
    </row>
    <row r="237" customHeight="1" spans="1:9">
      <c r="A237" s="4" t="s">
        <v>476</v>
      </c>
      <c r="B237" s="4">
        <f>VLOOKUP($A237,[1]中含分析60315!$A:$M,8,0)</f>
        <v>32</v>
      </c>
      <c r="C237" s="4">
        <f>VLOOKUP($A237,[1]中含分析60315!$A:$M,9,0)</f>
        <v>31</v>
      </c>
      <c r="D237" s="4">
        <f>VLOOKUP($A237,[1]中含分析60315!$A:$M,10,0)</f>
        <v>31</v>
      </c>
      <c r="E237" s="4">
        <f>VLOOKUP($A237,[1]中含分析60315!$A:$M,11,0)</f>
        <v>30</v>
      </c>
      <c r="F237" s="4">
        <f>VLOOKUP($A237,[1]中含分析60315!$A:$M,12,0)</f>
        <v>30</v>
      </c>
      <c r="G237" s="4">
        <f>VLOOKUP($A237,[1]中含分析60315!$A:$M,13,0)</f>
        <v>29</v>
      </c>
      <c r="H237" s="3" t="s">
        <v>39</v>
      </c>
      <c r="I237" s="3" t="s">
        <v>477</v>
      </c>
    </row>
    <row r="238" customHeight="1" spans="1:9">
      <c r="A238" s="4" t="s">
        <v>478</v>
      </c>
      <c r="B238" s="4">
        <f>VLOOKUP($A238,[1]中含分析60315!$A:$M,8,0)</f>
        <v>45</v>
      </c>
      <c r="C238" s="4">
        <f>VLOOKUP($A238,[1]中含分析60315!$A:$M,9,0)</f>
        <v>44</v>
      </c>
      <c r="D238" s="4">
        <f>VLOOKUP($A238,[1]中含分析60315!$A:$M,10,0)</f>
        <v>42</v>
      </c>
      <c r="E238" s="4">
        <f>VLOOKUP($A238,[1]中含分析60315!$A:$M,11,0)</f>
        <v>40</v>
      </c>
      <c r="F238" s="4">
        <f>VLOOKUP($A238,[1]中含分析60315!$A:$M,12,0)</f>
        <v>39</v>
      </c>
      <c r="G238" s="4">
        <f>VLOOKUP($A238,[1]中含分析60315!$A:$M,13,0)</f>
        <v>37</v>
      </c>
      <c r="H238" s="3" t="s">
        <v>10</v>
      </c>
      <c r="I238" s="3" t="s">
        <v>479</v>
      </c>
    </row>
    <row r="239" customHeight="1" spans="1:9">
      <c r="A239" s="4" t="s">
        <v>480</v>
      </c>
      <c r="B239" s="4">
        <f>VLOOKUP($A239,[1]中含分析60315!$A:$M,8,0)</f>
        <v>39</v>
      </c>
      <c r="C239" s="4">
        <f>VLOOKUP($A239,[1]中含分析60315!$A:$M,9,0)</f>
        <v>37</v>
      </c>
      <c r="D239" s="4">
        <f>VLOOKUP($A239,[1]中含分析60315!$A:$M,10,0)</f>
        <v>36</v>
      </c>
      <c r="E239" s="4">
        <f>VLOOKUP($A239,[1]中含分析60315!$A:$M,11,0)</f>
        <v>35</v>
      </c>
      <c r="F239" s="4">
        <f>VLOOKUP($A239,[1]中含分析60315!$A:$M,12,0)</f>
        <v>33</v>
      </c>
      <c r="G239" s="4">
        <f>VLOOKUP($A239,[1]中含分析60315!$A:$M,13,0)</f>
        <v>32</v>
      </c>
      <c r="H239" s="3" t="s">
        <v>10</v>
      </c>
      <c r="I239" s="3" t="s">
        <v>481</v>
      </c>
    </row>
    <row r="240" customHeight="1" spans="1:9">
      <c r="A240" s="4" t="s">
        <v>482</v>
      </c>
      <c r="B240" s="4">
        <f>VLOOKUP($A240,[1]中含分析60315!$A:$M,8,0)</f>
        <v>182</v>
      </c>
      <c r="C240" s="4">
        <f>VLOOKUP($A240,[1]中含分析60315!$A:$M,9,0)</f>
        <v>179</v>
      </c>
      <c r="D240" s="4">
        <f>VLOOKUP($A240,[1]中含分析60315!$A:$M,10,0)</f>
        <v>176</v>
      </c>
      <c r="E240" s="4">
        <f>VLOOKUP($A240,[1]中含分析60315!$A:$M,11,0)</f>
        <v>173</v>
      </c>
      <c r="F240" s="4">
        <f>VLOOKUP($A240,[1]中含分析60315!$A:$M,12,0)</f>
        <v>171</v>
      </c>
      <c r="G240" s="4">
        <f>VLOOKUP($A240,[1]中含分析60315!$A:$M,13,0)</f>
        <v>168</v>
      </c>
      <c r="H240" s="3" t="s">
        <v>39</v>
      </c>
      <c r="I240" s="3" t="s">
        <v>483</v>
      </c>
    </row>
    <row r="241" customHeight="1" spans="1:9">
      <c r="A241" s="4" t="s">
        <v>484</v>
      </c>
      <c r="B241" s="4">
        <f>VLOOKUP($A241,[1]中含分析60315!$A:$M,8,0)</f>
        <v>34</v>
      </c>
      <c r="C241" s="4">
        <f>VLOOKUP($A241,[1]中含分析60315!$A:$M,9,0)</f>
        <v>32</v>
      </c>
      <c r="D241" s="4">
        <f>VLOOKUP($A241,[1]中含分析60315!$A:$M,10,0)</f>
        <v>31</v>
      </c>
      <c r="E241" s="4">
        <f>VLOOKUP($A241,[1]中含分析60315!$A:$M,11,0)</f>
        <v>30</v>
      </c>
      <c r="F241" s="4">
        <f>VLOOKUP($A241,[1]中含分析60315!$A:$M,12,0)</f>
        <v>29</v>
      </c>
      <c r="G241" s="4">
        <f>VLOOKUP($A241,[1]中含分析60315!$A:$M,13,0)</f>
        <v>27</v>
      </c>
      <c r="H241" s="3" t="s">
        <v>10</v>
      </c>
      <c r="I241" s="3" t="s">
        <v>485</v>
      </c>
    </row>
    <row r="242" customHeight="1" spans="1:9">
      <c r="A242" s="4" t="s">
        <v>486</v>
      </c>
      <c r="B242" s="4">
        <f>VLOOKUP($A242,[1]中含分析60315!$A:$M,8,0)</f>
        <v>46</v>
      </c>
      <c r="C242" s="4">
        <f>VLOOKUP($A242,[1]中含分析60315!$A:$M,9,0)</f>
        <v>45</v>
      </c>
      <c r="D242" s="4">
        <f>VLOOKUP($A242,[1]中含分析60315!$A:$M,10,0)</f>
        <v>45</v>
      </c>
      <c r="E242" s="4">
        <f>VLOOKUP($A242,[1]中含分析60315!$A:$M,11,0)</f>
        <v>44</v>
      </c>
      <c r="F242" s="4">
        <f>VLOOKUP($A242,[1]中含分析60315!$A:$M,12,0)</f>
        <v>44</v>
      </c>
      <c r="G242" s="4">
        <f>VLOOKUP($A242,[1]中含分析60315!$A:$M,13,0)</f>
        <v>43</v>
      </c>
      <c r="H242" s="3" t="s">
        <v>39</v>
      </c>
      <c r="I242" s="3" t="s">
        <v>487</v>
      </c>
    </row>
    <row r="243" customHeight="1" spans="1:9">
      <c r="A243" s="4" t="s">
        <v>488</v>
      </c>
      <c r="B243" s="4">
        <f>VLOOKUP($A243,[1]中含分析60315!$A:$M,8,0)</f>
        <v>50</v>
      </c>
      <c r="C243" s="4">
        <f>VLOOKUP($A243,[1]中含分析60315!$A:$M,9,0)</f>
        <v>48</v>
      </c>
      <c r="D243" s="4">
        <f>VLOOKUP($A243,[1]中含分析60315!$A:$M,10,0)</f>
        <v>46</v>
      </c>
      <c r="E243" s="4">
        <f>VLOOKUP($A243,[1]中含分析60315!$A:$M,11,0)</f>
        <v>44</v>
      </c>
      <c r="F243" s="4">
        <f>VLOOKUP($A243,[1]中含分析60315!$A:$M,12,0)</f>
        <v>42</v>
      </c>
      <c r="G243" s="4">
        <f>VLOOKUP($A243,[1]中含分析60315!$A:$M,13,0)</f>
        <v>41</v>
      </c>
      <c r="H243" s="3" t="s">
        <v>10</v>
      </c>
      <c r="I243" s="3" t="s">
        <v>489</v>
      </c>
    </row>
    <row r="244" customHeight="1" spans="1:9">
      <c r="A244" s="4" t="s">
        <v>490</v>
      </c>
      <c r="B244" s="4">
        <f>VLOOKUP($A244,[1]中含分析60315!$A:$M,8,0)</f>
        <v>34</v>
      </c>
      <c r="C244" s="4">
        <f>VLOOKUP($A244,[1]中含分析60315!$A:$M,9,0)</f>
        <v>33</v>
      </c>
      <c r="D244" s="4">
        <f>VLOOKUP($A244,[1]中含分析60315!$A:$M,10,0)</f>
        <v>32</v>
      </c>
      <c r="E244" s="4">
        <f>VLOOKUP($A244,[1]中含分析60315!$A:$M,11,0)</f>
        <v>31</v>
      </c>
      <c r="F244" s="4">
        <f>VLOOKUP($A244,[1]中含分析60315!$A:$M,12,0)</f>
        <v>29</v>
      </c>
      <c r="G244" s="4">
        <f>VLOOKUP($A244,[1]中含分析60315!$A:$M,13,0)</f>
        <v>28</v>
      </c>
      <c r="H244" s="3" t="s">
        <v>10</v>
      </c>
      <c r="I244" s="3" t="s">
        <v>491</v>
      </c>
    </row>
    <row r="245" customHeight="1" spans="1:9">
      <c r="A245" s="4" t="s">
        <v>492</v>
      </c>
      <c r="B245" s="4">
        <f>VLOOKUP($A245,[1]中含分析60315!$A:$M,8,0)</f>
        <v>30</v>
      </c>
      <c r="C245" s="4">
        <f>VLOOKUP($A245,[1]中含分析60315!$A:$M,9,0)</f>
        <v>28</v>
      </c>
      <c r="D245" s="4">
        <f>VLOOKUP($A245,[1]中含分析60315!$A:$M,10,0)</f>
        <v>27</v>
      </c>
      <c r="E245" s="4">
        <f>VLOOKUP($A245,[1]中含分析60315!$A:$M,11,0)</f>
        <v>26</v>
      </c>
      <c r="F245" s="4">
        <f>VLOOKUP($A245,[1]中含分析60315!$A:$M,12,0)</f>
        <v>25</v>
      </c>
      <c r="G245" s="4">
        <f>VLOOKUP($A245,[1]中含分析60315!$A:$M,13,0)</f>
        <v>24</v>
      </c>
      <c r="H245" s="3" t="s">
        <v>10</v>
      </c>
      <c r="I245" s="3" t="s">
        <v>493</v>
      </c>
    </row>
    <row r="246" customHeight="1" spans="1:9">
      <c r="A246" s="4" t="s">
        <v>494</v>
      </c>
      <c r="B246" s="4">
        <f>VLOOKUP($A246,[1]中含分析60315!$A:$M,8,0)</f>
        <v>119</v>
      </c>
      <c r="C246" s="4">
        <f>VLOOKUP($A246,[1]中含分析60315!$A:$M,9,0)</f>
        <v>117</v>
      </c>
      <c r="D246" s="4">
        <f>VLOOKUP($A246,[1]中含分析60315!$A:$M,10,0)</f>
        <v>115</v>
      </c>
      <c r="E246" s="4">
        <f>VLOOKUP($A246,[1]中含分析60315!$A:$M,11,0)</f>
        <v>113</v>
      </c>
      <c r="F246" s="4">
        <f>VLOOKUP($A246,[1]中含分析60315!$A:$M,12,0)</f>
        <v>112</v>
      </c>
      <c r="G246" s="4">
        <f>VLOOKUP($A246,[1]中含分析60315!$A:$M,13,0)</f>
        <v>110</v>
      </c>
      <c r="H246" s="3" t="s">
        <v>39</v>
      </c>
      <c r="I246" s="3" t="s">
        <v>495</v>
      </c>
    </row>
    <row r="247" customHeight="1" spans="1:9">
      <c r="A247" s="4" t="s">
        <v>496</v>
      </c>
      <c r="B247" s="4">
        <f>VLOOKUP($A247,[1]中含分析60315!$A:$M,8,0)</f>
        <v>63</v>
      </c>
      <c r="C247" s="4">
        <f>VLOOKUP($A247,[1]中含分析60315!$A:$M,9,0)</f>
        <v>62</v>
      </c>
      <c r="D247" s="4">
        <f>VLOOKUP($A247,[1]中含分析60315!$A:$M,10,0)</f>
        <v>61</v>
      </c>
      <c r="E247" s="4">
        <f>VLOOKUP($A247,[1]中含分析60315!$A:$M,11,0)</f>
        <v>60</v>
      </c>
      <c r="F247" s="4">
        <f>VLOOKUP($A247,[1]中含分析60315!$A:$M,12,0)</f>
        <v>59</v>
      </c>
      <c r="G247" s="4">
        <f>VLOOKUP($A247,[1]中含分析60315!$A:$M,13,0)</f>
        <v>58</v>
      </c>
      <c r="H247" s="3" t="s">
        <v>39</v>
      </c>
      <c r="I247" s="3" t="s">
        <v>497</v>
      </c>
    </row>
    <row r="248" customHeight="1" spans="1:9">
      <c r="A248" s="4" t="s">
        <v>498</v>
      </c>
      <c r="B248" s="4">
        <f>VLOOKUP($A248,[1]中含分析60315!$A:$M,8,0)</f>
        <v>37</v>
      </c>
      <c r="C248" s="4">
        <f>VLOOKUP($A248,[1]中含分析60315!$A:$M,9,0)</f>
        <v>36</v>
      </c>
      <c r="D248" s="4">
        <f>VLOOKUP($A248,[1]中含分析60315!$A:$M,10,0)</f>
        <v>34</v>
      </c>
      <c r="E248" s="4">
        <f>VLOOKUP($A248,[1]中含分析60315!$A:$M,11,0)</f>
        <v>33</v>
      </c>
      <c r="F248" s="4">
        <f>VLOOKUP($A248,[1]中含分析60315!$A:$M,12,0)</f>
        <v>32</v>
      </c>
      <c r="G248" s="4">
        <f>VLOOKUP($A248,[1]中含分析60315!$A:$M,13,0)</f>
        <v>30</v>
      </c>
      <c r="H248" s="3" t="s">
        <v>10</v>
      </c>
      <c r="I248" s="3" t="s">
        <v>135</v>
      </c>
    </row>
    <row r="249" customHeight="1" spans="1:9">
      <c r="A249" s="4" t="s">
        <v>499</v>
      </c>
      <c r="B249" s="4">
        <f>VLOOKUP($A249,[1]中含分析60315!$A:$M,8,0)</f>
        <v>40</v>
      </c>
      <c r="C249" s="4">
        <f>VLOOKUP($A249,[1]中含分析60315!$A:$M,9,0)</f>
        <v>38</v>
      </c>
      <c r="D249" s="4">
        <f>VLOOKUP($A249,[1]中含分析60315!$A:$M,10,0)</f>
        <v>37</v>
      </c>
      <c r="E249" s="4">
        <f>VLOOKUP($A249,[1]中含分析60315!$A:$M,11,0)</f>
        <v>35</v>
      </c>
      <c r="F249" s="4">
        <f>VLOOKUP($A249,[1]中含分析60315!$A:$M,12,0)</f>
        <v>34</v>
      </c>
      <c r="G249" s="4">
        <f>VLOOKUP($A249,[1]中含分析60315!$A:$M,13,0)</f>
        <v>32</v>
      </c>
      <c r="H249" s="3" t="s">
        <v>10</v>
      </c>
      <c r="I249" s="3" t="s">
        <v>77</v>
      </c>
    </row>
    <row r="250" customHeight="1" spans="1:9">
      <c r="A250" s="4" t="s">
        <v>500</v>
      </c>
      <c r="B250" s="4">
        <f>VLOOKUP($A250,[1]中含分析60315!$A:$M,8,0)</f>
        <v>33</v>
      </c>
      <c r="C250" s="4">
        <f>VLOOKUP($A250,[1]中含分析60315!$A:$M,9,0)</f>
        <v>32</v>
      </c>
      <c r="D250" s="4">
        <f>VLOOKUP($A250,[1]中含分析60315!$A:$M,10,0)</f>
        <v>31</v>
      </c>
      <c r="E250" s="4">
        <f>VLOOKUP($A250,[1]中含分析60315!$A:$M,11,0)</f>
        <v>30</v>
      </c>
      <c r="F250" s="4">
        <f>VLOOKUP($A250,[1]中含分析60315!$A:$M,12,0)</f>
        <v>28</v>
      </c>
      <c r="G250" s="4">
        <f>VLOOKUP($A250,[1]中含分析60315!$A:$M,13,0)</f>
        <v>27</v>
      </c>
      <c r="H250" s="3" t="s">
        <v>10</v>
      </c>
      <c r="I250" s="3" t="s">
        <v>501</v>
      </c>
    </row>
    <row r="251" customHeight="1" spans="1:9">
      <c r="A251" s="4" t="s">
        <v>502</v>
      </c>
      <c r="B251" s="4">
        <f>VLOOKUP($A251,[1]中含分析60315!$A:$M,8,0)</f>
        <v>33</v>
      </c>
      <c r="C251" s="4">
        <f>VLOOKUP($A251,[1]中含分析60315!$A:$M,9,0)</f>
        <v>31</v>
      </c>
      <c r="D251" s="4">
        <f>VLOOKUP($A251,[1]中含分析60315!$A:$M,10,0)</f>
        <v>30</v>
      </c>
      <c r="E251" s="4">
        <f>VLOOKUP($A251,[1]中含分析60315!$A:$M,11,0)</f>
        <v>29</v>
      </c>
      <c r="F251" s="4">
        <f>VLOOKUP($A251,[1]中含分析60315!$A:$M,12,0)</f>
        <v>28</v>
      </c>
      <c r="G251" s="4">
        <f>VLOOKUP($A251,[1]中含分析60315!$A:$M,13,0)</f>
        <v>27</v>
      </c>
      <c r="H251" s="3" t="s">
        <v>10</v>
      </c>
      <c r="I251" s="3" t="s">
        <v>503</v>
      </c>
    </row>
    <row r="252" customHeight="1" spans="1:9">
      <c r="A252" s="4" t="s">
        <v>504</v>
      </c>
      <c r="B252" s="4">
        <f>VLOOKUP($A252,[1]中含分析60315!$A:$M,8,0)</f>
        <v>30</v>
      </c>
      <c r="C252" s="4">
        <f>VLOOKUP($A252,[1]中含分析60315!$A:$M,9,0)</f>
        <v>29</v>
      </c>
      <c r="D252" s="4">
        <f>VLOOKUP($A252,[1]中含分析60315!$A:$M,10,0)</f>
        <v>28</v>
      </c>
      <c r="E252" s="4">
        <f>VLOOKUP($A252,[1]中含分析60315!$A:$M,11,0)</f>
        <v>27</v>
      </c>
      <c r="F252" s="4">
        <f>VLOOKUP($A252,[1]中含分析60315!$A:$M,12,0)</f>
        <v>25</v>
      </c>
      <c r="G252" s="4">
        <f>VLOOKUP($A252,[1]中含分析60315!$A:$M,13,0)</f>
        <v>24</v>
      </c>
      <c r="H252" s="3" t="s">
        <v>10</v>
      </c>
      <c r="I252" s="3" t="s">
        <v>505</v>
      </c>
    </row>
    <row r="253" customHeight="1" spans="1:9">
      <c r="A253" s="4" t="s">
        <v>506</v>
      </c>
      <c r="B253" s="4">
        <f>VLOOKUP($A253,[1]中含分析60315!$A:$M,8,0)</f>
        <v>38</v>
      </c>
      <c r="C253" s="4">
        <f>VLOOKUP($A253,[1]中含分析60315!$A:$M,9,0)</f>
        <v>37</v>
      </c>
      <c r="D253" s="4">
        <f>VLOOKUP($A253,[1]中含分析60315!$A:$M,10,0)</f>
        <v>36</v>
      </c>
      <c r="E253" s="4">
        <f>VLOOKUP($A253,[1]中含分析60315!$A:$M,11,0)</f>
        <v>34</v>
      </c>
      <c r="F253" s="4">
        <f>VLOOKUP($A253,[1]中含分析60315!$A:$M,12,0)</f>
        <v>33</v>
      </c>
      <c r="G253" s="4">
        <f>VLOOKUP($A253,[1]中含分析60315!$A:$M,13,0)</f>
        <v>31</v>
      </c>
      <c r="H253" s="3" t="s">
        <v>10</v>
      </c>
      <c r="I253" s="3" t="s">
        <v>507</v>
      </c>
    </row>
    <row r="254" customHeight="1" spans="1:9">
      <c r="A254" s="4" t="s">
        <v>508</v>
      </c>
      <c r="B254" s="4">
        <f>VLOOKUP($A254,[1]中含分析60315!$A:$M,8,0)</f>
        <v>33</v>
      </c>
      <c r="C254" s="4">
        <f>VLOOKUP($A254,[1]中含分析60315!$A:$M,9,0)</f>
        <v>32</v>
      </c>
      <c r="D254" s="4">
        <f>VLOOKUP($A254,[1]中含分析60315!$A:$M,10,0)</f>
        <v>31</v>
      </c>
      <c r="E254" s="4">
        <f>VLOOKUP($A254,[1]中含分析60315!$A:$M,11,0)</f>
        <v>30</v>
      </c>
      <c r="F254" s="4">
        <f>VLOOKUP($A254,[1]中含分析60315!$A:$M,12,0)</f>
        <v>29</v>
      </c>
      <c r="G254" s="4">
        <f>VLOOKUP($A254,[1]中含分析60315!$A:$M,13,0)</f>
        <v>27</v>
      </c>
      <c r="H254" s="3" t="s">
        <v>10</v>
      </c>
      <c r="I254" s="3" t="s">
        <v>509</v>
      </c>
    </row>
    <row r="255" customHeight="1" spans="1:9">
      <c r="A255" s="4" t="s">
        <v>510</v>
      </c>
      <c r="B255" s="4">
        <f>VLOOKUP($A255,[1]中含分析60315!$A:$M,8,0)</f>
        <v>32</v>
      </c>
      <c r="C255" s="4">
        <f>VLOOKUP($A255,[1]中含分析60315!$A:$M,9,0)</f>
        <v>31</v>
      </c>
      <c r="D255" s="4">
        <f>VLOOKUP($A255,[1]中含分析60315!$A:$M,10,0)</f>
        <v>30</v>
      </c>
      <c r="E255" s="4">
        <f>VLOOKUP($A255,[1]中含分析60315!$A:$M,11,0)</f>
        <v>29</v>
      </c>
      <c r="F255" s="4">
        <f>VLOOKUP($A255,[1]中含分析60315!$A:$M,12,0)</f>
        <v>28</v>
      </c>
      <c r="G255" s="4">
        <f>VLOOKUP($A255,[1]中含分析60315!$A:$M,13,0)</f>
        <v>26</v>
      </c>
      <c r="H255" s="3" t="s">
        <v>10</v>
      </c>
      <c r="I255" s="3" t="s">
        <v>511</v>
      </c>
    </row>
    <row r="256" customHeight="1" spans="1:9">
      <c r="A256" s="4" t="s">
        <v>512</v>
      </c>
      <c r="B256" s="4">
        <f>VLOOKUP($A256,[1]中含分析60315!$A:$M,8,0)</f>
        <v>43</v>
      </c>
      <c r="C256" s="4">
        <f>VLOOKUP($A256,[1]中含分析60315!$A:$M,9,0)</f>
        <v>42</v>
      </c>
      <c r="D256" s="4">
        <f>VLOOKUP($A256,[1]中含分析60315!$A:$M,10,0)</f>
        <v>40</v>
      </c>
      <c r="E256" s="4">
        <f>VLOOKUP($A256,[1]中含分析60315!$A:$M,11,0)</f>
        <v>39</v>
      </c>
      <c r="F256" s="4">
        <f>VLOOKUP($A256,[1]中含分析60315!$A:$M,12,0)</f>
        <v>37</v>
      </c>
      <c r="G256" s="4">
        <f>VLOOKUP($A256,[1]中含分析60315!$A:$M,13,0)</f>
        <v>35</v>
      </c>
      <c r="H256" s="3" t="s">
        <v>10</v>
      </c>
      <c r="I256" s="3" t="s">
        <v>513</v>
      </c>
    </row>
    <row r="257" customHeight="1" spans="1:9">
      <c r="A257" s="4" t="s">
        <v>514</v>
      </c>
      <c r="B257" s="4">
        <f>VLOOKUP($A257,[1]中含分析60315!$A:$M,8,0)</f>
        <v>131</v>
      </c>
      <c r="C257" s="4">
        <f>VLOOKUP($A257,[1]中含分析60315!$A:$M,9,0)</f>
        <v>129</v>
      </c>
      <c r="D257" s="4">
        <f>VLOOKUP($A257,[1]中含分析60315!$A:$M,10,0)</f>
        <v>127</v>
      </c>
      <c r="E257" s="4">
        <f>VLOOKUP($A257,[1]中含分析60315!$A:$M,11,0)</f>
        <v>125</v>
      </c>
      <c r="F257" s="4">
        <f>VLOOKUP($A257,[1]中含分析60315!$A:$M,12,0)</f>
        <v>124</v>
      </c>
      <c r="G257" s="4">
        <f>VLOOKUP($A257,[1]中含分析60315!$A:$M,13,0)</f>
        <v>121</v>
      </c>
      <c r="H257" s="3" t="s">
        <v>39</v>
      </c>
      <c r="I257" s="3" t="s">
        <v>515</v>
      </c>
    </row>
    <row r="258" customHeight="1" spans="1:9">
      <c r="A258" s="4" t="s">
        <v>516</v>
      </c>
      <c r="B258" s="4">
        <f>VLOOKUP($A258,[1]中含分析60315!$A:$M,8,0)</f>
        <v>34</v>
      </c>
      <c r="C258" s="4">
        <f>VLOOKUP($A258,[1]中含分析60315!$A:$M,9,0)</f>
        <v>32</v>
      </c>
      <c r="D258" s="4">
        <f>VLOOKUP($A258,[1]中含分析60315!$A:$M,10,0)</f>
        <v>31</v>
      </c>
      <c r="E258" s="4">
        <f>VLOOKUP($A258,[1]中含分析60315!$A:$M,11,0)</f>
        <v>30</v>
      </c>
      <c r="F258" s="4">
        <f>VLOOKUP($A258,[1]中含分析60315!$A:$M,12,0)</f>
        <v>29</v>
      </c>
      <c r="G258" s="4">
        <f>VLOOKUP($A258,[1]中含分析60315!$A:$M,13,0)</f>
        <v>27</v>
      </c>
      <c r="H258" s="3" t="s">
        <v>10</v>
      </c>
      <c r="I258" s="3" t="s">
        <v>517</v>
      </c>
    </row>
    <row r="259" customHeight="1" spans="1:9">
      <c r="A259" s="4" t="s">
        <v>518</v>
      </c>
      <c r="B259" s="4">
        <f>VLOOKUP($A259,[1]中含分析60315!$A:$M,8,0)</f>
        <v>34</v>
      </c>
      <c r="C259" s="4">
        <f>VLOOKUP($A259,[1]中含分析60315!$A:$M,9,0)</f>
        <v>33</v>
      </c>
      <c r="D259" s="4">
        <f>VLOOKUP($A259,[1]中含分析60315!$A:$M,10,0)</f>
        <v>31</v>
      </c>
      <c r="E259" s="4">
        <f>VLOOKUP($A259,[1]中含分析60315!$A:$M,11,0)</f>
        <v>30</v>
      </c>
      <c r="F259" s="4">
        <f>VLOOKUP($A259,[1]中含分析60315!$A:$M,12,0)</f>
        <v>29</v>
      </c>
      <c r="G259" s="4">
        <f>VLOOKUP($A259,[1]中含分析60315!$A:$M,13,0)</f>
        <v>28</v>
      </c>
      <c r="H259" s="3" t="s">
        <v>10</v>
      </c>
      <c r="I259" s="3" t="s">
        <v>519</v>
      </c>
    </row>
    <row r="260" customHeight="1" spans="1:9">
      <c r="A260" s="4" t="s">
        <v>520</v>
      </c>
      <c r="B260" s="4">
        <f>VLOOKUP($A260,[1]中含分析60315!$A:$M,8,0)</f>
        <v>44</v>
      </c>
      <c r="C260" s="4">
        <f>VLOOKUP($A260,[1]中含分析60315!$A:$M,9,0)</f>
        <v>43</v>
      </c>
      <c r="D260" s="4">
        <f>VLOOKUP($A260,[1]中含分析60315!$A:$M,10,0)</f>
        <v>41</v>
      </c>
      <c r="E260" s="4">
        <f>VLOOKUP($A260,[1]中含分析60315!$A:$M,11,0)</f>
        <v>40</v>
      </c>
      <c r="F260" s="4">
        <f>VLOOKUP($A260,[1]中含分析60315!$A:$M,12,0)</f>
        <v>38</v>
      </c>
      <c r="G260" s="4">
        <f>VLOOKUP($A260,[1]中含分析60315!$A:$M,13,0)</f>
        <v>36</v>
      </c>
      <c r="H260" s="3" t="s">
        <v>10</v>
      </c>
      <c r="I260" s="3" t="s">
        <v>521</v>
      </c>
    </row>
    <row r="261" customHeight="1" spans="1:9">
      <c r="A261" s="4" t="s">
        <v>522</v>
      </c>
      <c r="B261" s="4">
        <f>VLOOKUP($A261,[1]中含分析60315!$A:$M,8,0)</f>
        <v>44</v>
      </c>
      <c r="C261" s="4">
        <f>VLOOKUP($A261,[1]中含分析60315!$A:$M,9,0)</f>
        <v>42</v>
      </c>
      <c r="D261" s="4">
        <f>VLOOKUP($A261,[1]中含分析60315!$A:$M,10,0)</f>
        <v>41</v>
      </c>
      <c r="E261" s="4">
        <f>VLOOKUP($A261,[1]中含分析60315!$A:$M,11,0)</f>
        <v>39</v>
      </c>
      <c r="F261" s="4">
        <f>VLOOKUP($A261,[1]中含分析60315!$A:$M,12,0)</f>
        <v>37</v>
      </c>
      <c r="G261" s="4">
        <f>VLOOKUP($A261,[1]中含分析60315!$A:$M,13,0)</f>
        <v>36</v>
      </c>
      <c r="H261" s="3" t="s">
        <v>10</v>
      </c>
      <c r="I261" s="3" t="s">
        <v>523</v>
      </c>
    </row>
    <row r="262" customHeight="1" spans="1:9">
      <c r="A262" s="4" t="s">
        <v>524</v>
      </c>
      <c r="B262" s="4">
        <f>VLOOKUP($A262,[1]中含分析60315!$A:$M,8,0)</f>
        <v>93</v>
      </c>
      <c r="C262" s="4">
        <f>VLOOKUP($A262,[1]中含分析60315!$A:$M,9,0)</f>
        <v>89</v>
      </c>
      <c r="D262" s="4">
        <f>VLOOKUP($A262,[1]中含分析60315!$A:$M,10,0)</f>
        <v>86</v>
      </c>
      <c r="E262" s="4">
        <f>VLOOKUP($A262,[1]中含分析60315!$A:$M,11,0)</f>
        <v>82</v>
      </c>
      <c r="F262" s="4">
        <f>VLOOKUP($A262,[1]中含分析60315!$A:$M,12,0)</f>
        <v>79</v>
      </c>
      <c r="G262" s="4">
        <f>VLOOKUP($A262,[1]中含分析60315!$A:$M,13,0)</f>
        <v>76</v>
      </c>
      <c r="H262" s="3" t="s">
        <v>10</v>
      </c>
      <c r="I262" s="3" t="s">
        <v>525</v>
      </c>
    </row>
    <row r="263" customHeight="1" spans="1:9">
      <c r="A263" s="4" t="s">
        <v>526</v>
      </c>
      <c r="B263" s="4">
        <f>VLOOKUP($A263,[1]中含分析60315!$A:$M,8,0)</f>
        <v>56</v>
      </c>
      <c r="C263" s="4">
        <f>VLOOKUP($A263,[1]中含分析60315!$A:$M,9,0)</f>
        <v>55</v>
      </c>
      <c r="D263" s="4">
        <f>VLOOKUP($A263,[1]中含分析60315!$A:$M,10,0)</f>
        <v>54</v>
      </c>
      <c r="E263" s="4">
        <f>VLOOKUP($A263,[1]中含分析60315!$A:$M,11,0)</f>
        <v>54</v>
      </c>
      <c r="F263" s="4">
        <f>VLOOKUP($A263,[1]中含分析60315!$A:$M,12,0)</f>
        <v>53</v>
      </c>
      <c r="G263" s="4">
        <f>VLOOKUP($A263,[1]中含分析60315!$A:$M,13,0)</f>
        <v>52</v>
      </c>
      <c r="H263" s="3" t="s">
        <v>39</v>
      </c>
      <c r="I263" s="3" t="s">
        <v>527</v>
      </c>
    </row>
    <row r="264" customHeight="1" spans="1:9">
      <c r="A264" s="4" t="s">
        <v>528</v>
      </c>
      <c r="B264" s="4">
        <f>VLOOKUP($A264,[1]中含分析60315!$A:$M,8,0)</f>
        <v>40</v>
      </c>
      <c r="C264" s="4">
        <f>VLOOKUP($A264,[1]中含分析60315!$A:$M,9,0)</f>
        <v>39</v>
      </c>
      <c r="D264" s="4">
        <f>VLOOKUP($A264,[1]中含分析60315!$A:$M,10,0)</f>
        <v>37</v>
      </c>
      <c r="E264" s="4">
        <f>VLOOKUP($A264,[1]中含分析60315!$A:$M,11,0)</f>
        <v>36</v>
      </c>
      <c r="F264" s="4">
        <f>VLOOKUP($A264,[1]中含分析60315!$A:$M,12,0)</f>
        <v>34</v>
      </c>
      <c r="G264" s="4">
        <f>VLOOKUP($A264,[1]中含分析60315!$A:$M,13,0)</f>
        <v>33</v>
      </c>
      <c r="H264" s="3" t="s">
        <v>10</v>
      </c>
      <c r="I264" s="3" t="s">
        <v>529</v>
      </c>
    </row>
    <row r="265" customHeight="1" spans="1:9">
      <c r="A265" s="4" t="s">
        <v>530</v>
      </c>
      <c r="B265" s="4">
        <f>VLOOKUP($A265,[1]中含分析60315!$A:$M,8,0)</f>
        <v>116</v>
      </c>
      <c r="C265" s="4">
        <f>VLOOKUP($A265,[1]中含分析60315!$A:$M,9,0)</f>
        <v>114</v>
      </c>
      <c r="D265" s="4">
        <f>VLOOKUP($A265,[1]中含分析60315!$A:$M,10,0)</f>
        <v>112</v>
      </c>
      <c r="E265" s="4">
        <f>VLOOKUP($A265,[1]中含分析60315!$A:$M,11,0)</f>
        <v>110</v>
      </c>
      <c r="F265" s="4">
        <f>VLOOKUP($A265,[1]中含分析60315!$A:$M,12,0)</f>
        <v>109</v>
      </c>
      <c r="G265" s="4">
        <f>VLOOKUP($A265,[1]中含分析60315!$A:$M,13,0)</f>
        <v>107</v>
      </c>
      <c r="H265" s="3" t="s">
        <v>39</v>
      </c>
      <c r="I265" s="3" t="s">
        <v>531</v>
      </c>
    </row>
    <row r="266" customHeight="1" spans="1:9">
      <c r="A266" s="4" t="s">
        <v>532</v>
      </c>
      <c r="B266" s="4">
        <f>VLOOKUP($A266,[1]中含分析60315!$A:$M,8,0)</f>
        <v>47</v>
      </c>
      <c r="C266" s="4">
        <f>VLOOKUP($A266,[1]中含分析60315!$A:$M,9,0)</f>
        <v>45</v>
      </c>
      <c r="D266" s="4">
        <f>VLOOKUP($A266,[1]中含分析60315!$A:$M,10,0)</f>
        <v>43</v>
      </c>
      <c r="E266" s="4">
        <f>VLOOKUP($A266,[1]中含分析60315!$A:$M,11,0)</f>
        <v>42</v>
      </c>
      <c r="F266" s="4">
        <f>VLOOKUP($A266,[1]中含分析60315!$A:$M,12,0)</f>
        <v>40</v>
      </c>
      <c r="G266" s="4">
        <f>VLOOKUP($A266,[1]中含分析60315!$A:$M,13,0)</f>
        <v>38</v>
      </c>
      <c r="H266" s="3" t="s">
        <v>10</v>
      </c>
      <c r="I266" s="3" t="s">
        <v>533</v>
      </c>
    </row>
    <row r="267" customHeight="1" spans="1:9">
      <c r="A267" s="4" t="s">
        <v>534</v>
      </c>
      <c r="B267" s="4">
        <f>VLOOKUP($A267,[1]中含分析60315!$A:$M,8,0)</f>
        <v>68</v>
      </c>
      <c r="C267" s="4">
        <f>VLOOKUP($A267,[1]中含分析60315!$A:$M,9,0)</f>
        <v>67</v>
      </c>
      <c r="D267" s="4">
        <f>VLOOKUP($A267,[1]中含分析60315!$A:$M,10,0)</f>
        <v>66</v>
      </c>
      <c r="E267" s="4">
        <f>VLOOKUP($A267,[1]中含分析60315!$A:$M,11,0)</f>
        <v>65</v>
      </c>
      <c r="F267" s="4">
        <f>VLOOKUP($A267,[1]中含分析60315!$A:$M,12,0)</f>
        <v>64</v>
      </c>
      <c r="G267" s="4">
        <f>VLOOKUP($A267,[1]中含分析60315!$A:$M,13,0)</f>
        <v>63</v>
      </c>
      <c r="H267" s="3" t="s">
        <v>39</v>
      </c>
      <c r="I267" s="3" t="s">
        <v>535</v>
      </c>
    </row>
    <row r="268" customHeight="1" spans="1:9">
      <c r="A268" s="4" t="s">
        <v>536</v>
      </c>
      <c r="B268" s="4">
        <f>VLOOKUP($A268,[1]中含分析60315!$A:$M,8,0)</f>
        <v>57</v>
      </c>
      <c r="C268" s="4">
        <f>VLOOKUP($A268,[1]中含分析60315!$A:$M,9,0)</f>
        <v>55</v>
      </c>
      <c r="D268" s="4">
        <f>VLOOKUP($A268,[1]中含分析60315!$A:$M,10,0)</f>
        <v>53</v>
      </c>
      <c r="E268" s="4">
        <f>VLOOKUP($A268,[1]中含分析60315!$A:$M,11,0)</f>
        <v>51</v>
      </c>
      <c r="F268" s="4">
        <f>VLOOKUP($A268,[1]中含分析60315!$A:$M,12,0)</f>
        <v>48</v>
      </c>
      <c r="G268" s="4">
        <f>VLOOKUP($A268,[1]中含分析60315!$A:$M,13,0)</f>
        <v>46</v>
      </c>
      <c r="H268" s="3" t="s">
        <v>10</v>
      </c>
      <c r="I268" s="3" t="s">
        <v>537</v>
      </c>
    </row>
    <row r="269" customHeight="1" spans="1:9">
      <c r="A269" s="4" t="s">
        <v>538</v>
      </c>
      <c r="B269" s="4">
        <f>VLOOKUP($A269,[1]中含分析60315!$A:$M,8,0)</f>
        <v>44</v>
      </c>
      <c r="C269" s="4">
        <f>VLOOKUP($A269,[1]中含分析60315!$A:$M,9,0)</f>
        <v>43</v>
      </c>
      <c r="D269" s="4">
        <f>VLOOKUP($A269,[1]中含分析60315!$A:$M,10,0)</f>
        <v>41</v>
      </c>
      <c r="E269" s="4">
        <f>VLOOKUP($A269,[1]中含分析60315!$A:$M,11,0)</f>
        <v>39</v>
      </c>
      <c r="F269" s="4">
        <f>VLOOKUP($A269,[1]中含分析60315!$A:$M,12,0)</f>
        <v>38</v>
      </c>
      <c r="G269" s="4">
        <f>VLOOKUP($A269,[1]中含分析60315!$A:$M,13,0)</f>
        <v>36</v>
      </c>
      <c r="H269" s="3" t="s">
        <v>10</v>
      </c>
      <c r="I269" s="3" t="s">
        <v>539</v>
      </c>
    </row>
    <row r="270" customHeight="1" spans="1:9">
      <c r="A270" s="4" t="s">
        <v>540</v>
      </c>
      <c r="B270" s="4">
        <f>VLOOKUP($A270,[1]中含分析60315!$A:$M,8,0)</f>
        <v>117</v>
      </c>
      <c r="C270" s="4">
        <f>VLOOKUP($A270,[1]中含分析60315!$A:$M,9,0)</f>
        <v>115</v>
      </c>
      <c r="D270" s="4">
        <f>VLOOKUP($A270,[1]中含分析60315!$A:$M,10,0)</f>
        <v>113</v>
      </c>
      <c r="E270" s="4">
        <f>VLOOKUP($A270,[1]中含分析60315!$A:$M,11,0)</f>
        <v>111</v>
      </c>
      <c r="F270" s="4">
        <f>VLOOKUP($A270,[1]中含分析60315!$A:$M,12,0)</f>
        <v>110</v>
      </c>
      <c r="G270" s="4">
        <f>VLOOKUP($A270,[1]中含分析60315!$A:$M,13,0)</f>
        <v>108</v>
      </c>
      <c r="H270" s="3" t="s">
        <v>39</v>
      </c>
      <c r="I270" s="3" t="s">
        <v>541</v>
      </c>
    </row>
    <row r="271" customHeight="1" spans="1:9">
      <c r="A271" s="4" t="s">
        <v>542</v>
      </c>
      <c r="B271" s="4">
        <f>VLOOKUP($A271,[1]中含分析60315!$A:$M,8,0)</f>
        <v>34</v>
      </c>
      <c r="C271" s="4">
        <f>VLOOKUP($A271,[1]中含分析60315!$A:$M,9,0)</f>
        <v>33</v>
      </c>
      <c r="D271" s="4">
        <f>VLOOKUP($A271,[1]中含分析60315!$A:$M,10,0)</f>
        <v>31</v>
      </c>
      <c r="E271" s="4">
        <f>VLOOKUP($A271,[1]中含分析60315!$A:$M,11,0)</f>
        <v>30</v>
      </c>
      <c r="F271" s="4">
        <f>VLOOKUP($A271,[1]中含分析60315!$A:$M,12,0)</f>
        <v>29</v>
      </c>
      <c r="G271" s="4">
        <f>VLOOKUP($A271,[1]中含分析60315!$A:$M,13,0)</f>
        <v>28</v>
      </c>
      <c r="H271" s="3" t="s">
        <v>10</v>
      </c>
      <c r="I271" s="3" t="s">
        <v>543</v>
      </c>
    </row>
    <row r="272" customHeight="1" spans="1:9">
      <c r="A272" s="4" t="s">
        <v>544</v>
      </c>
      <c r="B272" s="4">
        <f>VLOOKUP($A272,[1]中含分析60315!$A:$M,8,0)</f>
        <v>48</v>
      </c>
      <c r="C272" s="4">
        <f>VLOOKUP($A272,[1]中含分析60315!$A:$M,9,0)</f>
        <v>46</v>
      </c>
      <c r="D272" s="4">
        <f>VLOOKUP($A272,[1]中含分析60315!$A:$M,10,0)</f>
        <v>45</v>
      </c>
      <c r="E272" s="4">
        <f>VLOOKUP($A272,[1]中含分析60315!$A:$M,11,0)</f>
        <v>43</v>
      </c>
      <c r="F272" s="4">
        <f>VLOOKUP($A272,[1]中含分析60315!$A:$M,12,0)</f>
        <v>41</v>
      </c>
      <c r="G272" s="4">
        <f>VLOOKUP($A272,[1]中含分析60315!$A:$M,13,0)</f>
        <v>39</v>
      </c>
      <c r="H272" s="3" t="s">
        <v>10</v>
      </c>
      <c r="I272" s="3" t="s">
        <v>545</v>
      </c>
    </row>
    <row r="273" customHeight="1" spans="1:9">
      <c r="A273" s="4" t="s">
        <v>546</v>
      </c>
      <c r="B273" s="4">
        <f>VLOOKUP($A273,[1]中含分析60315!$A:$M,8,0)</f>
        <v>37</v>
      </c>
      <c r="C273" s="4">
        <f>VLOOKUP($A273,[1]中含分析60315!$A:$M,9,0)</f>
        <v>35</v>
      </c>
      <c r="D273" s="4">
        <f>VLOOKUP($A273,[1]中含分析60315!$A:$M,10,0)</f>
        <v>34</v>
      </c>
      <c r="E273" s="4">
        <f>VLOOKUP($A273,[1]中含分析60315!$A:$M,11,0)</f>
        <v>33</v>
      </c>
      <c r="F273" s="4">
        <f>VLOOKUP($A273,[1]中含分析60315!$A:$M,12,0)</f>
        <v>31</v>
      </c>
      <c r="G273" s="4">
        <f>VLOOKUP($A273,[1]中含分析60315!$A:$M,13,0)</f>
        <v>30</v>
      </c>
      <c r="H273" s="3" t="s">
        <v>10</v>
      </c>
      <c r="I273" s="3" t="s">
        <v>547</v>
      </c>
    </row>
    <row r="274" customHeight="1" spans="1:9">
      <c r="A274" s="4" t="s">
        <v>548</v>
      </c>
      <c r="B274" s="4">
        <f>VLOOKUP($A274,[1]中含分析60315!$A:$M,8,0)</f>
        <v>40</v>
      </c>
      <c r="C274" s="4">
        <f>VLOOKUP($A274,[1]中含分析60315!$A:$M,9,0)</f>
        <v>38</v>
      </c>
      <c r="D274" s="4">
        <f>VLOOKUP($A274,[1]中含分析60315!$A:$M,10,0)</f>
        <v>37</v>
      </c>
      <c r="E274" s="4">
        <f>VLOOKUP($A274,[1]中含分析60315!$A:$M,11,0)</f>
        <v>36</v>
      </c>
      <c r="F274" s="4">
        <f>VLOOKUP($A274,[1]中含分析60315!$A:$M,12,0)</f>
        <v>34</v>
      </c>
      <c r="G274" s="4">
        <f>VLOOKUP($A274,[1]中含分析60315!$A:$M,13,0)</f>
        <v>33</v>
      </c>
      <c r="H274" s="3" t="s">
        <v>10</v>
      </c>
      <c r="I274" s="3" t="s">
        <v>549</v>
      </c>
    </row>
    <row r="275" customHeight="1" spans="1:9">
      <c r="A275" s="4" t="s">
        <v>550</v>
      </c>
      <c r="B275" s="4">
        <f>VLOOKUP($A275,[1]中含分析60315!$A:$M,8,0)</f>
        <v>199</v>
      </c>
      <c r="C275" s="4">
        <f>VLOOKUP($A275,[1]中含分析60315!$A:$M,9,0)</f>
        <v>192</v>
      </c>
      <c r="D275" s="4">
        <f>VLOOKUP($A275,[1]中含分析60315!$A:$M,10,0)</f>
        <v>185</v>
      </c>
      <c r="E275" s="4">
        <f>VLOOKUP($A275,[1]中含分析60315!$A:$M,11,0)</f>
        <v>177</v>
      </c>
      <c r="F275" s="4">
        <f>VLOOKUP($A275,[1]中含分析60315!$A:$M,12,0)</f>
        <v>170</v>
      </c>
      <c r="G275" s="4">
        <f>VLOOKUP($A275,[1]中含分析60315!$A:$M,13,0)</f>
        <v>163</v>
      </c>
      <c r="H275" s="3" t="s">
        <v>10</v>
      </c>
      <c r="I275" s="3" t="s">
        <v>551</v>
      </c>
    </row>
    <row r="276" customHeight="1" spans="1:9">
      <c r="A276" s="4" t="s">
        <v>552</v>
      </c>
      <c r="B276" s="4">
        <f>VLOOKUP($A276,[1]中含分析60315!$A:$M,8,0)</f>
        <v>38</v>
      </c>
      <c r="C276" s="4">
        <f>VLOOKUP($A276,[1]中含分析60315!$A:$M,9,0)</f>
        <v>37</v>
      </c>
      <c r="D276" s="4">
        <f>VLOOKUP($A276,[1]中含分析60315!$A:$M,10,0)</f>
        <v>36</v>
      </c>
      <c r="E276" s="4">
        <f>VLOOKUP($A276,[1]中含分析60315!$A:$M,11,0)</f>
        <v>34</v>
      </c>
      <c r="F276" s="4">
        <f>VLOOKUP($A276,[1]中含分析60315!$A:$M,12,0)</f>
        <v>33</v>
      </c>
      <c r="G276" s="4">
        <f>VLOOKUP($A276,[1]中含分析60315!$A:$M,13,0)</f>
        <v>31</v>
      </c>
      <c r="H276" s="3" t="s">
        <v>10</v>
      </c>
      <c r="I276" s="3" t="s">
        <v>553</v>
      </c>
    </row>
    <row r="277" customHeight="1" spans="1:9">
      <c r="A277" s="4" t="s">
        <v>554</v>
      </c>
      <c r="B277" s="4">
        <f>VLOOKUP($A277,[1]中含分析60315!$A:$M,8,0)</f>
        <v>44</v>
      </c>
      <c r="C277" s="4">
        <f>VLOOKUP($A277,[1]中含分析60315!$A:$M,9,0)</f>
        <v>43</v>
      </c>
      <c r="D277" s="4">
        <f>VLOOKUP($A277,[1]中含分析60315!$A:$M,10,0)</f>
        <v>41</v>
      </c>
      <c r="E277" s="4">
        <f>VLOOKUP($A277,[1]中含分析60315!$A:$M,11,0)</f>
        <v>40</v>
      </c>
      <c r="F277" s="4">
        <f>VLOOKUP($A277,[1]中含分析60315!$A:$M,12,0)</f>
        <v>38</v>
      </c>
      <c r="G277" s="4">
        <f>VLOOKUP($A277,[1]中含分析60315!$A:$M,13,0)</f>
        <v>36</v>
      </c>
      <c r="H277" s="3" t="s">
        <v>10</v>
      </c>
      <c r="I277" s="3" t="s">
        <v>555</v>
      </c>
    </row>
    <row r="278" customHeight="1" spans="1:9">
      <c r="A278" s="4" t="s">
        <v>556</v>
      </c>
      <c r="B278" s="4">
        <f>VLOOKUP($A278,[1]中含分析60315!$A:$M,8,0)</f>
        <v>32</v>
      </c>
      <c r="C278" s="4">
        <f>VLOOKUP($A278,[1]中含分析60315!$A:$M,9,0)</f>
        <v>31</v>
      </c>
      <c r="D278" s="4">
        <f>VLOOKUP($A278,[1]中含分析60315!$A:$M,10,0)</f>
        <v>31</v>
      </c>
      <c r="E278" s="4">
        <f>VLOOKUP($A278,[1]中含分析60315!$A:$M,11,0)</f>
        <v>30</v>
      </c>
      <c r="F278" s="4">
        <f>VLOOKUP($A278,[1]中含分析60315!$A:$M,12,0)</f>
        <v>30</v>
      </c>
      <c r="G278" s="4">
        <f>VLOOKUP($A278,[1]中含分析60315!$A:$M,13,0)</f>
        <v>29</v>
      </c>
      <c r="H278" s="3" t="s">
        <v>39</v>
      </c>
      <c r="I278" s="3" t="s">
        <v>557</v>
      </c>
    </row>
    <row r="279" customHeight="1" spans="1:9">
      <c r="A279" s="4" t="s">
        <v>558</v>
      </c>
      <c r="B279" s="4">
        <f>VLOOKUP($A279,[1]中含分析60315!$A:$M,8,0)</f>
        <v>50</v>
      </c>
      <c r="C279" s="4">
        <f>VLOOKUP($A279,[1]中含分析60315!$A:$M,9,0)</f>
        <v>48</v>
      </c>
      <c r="D279" s="4">
        <f>VLOOKUP($A279,[1]中含分析60315!$A:$M,10,0)</f>
        <v>46</v>
      </c>
      <c r="E279" s="4">
        <f>VLOOKUP($A279,[1]中含分析60315!$A:$M,11,0)</f>
        <v>44</v>
      </c>
      <c r="F279" s="4">
        <f>VLOOKUP($A279,[1]中含分析60315!$A:$M,12,0)</f>
        <v>42</v>
      </c>
      <c r="G279" s="4">
        <f>VLOOKUP($A279,[1]中含分析60315!$A:$M,13,0)</f>
        <v>41</v>
      </c>
      <c r="H279" s="3" t="s">
        <v>10</v>
      </c>
      <c r="I279" s="3" t="s">
        <v>559</v>
      </c>
    </row>
    <row r="280" customHeight="1" spans="1:9">
      <c r="A280" s="4" t="s">
        <v>560</v>
      </c>
      <c r="B280" s="4">
        <f>VLOOKUP($A280,[1]中含分析60315!$A:$M,8,0)</f>
        <v>52</v>
      </c>
      <c r="C280" s="4">
        <f>VLOOKUP($A280,[1]中含分析60315!$A:$M,9,0)</f>
        <v>50</v>
      </c>
      <c r="D280" s="4">
        <f>VLOOKUP($A280,[1]中含分析60315!$A:$M,10,0)</f>
        <v>48</v>
      </c>
      <c r="E280" s="4">
        <f>VLOOKUP($A280,[1]中含分析60315!$A:$M,11,0)</f>
        <v>46</v>
      </c>
      <c r="F280" s="4">
        <f>VLOOKUP($A280,[1]中含分析60315!$A:$M,12,0)</f>
        <v>44</v>
      </c>
      <c r="G280" s="4">
        <f>VLOOKUP($A280,[1]中含分析60315!$A:$M,13,0)</f>
        <v>42</v>
      </c>
      <c r="H280" s="3" t="s">
        <v>10</v>
      </c>
      <c r="I280" s="3" t="s">
        <v>561</v>
      </c>
    </row>
    <row r="281" customHeight="1" spans="1:9">
      <c r="A281" s="4" t="s">
        <v>562</v>
      </c>
      <c r="B281" s="4">
        <f>VLOOKUP($A281,[1]中含分析60315!$A:$M,8,0)</f>
        <v>37</v>
      </c>
      <c r="C281" s="4">
        <f>VLOOKUP($A281,[1]中含分析60315!$A:$M,9,0)</f>
        <v>36</v>
      </c>
      <c r="D281" s="4">
        <f>VLOOKUP($A281,[1]中含分析60315!$A:$M,10,0)</f>
        <v>34</v>
      </c>
      <c r="E281" s="4">
        <f>VLOOKUP($A281,[1]中含分析60315!$A:$M,11,0)</f>
        <v>33</v>
      </c>
      <c r="F281" s="4">
        <f>VLOOKUP($A281,[1]中含分析60315!$A:$M,12,0)</f>
        <v>32</v>
      </c>
      <c r="G281" s="4">
        <f>VLOOKUP($A281,[1]中含分析60315!$A:$M,13,0)</f>
        <v>30</v>
      </c>
      <c r="H281" s="3" t="s">
        <v>10</v>
      </c>
      <c r="I281" s="3" t="s">
        <v>563</v>
      </c>
    </row>
    <row r="282" customHeight="1" spans="1:9">
      <c r="A282" s="4" t="s">
        <v>564</v>
      </c>
      <c r="B282" s="4">
        <f>VLOOKUP($A282,[1]中含分析60315!$A:$M,8,0)</f>
        <v>34</v>
      </c>
      <c r="C282" s="4">
        <f>VLOOKUP($A282,[1]中含分析60315!$A:$M,9,0)</f>
        <v>34</v>
      </c>
      <c r="D282" s="4">
        <f>VLOOKUP($A282,[1]中含分析60315!$A:$M,10,0)</f>
        <v>33</v>
      </c>
      <c r="E282" s="4">
        <f>VLOOKUP($A282,[1]中含分析60315!$A:$M,11,0)</f>
        <v>32</v>
      </c>
      <c r="F282" s="4">
        <f>VLOOKUP($A282,[1]中含分析60315!$A:$M,12,0)</f>
        <v>32</v>
      </c>
      <c r="G282" s="4">
        <f>VLOOKUP($A282,[1]中含分析60315!$A:$M,13,0)</f>
        <v>32</v>
      </c>
      <c r="H282" s="3" t="s">
        <v>39</v>
      </c>
      <c r="I282" s="3" t="s">
        <v>565</v>
      </c>
    </row>
    <row r="283" customHeight="1" spans="1:9">
      <c r="A283" s="4" t="s">
        <v>566</v>
      </c>
      <c r="B283" s="4">
        <f>VLOOKUP($A283,[1]中含分析60315!$A:$M,8,0)</f>
        <v>35</v>
      </c>
      <c r="C283" s="4">
        <f>VLOOKUP($A283,[1]中含分析60315!$A:$M,9,0)</f>
        <v>34</v>
      </c>
      <c r="D283" s="4">
        <f>VLOOKUP($A283,[1]中含分析60315!$A:$M,10,0)</f>
        <v>32</v>
      </c>
      <c r="E283" s="4">
        <f>VLOOKUP($A283,[1]中含分析60315!$A:$M,11,0)</f>
        <v>31</v>
      </c>
      <c r="F283" s="4">
        <f>VLOOKUP($A283,[1]中含分析60315!$A:$M,12,0)</f>
        <v>30</v>
      </c>
      <c r="G283" s="4">
        <f>VLOOKUP($A283,[1]中含分析60315!$A:$M,13,0)</f>
        <v>29</v>
      </c>
      <c r="H283" s="3" t="s">
        <v>10</v>
      </c>
      <c r="I283" s="3" t="s">
        <v>567</v>
      </c>
    </row>
    <row r="284" customHeight="1" spans="1:9">
      <c r="A284" s="4" t="s">
        <v>568</v>
      </c>
      <c r="B284" s="4">
        <f>VLOOKUP($A284,[1]中含分析60315!$A:$M,8,0)</f>
        <v>32</v>
      </c>
      <c r="C284" s="4">
        <f>VLOOKUP($A284,[1]中含分析60315!$A:$M,9,0)</f>
        <v>31</v>
      </c>
      <c r="D284" s="4">
        <f>VLOOKUP($A284,[1]中含分析60315!$A:$M,10,0)</f>
        <v>31</v>
      </c>
      <c r="E284" s="4">
        <f>VLOOKUP($A284,[1]中含分析60315!$A:$M,11,0)</f>
        <v>30</v>
      </c>
      <c r="F284" s="4">
        <f>VLOOKUP($A284,[1]中含分析60315!$A:$M,12,0)</f>
        <v>30</v>
      </c>
      <c r="G284" s="4">
        <f>VLOOKUP($A284,[1]中含分析60315!$A:$M,13,0)</f>
        <v>29</v>
      </c>
      <c r="H284" s="3" t="s">
        <v>39</v>
      </c>
      <c r="I284" s="3" t="s">
        <v>569</v>
      </c>
    </row>
    <row r="285" customHeight="1" spans="1:9">
      <c r="A285" s="4" t="s">
        <v>570</v>
      </c>
      <c r="B285" s="4">
        <f>VLOOKUP($A285,[1]中含分析60315!$A:$M,8,0)</f>
        <v>43</v>
      </c>
      <c r="C285" s="4">
        <f>VLOOKUP($A285,[1]中含分析60315!$A:$M,9,0)</f>
        <v>42</v>
      </c>
      <c r="D285" s="4">
        <f>VLOOKUP($A285,[1]中含分析60315!$A:$M,10,0)</f>
        <v>40</v>
      </c>
      <c r="E285" s="4">
        <f>VLOOKUP($A285,[1]中含分析60315!$A:$M,11,0)</f>
        <v>39</v>
      </c>
      <c r="F285" s="4">
        <f>VLOOKUP($A285,[1]中含分析60315!$A:$M,12,0)</f>
        <v>37</v>
      </c>
      <c r="G285" s="4">
        <f>VLOOKUP($A285,[1]中含分析60315!$A:$M,13,0)</f>
        <v>35</v>
      </c>
      <c r="H285" s="3" t="s">
        <v>10</v>
      </c>
      <c r="I285" s="3" t="s">
        <v>37</v>
      </c>
    </row>
    <row r="286" customHeight="1" spans="1:9">
      <c r="A286" s="4" t="s">
        <v>571</v>
      </c>
      <c r="B286" s="4">
        <f>VLOOKUP($A286,[1]中含分析60315!$A:$M,8,0)</f>
        <v>43</v>
      </c>
      <c r="C286" s="4">
        <f>VLOOKUP($A286,[1]中含分析60315!$A:$M,9,0)</f>
        <v>42</v>
      </c>
      <c r="D286" s="4">
        <f>VLOOKUP($A286,[1]中含分析60315!$A:$M,10,0)</f>
        <v>40</v>
      </c>
      <c r="E286" s="4">
        <f>VLOOKUP($A286,[1]中含分析60315!$A:$M,11,0)</f>
        <v>38</v>
      </c>
      <c r="F286" s="4">
        <f>VLOOKUP($A286,[1]中含分析60315!$A:$M,12,0)</f>
        <v>37</v>
      </c>
      <c r="G286" s="4">
        <f>VLOOKUP($A286,[1]中含分析60315!$A:$M,13,0)</f>
        <v>35</v>
      </c>
      <c r="H286" s="3" t="s">
        <v>10</v>
      </c>
      <c r="I286" s="3" t="s">
        <v>572</v>
      </c>
    </row>
    <row r="287" customHeight="1" spans="1:9">
      <c r="A287" s="4" t="s">
        <v>573</v>
      </c>
      <c r="B287" s="4">
        <f>VLOOKUP($A287,[1]中含分析60315!$A:$M,8,0)</f>
        <v>74</v>
      </c>
      <c r="C287" s="4">
        <f>VLOOKUP($A287,[1]中含分析60315!$A:$M,9,0)</f>
        <v>73</v>
      </c>
      <c r="D287" s="4">
        <f>VLOOKUP($A287,[1]中含分析60315!$A:$M,10,0)</f>
        <v>71</v>
      </c>
      <c r="E287" s="4">
        <f>VLOOKUP($A287,[1]中含分析60315!$A:$M,11,0)</f>
        <v>70</v>
      </c>
      <c r="F287" s="4">
        <f>VLOOKUP($A287,[1]中含分析60315!$A:$M,12,0)</f>
        <v>70</v>
      </c>
      <c r="G287" s="4">
        <f>VLOOKUP($A287,[1]中含分析60315!$A:$M,13,0)</f>
        <v>68</v>
      </c>
      <c r="H287" s="3" t="s">
        <v>39</v>
      </c>
      <c r="I287" s="3" t="s">
        <v>574</v>
      </c>
    </row>
    <row r="288" customHeight="1" spans="1:9">
      <c r="A288" s="4" t="s">
        <v>575</v>
      </c>
      <c r="B288" s="4">
        <f>VLOOKUP($A288,[1]中含分析60315!$A:$M,8,0)</f>
        <v>45</v>
      </c>
      <c r="C288" s="4">
        <f>VLOOKUP($A288,[1]中含分析60315!$A:$M,9,0)</f>
        <v>43</v>
      </c>
      <c r="D288" s="4">
        <f>VLOOKUP($A288,[1]中含分析60315!$A:$M,10,0)</f>
        <v>41</v>
      </c>
      <c r="E288" s="4">
        <f>VLOOKUP($A288,[1]中含分析60315!$A:$M,11,0)</f>
        <v>40</v>
      </c>
      <c r="F288" s="4">
        <f>VLOOKUP($A288,[1]中含分析60315!$A:$M,12,0)</f>
        <v>38</v>
      </c>
      <c r="G288" s="4">
        <f>VLOOKUP($A288,[1]中含分析60315!$A:$M,13,0)</f>
        <v>36</v>
      </c>
      <c r="H288" s="3" t="s">
        <v>10</v>
      </c>
      <c r="I288" s="3" t="s">
        <v>576</v>
      </c>
    </row>
    <row r="289" customHeight="1" spans="1:9">
      <c r="A289" s="4" t="s">
        <v>577</v>
      </c>
      <c r="B289" s="4">
        <f>VLOOKUP($A289,[1]中含分析60315!$A:$M,8,0)</f>
        <v>39</v>
      </c>
      <c r="C289" s="4">
        <f>VLOOKUP($A289,[1]中含分析60315!$A:$M,9,0)</f>
        <v>37</v>
      </c>
      <c r="D289" s="4">
        <f>VLOOKUP($A289,[1]中含分析60315!$A:$M,10,0)</f>
        <v>36</v>
      </c>
      <c r="E289" s="4">
        <f>VLOOKUP($A289,[1]中含分析60315!$A:$M,11,0)</f>
        <v>35</v>
      </c>
      <c r="F289" s="4">
        <f>VLOOKUP($A289,[1]中含分析60315!$A:$M,12,0)</f>
        <v>33</v>
      </c>
      <c r="G289" s="4">
        <f>VLOOKUP($A289,[1]中含分析60315!$A:$M,13,0)</f>
        <v>32</v>
      </c>
      <c r="H289" s="3" t="s">
        <v>10</v>
      </c>
      <c r="I289" s="3" t="s">
        <v>578</v>
      </c>
    </row>
    <row r="290" customHeight="1" spans="1:9">
      <c r="A290" s="4" t="s">
        <v>579</v>
      </c>
      <c r="B290" s="4">
        <f>VLOOKUP($A290,[1]中含分析60315!$A:$M,8,0)</f>
        <v>144</v>
      </c>
      <c r="C290" s="4">
        <f>VLOOKUP($A290,[1]中含分析60315!$A:$M,9,0)</f>
        <v>142</v>
      </c>
      <c r="D290" s="4">
        <f>VLOOKUP($A290,[1]中含分析60315!$A:$M,10,0)</f>
        <v>139</v>
      </c>
      <c r="E290" s="4">
        <f>VLOOKUP($A290,[1]中含分析60315!$A:$M,11,0)</f>
        <v>137</v>
      </c>
      <c r="F290" s="4">
        <f>VLOOKUP($A290,[1]中含分析60315!$A:$M,12,0)</f>
        <v>136</v>
      </c>
      <c r="G290" s="4">
        <f>VLOOKUP($A290,[1]中含分析60315!$A:$M,13,0)</f>
        <v>133</v>
      </c>
      <c r="H290" s="3" t="s">
        <v>39</v>
      </c>
      <c r="I290" s="3" t="s">
        <v>580</v>
      </c>
    </row>
    <row r="291" customHeight="1" spans="1:9">
      <c r="A291" s="4" t="s">
        <v>581</v>
      </c>
      <c r="B291" s="4">
        <f>VLOOKUP($A291,[1]中含分析60315!$A:$M,8,0)</f>
        <v>59</v>
      </c>
      <c r="C291" s="4">
        <f>VLOOKUP($A291,[1]中含分析60315!$A:$M,9,0)</f>
        <v>58</v>
      </c>
      <c r="D291" s="4">
        <f>VLOOKUP($A291,[1]中含分析60315!$A:$M,10,0)</f>
        <v>57</v>
      </c>
      <c r="E291" s="4">
        <f>VLOOKUP($A291,[1]中含分析60315!$A:$M,11,0)</f>
        <v>56</v>
      </c>
      <c r="F291" s="4">
        <f>VLOOKUP($A291,[1]中含分析60315!$A:$M,12,0)</f>
        <v>56</v>
      </c>
      <c r="G291" s="4">
        <f>VLOOKUP($A291,[1]中含分析60315!$A:$M,13,0)</f>
        <v>55</v>
      </c>
      <c r="H291" s="3" t="s">
        <v>39</v>
      </c>
      <c r="I291" s="3" t="s">
        <v>582</v>
      </c>
    </row>
    <row r="292" customHeight="1" spans="1:9">
      <c r="A292" s="4" t="s">
        <v>583</v>
      </c>
      <c r="B292" s="4">
        <f>VLOOKUP($A292,[1]中含分析60315!$A:$M,8,0)</f>
        <v>50</v>
      </c>
      <c r="C292" s="4">
        <f>VLOOKUP($A292,[1]中含分析60315!$A:$M,9,0)</f>
        <v>50</v>
      </c>
      <c r="D292" s="4">
        <f>VLOOKUP($A292,[1]中含分析60315!$A:$M,10,0)</f>
        <v>49</v>
      </c>
      <c r="E292" s="4">
        <f>VLOOKUP($A292,[1]中含分析60315!$A:$M,11,0)</f>
        <v>48</v>
      </c>
      <c r="F292" s="4">
        <f>VLOOKUP($A292,[1]中含分析60315!$A:$M,12,0)</f>
        <v>48</v>
      </c>
      <c r="G292" s="4">
        <f>VLOOKUP($A292,[1]中含分析60315!$A:$M,13,0)</f>
        <v>47</v>
      </c>
      <c r="H292" s="3" t="s">
        <v>39</v>
      </c>
      <c r="I292" s="3" t="s">
        <v>584</v>
      </c>
    </row>
    <row r="293" customHeight="1" spans="1:9">
      <c r="A293" s="4" t="s">
        <v>585</v>
      </c>
      <c r="B293" s="4">
        <f>VLOOKUP($A293,[1]中含分析60315!$A:$M,8,0)</f>
        <v>50</v>
      </c>
      <c r="C293" s="4">
        <f>VLOOKUP($A293,[1]中含分析60315!$A:$M,9,0)</f>
        <v>49</v>
      </c>
      <c r="D293" s="4">
        <f>VLOOKUP($A293,[1]中含分析60315!$A:$M,10,0)</f>
        <v>49</v>
      </c>
      <c r="E293" s="4">
        <f>VLOOKUP($A293,[1]中含分析60315!$A:$M,11,0)</f>
        <v>48</v>
      </c>
      <c r="F293" s="4">
        <f>VLOOKUP($A293,[1]中含分析60315!$A:$M,12,0)</f>
        <v>47</v>
      </c>
      <c r="G293" s="4">
        <f>VLOOKUP($A293,[1]中含分析60315!$A:$M,13,0)</f>
        <v>46</v>
      </c>
      <c r="H293" s="3" t="s">
        <v>39</v>
      </c>
      <c r="I293" s="3" t="s">
        <v>586</v>
      </c>
    </row>
    <row r="294" customHeight="1" spans="1:9">
      <c r="A294" s="4" t="s">
        <v>587</v>
      </c>
      <c r="B294" s="4">
        <f>VLOOKUP($A294,[1]中含分析60315!$A:$M,8,0)</f>
        <v>46</v>
      </c>
      <c r="C294" s="4">
        <f>VLOOKUP($A294,[1]中含分析60315!$A:$M,9,0)</f>
        <v>45</v>
      </c>
      <c r="D294" s="4">
        <f>VLOOKUP($A294,[1]中含分析60315!$A:$M,10,0)</f>
        <v>44</v>
      </c>
      <c r="E294" s="4">
        <f>VLOOKUP($A294,[1]中含分析60315!$A:$M,11,0)</f>
        <v>44</v>
      </c>
      <c r="F294" s="4">
        <f>VLOOKUP($A294,[1]中含分析60315!$A:$M,12,0)</f>
        <v>43</v>
      </c>
      <c r="G294" s="4">
        <f>VLOOKUP($A294,[1]中含分析60315!$A:$M,13,0)</f>
        <v>43</v>
      </c>
      <c r="H294" s="3" t="s">
        <v>39</v>
      </c>
      <c r="I294" s="3" t="s">
        <v>588</v>
      </c>
    </row>
    <row r="295" customHeight="1" spans="1:9">
      <c r="A295" s="4" t="s">
        <v>589</v>
      </c>
      <c r="B295" s="4">
        <f>VLOOKUP($A295,[1]中含分析60315!$A:$M,8,0)</f>
        <v>48</v>
      </c>
      <c r="C295" s="4">
        <f>VLOOKUP($A295,[1]中含分析60315!$A:$M,9,0)</f>
        <v>46</v>
      </c>
      <c r="D295" s="4">
        <f>VLOOKUP($A295,[1]中含分析60315!$A:$M,10,0)</f>
        <v>45</v>
      </c>
      <c r="E295" s="4">
        <f>VLOOKUP($A295,[1]中含分析60315!$A:$M,11,0)</f>
        <v>43</v>
      </c>
      <c r="F295" s="4">
        <f>VLOOKUP($A295,[1]中含分析60315!$A:$M,12,0)</f>
        <v>41</v>
      </c>
      <c r="G295" s="4">
        <f>VLOOKUP($A295,[1]中含分析60315!$A:$M,13,0)</f>
        <v>39</v>
      </c>
      <c r="H295" s="3" t="s">
        <v>10</v>
      </c>
      <c r="I295" s="3" t="s">
        <v>590</v>
      </c>
    </row>
    <row r="296" customHeight="1" spans="1:9">
      <c r="A296" s="4" t="s">
        <v>591</v>
      </c>
      <c r="B296" s="4">
        <f>VLOOKUP($A296,[1]中含分析60315!$A:$M,8,0)</f>
        <v>47</v>
      </c>
      <c r="C296" s="4">
        <f>VLOOKUP($A296,[1]中含分析60315!$A:$M,9,0)</f>
        <v>45</v>
      </c>
      <c r="D296" s="4">
        <f>VLOOKUP($A296,[1]中含分析60315!$A:$M,10,0)</f>
        <v>44</v>
      </c>
      <c r="E296" s="4">
        <f>VLOOKUP($A296,[1]中含分析60315!$A:$M,11,0)</f>
        <v>42</v>
      </c>
      <c r="F296" s="4">
        <f>VLOOKUP($A296,[1]中含分析60315!$A:$M,12,0)</f>
        <v>40</v>
      </c>
      <c r="G296" s="4">
        <f>VLOOKUP($A296,[1]中含分析60315!$A:$M,13,0)</f>
        <v>39</v>
      </c>
      <c r="H296" s="3" t="s">
        <v>10</v>
      </c>
      <c r="I296" s="3" t="s">
        <v>592</v>
      </c>
    </row>
    <row r="297" customHeight="1" spans="1:9">
      <c r="A297" s="4" t="s">
        <v>593</v>
      </c>
      <c r="B297" s="4">
        <f>VLOOKUP($A297,[1]中含分析60315!$A:$M,8,0)</f>
        <v>32</v>
      </c>
      <c r="C297" s="4">
        <f>VLOOKUP($A297,[1]中含分析60315!$A:$M,9,0)</f>
        <v>31</v>
      </c>
      <c r="D297" s="4">
        <f>VLOOKUP($A297,[1]中含分析60315!$A:$M,10,0)</f>
        <v>30</v>
      </c>
      <c r="E297" s="4">
        <f>VLOOKUP($A297,[1]中含分析60315!$A:$M,11,0)</f>
        <v>28</v>
      </c>
      <c r="F297" s="4">
        <f>VLOOKUP($A297,[1]中含分析60315!$A:$M,12,0)</f>
        <v>27</v>
      </c>
      <c r="G297" s="4">
        <f>VLOOKUP($A297,[1]中含分析60315!$A:$M,13,0)</f>
        <v>26</v>
      </c>
      <c r="H297" s="3" t="s">
        <v>10</v>
      </c>
      <c r="I297" s="3" t="s">
        <v>594</v>
      </c>
    </row>
    <row r="298" customHeight="1" spans="1:9">
      <c r="A298" s="4" t="s">
        <v>595</v>
      </c>
      <c r="B298" s="4">
        <f>VLOOKUP($A298,[1]中含分析60315!$A:$M,8,0)</f>
        <v>52</v>
      </c>
      <c r="C298" s="4">
        <f>VLOOKUP($A298,[1]中含分析60315!$A:$M,9,0)</f>
        <v>52</v>
      </c>
      <c r="D298" s="4">
        <f>VLOOKUP($A298,[1]中含分析60315!$A:$M,10,0)</f>
        <v>51</v>
      </c>
      <c r="E298" s="4">
        <f>VLOOKUP($A298,[1]中含分析60315!$A:$M,11,0)</f>
        <v>50</v>
      </c>
      <c r="F298" s="4">
        <f>VLOOKUP($A298,[1]中含分析60315!$A:$M,12,0)</f>
        <v>49</v>
      </c>
      <c r="G298" s="4">
        <f>VLOOKUP($A298,[1]中含分析60315!$A:$M,13,0)</f>
        <v>49</v>
      </c>
      <c r="H298" s="3" t="s">
        <v>39</v>
      </c>
      <c r="I298" s="3" t="s">
        <v>596</v>
      </c>
    </row>
    <row r="299" customHeight="1" spans="1:9">
      <c r="A299" s="4" t="s">
        <v>597</v>
      </c>
      <c r="B299" s="4">
        <f>VLOOKUP($A299,[1]中含分析60315!$A:$M,8,0)</f>
        <v>45</v>
      </c>
      <c r="C299" s="4">
        <f>VLOOKUP($A299,[1]中含分析60315!$A:$M,9,0)</f>
        <v>43</v>
      </c>
      <c r="D299" s="4">
        <f>VLOOKUP($A299,[1]中含分析60315!$A:$M,10,0)</f>
        <v>41</v>
      </c>
      <c r="E299" s="4">
        <f>VLOOKUP($A299,[1]中含分析60315!$A:$M,11,0)</f>
        <v>40</v>
      </c>
      <c r="F299" s="4">
        <f>VLOOKUP($A299,[1]中含分析60315!$A:$M,12,0)</f>
        <v>38</v>
      </c>
      <c r="G299" s="4">
        <f>VLOOKUP($A299,[1]中含分析60315!$A:$M,13,0)</f>
        <v>36</v>
      </c>
      <c r="H299" s="3" t="s">
        <v>10</v>
      </c>
      <c r="I299" s="3" t="s">
        <v>598</v>
      </c>
    </row>
    <row r="300" customHeight="1" spans="1:9">
      <c r="A300" s="4" t="s">
        <v>599</v>
      </c>
      <c r="B300" s="4">
        <f>VLOOKUP($A300,[1]中含分析60315!$A:$M,8,0)</f>
        <v>36</v>
      </c>
      <c r="C300" s="4">
        <f>VLOOKUP($A300,[1]中含分析60315!$A:$M,9,0)</f>
        <v>35</v>
      </c>
      <c r="D300" s="4">
        <f>VLOOKUP($A300,[1]中含分析60315!$A:$M,10,0)</f>
        <v>34</v>
      </c>
      <c r="E300" s="4">
        <f>VLOOKUP($A300,[1]中含分析60315!$A:$M,11,0)</f>
        <v>32</v>
      </c>
      <c r="F300" s="4">
        <f>VLOOKUP($A300,[1]中含分析60315!$A:$M,12,0)</f>
        <v>31</v>
      </c>
      <c r="G300" s="4">
        <f>VLOOKUP($A300,[1]中含分析60315!$A:$M,13,0)</f>
        <v>30</v>
      </c>
      <c r="H300" s="3" t="s">
        <v>10</v>
      </c>
      <c r="I300" s="3" t="s">
        <v>600</v>
      </c>
    </row>
    <row r="301" customHeight="1" spans="1:9">
      <c r="A301" s="4" t="s">
        <v>601</v>
      </c>
      <c r="B301" s="4">
        <f>VLOOKUP($A301,[1]中含分析60315!$A:$M,8,0)</f>
        <v>42</v>
      </c>
      <c r="C301" s="4">
        <f>VLOOKUP($A301,[1]中含分析60315!$A:$M,9,0)</f>
        <v>41</v>
      </c>
      <c r="D301" s="4">
        <f>VLOOKUP($A301,[1]中含分析60315!$A:$M,10,0)</f>
        <v>39</v>
      </c>
      <c r="E301" s="4">
        <f>VLOOKUP($A301,[1]中含分析60315!$A:$M,11,0)</f>
        <v>38</v>
      </c>
      <c r="F301" s="4">
        <f>VLOOKUP($A301,[1]中含分析60315!$A:$M,12,0)</f>
        <v>36</v>
      </c>
      <c r="G301" s="4">
        <f>VLOOKUP($A301,[1]中含分析60315!$A:$M,13,0)</f>
        <v>35</v>
      </c>
      <c r="H301" s="3" t="s">
        <v>10</v>
      </c>
      <c r="I301" s="3" t="s">
        <v>602</v>
      </c>
    </row>
    <row r="302" customHeight="1" spans="1:9">
      <c r="A302" s="4" t="s">
        <v>603</v>
      </c>
      <c r="B302" s="4">
        <f>VLOOKUP($A302,[1]中含分析60315!$A:$M,8,0)</f>
        <v>34</v>
      </c>
      <c r="C302" s="4">
        <f>VLOOKUP($A302,[1]中含分析60315!$A:$M,9,0)</f>
        <v>33</v>
      </c>
      <c r="D302" s="4">
        <f>VLOOKUP($A302,[1]中含分析60315!$A:$M,10,0)</f>
        <v>32</v>
      </c>
      <c r="E302" s="4">
        <f>VLOOKUP($A302,[1]中含分析60315!$A:$M,11,0)</f>
        <v>31</v>
      </c>
      <c r="F302" s="4">
        <f>VLOOKUP($A302,[1]中含分析60315!$A:$M,12,0)</f>
        <v>29</v>
      </c>
      <c r="G302" s="4">
        <f>VLOOKUP($A302,[1]中含分析60315!$A:$M,13,0)</f>
        <v>28</v>
      </c>
      <c r="H302" s="3" t="s">
        <v>10</v>
      </c>
      <c r="I302" s="3" t="s">
        <v>604</v>
      </c>
    </row>
    <row r="303" customHeight="1" spans="1:9">
      <c r="A303" s="4" t="s">
        <v>605</v>
      </c>
      <c r="B303" s="4">
        <f>VLOOKUP($A303,[1]中含分析60315!$A:$M,8,0)</f>
        <v>55</v>
      </c>
      <c r="C303" s="4">
        <f>VLOOKUP($A303,[1]中含分析60315!$A:$M,9,0)</f>
        <v>54</v>
      </c>
      <c r="D303" s="4">
        <f>VLOOKUP($A303,[1]中含分析60315!$A:$M,10,0)</f>
        <v>53</v>
      </c>
      <c r="E303" s="4">
        <f>VLOOKUP($A303,[1]中含分析60315!$A:$M,11,0)</f>
        <v>52</v>
      </c>
      <c r="F303" s="4">
        <f>VLOOKUP($A303,[1]中含分析60315!$A:$M,12,0)</f>
        <v>52</v>
      </c>
      <c r="G303" s="4">
        <f>VLOOKUP($A303,[1]中含分析60315!$A:$M,13,0)</f>
        <v>51</v>
      </c>
      <c r="H303" s="3" t="s">
        <v>39</v>
      </c>
      <c r="I303" s="3" t="s">
        <v>606</v>
      </c>
    </row>
    <row r="304" customHeight="1" spans="1:9">
      <c r="A304" s="4" t="s">
        <v>607</v>
      </c>
      <c r="B304" s="4">
        <f>VLOOKUP($A304,[1]中含分析60315!$A:$M,8,0)</f>
        <v>40</v>
      </c>
      <c r="C304" s="4">
        <f>VLOOKUP($A304,[1]中含分析60315!$A:$M,9,0)</f>
        <v>39</v>
      </c>
      <c r="D304" s="4">
        <f>VLOOKUP($A304,[1]中含分析60315!$A:$M,10,0)</f>
        <v>37</v>
      </c>
      <c r="E304" s="4">
        <f>VLOOKUP($A304,[1]中含分析60315!$A:$M,11,0)</f>
        <v>36</v>
      </c>
      <c r="F304" s="4">
        <f>VLOOKUP($A304,[1]中含分析60315!$A:$M,12,0)</f>
        <v>34</v>
      </c>
      <c r="G304" s="4">
        <f>VLOOKUP($A304,[1]中含分析60315!$A:$M,13,0)</f>
        <v>33</v>
      </c>
      <c r="H304" s="3" t="s">
        <v>10</v>
      </c>
      <c r="I304" s="3" t="s">
        <v>608</v>
      </c>
    </row>
    <row r="305" customHeight="1" spans="1:9">
      <c r="A305" s="4" t="s">
        <v>609</v>
      </c>
      <c r="B305" s="4">
        <f>VLOOKUP($A305,[1]中含分析60315!$A:$M,8,0)</f>
        <v>73</v>
      </c>
      <c r="C305" s="4">
        <f>VLOOKUP($A305,[1]中含分析60315!$A:$M,9,0)</f>
        <v>72</v>
      </c>
      <c r="D305" s="4">
        <f>VLOOKUP($A305,[1]中含分析60315!$A:$M,10,0)</f>
        <v>70</v>
      </c>
      <c r="E305" s="4">
        <f>VLOOKUP($A305,[1]中含分析60315!$A:$M,11,0)</f>
        <v>69</v>
      </c>
      <c r="F305" s="4">
        <f>VLOOKUP($A305,[1]中含分析60315!$A:$M,12,0)</f>
        <v>68</v>
      </c>
      <c r="G305" s="4">
        <f>VLOOKUP($A305,[1]中含分析60315!$A:$M,13,0)</f>
        <v>67</v>
      </c>
      <c r="H305" s="3" t="s">
        <v>39</v>
      </c>
      <c r="I305" s="3" t="s">
        <v>610</v>
      </c>
    </row>
    <row r="306" customHeight="1" spans="1:9">
      <c r="A306" s="4" t="s">
        <v>611</v>
      </c>
      <c r="B306" s="4">
        <f>VLOOKUP($A306,[1]中含分析60315!$A:$M,8,0)</f>
        <v>45</v>
      </c>
      <c r="C306" s="4">
        <f>VLOOKUP($A306,[1]中含分析60315!$A:$M,9,0)</f>
        <v>43</v>
      </c>
      <c r="D306" s="4">
        <f>VLOOKUP($A306,[1]中含分析60315!$A:$M,10,0)</f>
        <v>41</v>
      </c>
      <c r="E306" s="4">
        <f>VLOOKUP($A306,[1]中含分析60315!$A:$M,11,0)</f>
        <v>40</v>
      </c>
      <c r="F306" s="4">
        <f>VLOOKUP($A306,[1]中含分析60315!$A:$M,12,0)</f>
        <v>38</v>
      </c>
      <c r="G306" s="4">
        <f>VLOOKUP($A306,[1]中含分析60315!$A:$M,13,0)</f>
        <v>36</v>
      </c>
      <c r="H306" s="3" t="s">
        <v>10</v>
      </c>
      <c r="I306" s="3" t="s">
        <v>612</v>
      </c>
    </row>
    <row r="307" customHeight="1" spans="1:9">
      <c r="A307" s="4" t="s">
        <v>613</v>
      </c>
      <c r="B307" s="4">
        <f>VLOOKUP($A307,[1]中含分析60315!$A:$M,8,0)</f>
        <v>24</v>
      </c>
      <c r="C307" s="4">
        <f>VLOOKUP($A307,[1]中含分析60315!$A:$M,9,0)</f>
        <v>24</v>
      </c>
      <c r="D307" s="4">
        <f>VLOOKUP($A307,[1]中含分析60315!$A:$M,10,0)</f>
        <v>23</v>
      </c>
      <c r="E307" s="4">
        <f>VLOOKUP($A307,[1]中含分析60315!$A:$M,11,0)</f>
        <v>22</v>
      </c>
      <c r="F307" s="4">
        <f>VLOOKUP($A307,[1]中含分析60315!$A:$M,12,0)</f>
        <v>21</v>
      </c>
      <c r="G307" s="4">
        <f>VLOOKUP($A307,[1]中含分析60315!$A:$M,13,0)</f>
        <v>20</v>
      </c>
      <c r="H307" s="3" t="s">
        <v>10</v>
      </c>
      <c r="I307" s="3" t="s">
        <v>614</v>
      </c>
    </row>
    <row r="308" customHeight="1" spans="1:9">
      <c r="A308" s="4" t="s">
        <v>615</v>
      </c>
      <c r="B308" s="4">
        <f>VLOOKUP($A308,[1]中含分析60315!$A:$M,8,0)</f>
        <v>89</v>
      </c>
      <c r="C308" s="4">
        <f>VLOOKUP($A308,[1]中含分析60315!$A:$M,9,0)</f>
        <v>86</v>
      </c>
      <c r="D308" s="4">
        <f>VLOOKUP($A308,[1]中含分析60315!$A:$M,10,0)</f>
        <v>82</v>
      </c>
      <c r="E308" s="4">
        <f>VLOOKUP($A308,[1]中含分析60315!$A:$M,11,0)</f>
        <v>79</v>
      </c>
      <c r="F308" s="4">
        <f>VLOOKUP($A308,[1]中含分析60315!$A:$M,12,0)</f>
        <v>76</v>
      </c>
      <c r="G308" s="4">
        <f>VLOOKUP($A308,[1]中含分析60315!$A:$M,13,0)</f>
        <v>73</v>
      </c>
      <c r="H308" s="3" t="s">
        <v>10</v>
      </c>
      <c r="I308" s="3" t="s">
        <v>616</v>
      </c>
    </row>
    <row r="309" customHeight="1" spans="1:9">
      <c r="A309" s="4" t="s">
        <v>617</v>
      </c>
      <c r="B309" s="4">
        <f>VLOOKUP($A309,[1]中含分析60315!$A:$M,8,0)</f>
        <v>47</v>
      </c>
      <c r="C309" s="4">
        <f>VLOOKUP($A309,[1]中含分析60315!$A:$M,9,0)</f>
        <v>46</v>
      </c>
      <c r="D309" s="4">
        <f>VLOOKUP($A309,[1]中含分析60315!$A:$M,10,0)</f>
        <v>44</v>
      </c>
      <c r="E309" s="4">
        <f>VLOOKUP($A309,[1]中含分析60315!$A:$M,11,0)</f>
        <v>42</v>
      </c>
      <c r="F309" s="4">
        <f>VLOOKUP($A309,[1]中含分析60315!$A:$M,12,0)</f>
        <v>40</v>
      </c>
      <c r="G309" s="4">
        <f>VLOOKUP($A309,[1]中含分析60315!$A:$M,13,0)</f>
        <v>39</v>
      </c>
      <c r="H309" s="3" t="s">
        <v>10</v>
      </c>
      <c r="I309" s="3" t="s">
        <v>618</v>
      </c>
    </row>
    <row r="310" customHeight="1" spans="1:9">
      <c r="A310" s="4" t="s">
        <v>619</v>
      </c>
      <c r="B310" s="4">
        <f>VLOOKUP($A310,[1]中含分析60315!$A:$M,8,0)</f>
        <v>43</v>
      </c>
      <c r="C310" s="4">
        <f>VLOOKUP($A310,[1]中含分析60315!$A:$M,9,0)</f>
        <v>42</v>
      </c>
      <c r="D310" s="4">
        <f>VLOOKUP($A310,[1]中含分析60315!$A:$M,10,0)</f>
        <v>40</v>
      </c>
      <c r="E310" s="4">
        <f>VLOOKUP($A310,[1]中含分析60315!$A:$M,11,0)</f>
        <v>38</v>
      </c>
      <c r="F310" s="4">
        <f>VLOOKUP($A310,[1]中含分析60315!$A:$M,12,0)</f>
        <v>37</v>
      </c>
      <c r="G310" s="4">
        <f>VLOOKUP($A310,[1]中含分析60315!$A:$M,13,0)</f>
        <v>35</v>
      </c>
      <c r="H310" s="3" t="s">
        <v>10</v>
      </c>
      <c r="I310" s="3" t="s">
        <v>179</v>
      </c>
    </row>
    <row r="311" customHeight="1" spans="1:9">
      <c r="A311" s="4" t="s">
        <v>620</v>
      </c>
      <c r="B311" s="4">
        <f>VLOOKUP($A311,[1]中含分析60315!$A:$M,8,0)</f>
        <v>36</v>
      </c>
      <c r="C311" s="4">
        <f>VLOOKUP($A311,[1]中含分析60315!$A:$M,9,0)</f>
        <v>35</v>
      </c>
      <c r="D311" s="4">
        <f>VLOOKUP($A311,[1]中含分析60315!$A:$M,10,0)</f>
        <v>34</v>
      </c>
      <c r="E311" s="4">
        <f>VLOOKUP($A311,[1]中含分析60315!$A:$M,11,0)</f>
        <v>32</v>
      </c>
      <c r="F311" s="4">
        <f>VLOOKUP($A311,[1]中含分析60315!$A:$M,12,0)</f>
        <v>31</v>
      </c>
      <c r="G311" s="4">
        <f>VLOOKUP($A311,[1]中含分析60315!$A:$M,13,0)</f>
        <v>30</v>
      </c>
      <c r="H311" s="3" t="s">
        <v>10</v>
      </c>
      <c r="I311" s="3" t="s">
        <v>31</v>
      </c>
    </row>
    <row r="312" customHeight="1" spans="1:9">
      <c r="A312" s="4" t="s">
        <v>621</v>
      </c>
      <c r="B312" s="4">
        <f>VLOOKUP($A312,[1]中含分析60315!$A:$M,8,0)</f>
        <v>39</v>
      </c>
      <c r="C312" s="4">
        <f>VLOOKUP($A312,[1]中含分析60315!$A:$M,9,0)</f>
        <v>38</v>
      </c>
      <c r="D312" s="4">
        <f>VLOOKUP($A312,[1]中含分析60315!$A:$M,10,0)</f>
        <v>36</v>
      </c>
      <c r="E312" s="4">
        <f>VLOOKUP($A312,[1]中含分析60315!$A:$M,11,0)</f>
        <v>35</v>
      </c>
      <c r="F312" s="4">
        <f>VLOOKUP($A312,[1]中含分析60315!$A:$M,12,0)</f>
        <v>34</v>
      </c>
      <c r="G312" s="4">
        <f>VLOOKUP($A312,[1]中含分析60315!$A:$M,13,0)</f>
        <v>32</v>
      </c>
      <c r="H312" s="3" t="s">
        <v>10</v>
      </c>
      <c r="I312" s="3" t="s">
        <v>622</v>
      </c>
    </row>
    <row r="313" customHeight="1" spans="1:9">
      <c r="A313" s="4" t="s">
        <v>623</v>
      </c>
      <c r="B313" s="4">
        <f>VLOOKUP($A313,[1]中含分析60315!$A:$M,8,0)</f>
        <v>39</v>
      </c>
      <c r="C313" s="4">
        <f>VLOOKUP($A313,[1]中含分析60315!$A:$M,9,0)</f>
        <v>38</v>
      </c>
      <c r="D313" s="4">
        <f>VLOOKUP($A313,[1]中含分析60315!$A:$M,10,0)</f>
        <v>36</v>
      </c>
      <c r="E313" s="4">
        <f>VLOOKUP($A313,[1]中含分析60315!$A:$M,11,0)</f>
        <v>35</v>
      </c>
      <c r="F313" s="4">
        <f>VLOOKUP($A313,[1]中含分析60315!$A:$M,12,0)</f>
        <v>33</v>
      </c>
      <c r="G313" s="4">
        <f>VLOOKUP($A313,[1]中含分析60315!$A:$M,13,0)</f>
        <v>32</v>
      </c>
      <c r="H313" s="3" t="s">
        <v>10</v>
      </c>
      <c r="I313" s="3" t="s">
        <v>624</v>
      </c>
    </row>
    <row r="314" customHeight="1" spans="1:9">
      <c r="A314" s="4" t="s">
        <v>625</v>
      </c>
      <c r="B314" s="4">
        <f>VLOOKUP($A314,[1]中含分析60315!$A:$M,8,0)</f>
        <v>49</v>
      </c>
      <c r="C314" s="4">
        <f>VLOOKUP($A314,[1]中含分析60315!$A:$M,9,0)</f>
        <v>48</v>
      </c>
      <c r="D314" s="4">
        <f>VLOOKUP($A314,[1]中含分析60315!$A:$M,10,0)</f>
        <v>47</v>
      </c>
      <c r="E314" s="4">
        <f>VLOOKUP($A314,[1]中含分析60315!$A:$M,11,0)</f>
        <v>46</v>
      </c>
      <c r="F314" s="4">
        <f>VLOOKUP($A314,[1]中含分析60315!$A:$M,12,0)</f>
        <v>46</v>
      </c>
      <c r="G314" s="4">
        <f>VLOOKUP($A314,[1]中含分析60315!$A:$M,13,0)</f>
        <v>45</v>
      </c>
      <c r="H314" s="3" t="s">
        <v>39</v>
      </c>
      <c r="I314" s="3" t="s">
        <v>626</v>
      </c>
    </row>
    <row r="315" customHeight="1" spans="1:9">
      <c r="A315" s="4" t="s">
        <v>627</v>
      </c>
      <c r="B315" s="4">
        <f>VLOOKUP($A315,[1]中含分析60315!$A:$M,8,0)</f>
        <v>45</v>
      </c>
      <c r="C315" s="4">
        <f>VLOOKUP($A315,[1]中含分析60315!$A:$M,9,0)</f>
        <v>44</v>
      </c>
      <c r="D315" s="4">
        <f>VLOOKUP($A315,[1]中含分析60315!$A:$M,10,0)</f>
        <v>42</v>
      </c>
      <c r="E315" s="4">
        <f>VLOOKUP($A315,[1]中含分析60315!$A:$M,11,0)</f>
        <v>40</v>
      </c>
      <c r="F315" s="4">
        <f>VLOOKUP($A315,[1]中含分析60315!$A:$M,12,0)</f>
        <v>39</v>
      </c>
      <c r="G315" s="4">
        <f>VLOOKUP($A315,[1]中含分析60315!$A:$M,13,0)</f>
        <v>37</v>
      </c>
      <c r="H315" s="3" t="s">
        <v>10</v>
      </c>
      <c r="I315" s="3" t="s">
        <v>628</v>
      </c>
    </row>
    <row r="316" customHeight="1" spans="1:9">
      <c r="A316" s="4" t="s">
        <v>629</v>
      </c>
      <c r="B316" s="4">
        <f>VLOOKUP($A316,[1]中含分析60315!$A:$M,8,0)</f>
        <v>56</v>
      </c>
      <c r="C316" s="4">
        <f>VLOOKUP($A316,[1]中含分析60315!$A:$M,9,0)</f>
        <v>55</v>
      </c>
      <c r="D316" s="4">
        <f>VLOOKUP($A316,[1]中含分析60315!$A:$M,10,0)</f>
        <v>54</v>
      </c>
      <c r="E316" s="4">
        <f>VLOOKUP($A316,[1]中含分析60315!$A:$M,11,0)</f>
        <v>53</v>
      </c>
      <c r="F316" s="4">
        <f>VLOOKUP($A316,[1]中含分析60315!$A:$M,12,0)</f>
        <v>52</v>
      </c>
      <c r="G316" s="4">
        <f>VLOOKUP($A316,[1]中含分析60315!$A:$M,13,0)</f>
        <v>51</v>
      </c>
      <c r="H316" s="3" t="s">
        <v>39</v>
      </c>
      <c r="I316" s="3" t="s">
        <v>630</v>
      </c>
    </row>
    <row r="317" customHeight="1" spans="1:9">
      <c r="A317" s="4" t="s">
        <v>631</v>
      </c>
      <c r="B317" s="4">
        <f>VLOOKUP($A317,[1]中含分析60315!$A:$M,8,0)</f>
        <v>41</v>
      </c>
      <c r="C317" s="4">
        <f>VLOOKUP($A317,[1]中含分析60315!$A:$M,9,0)</f>
        <v>40</v>
      </c>
      <c r="D317" s="4">
        <f>VLOOKUP($A317,[1]中含分析60315!$A:$M,10,0)</f>
        <v>38</v>
      </c>
      <c r="E317" s="4">
        <f>VLOOKUP($A317,[1]中含分析60315!$A:$M,11,0)</f>
        <v>37</v>
      </c>
      <c r="F317" s="4">
        <f>VLOOKUP($A317,[1]中含分析60315!$A:$M,12,0)</f>
        <v>35</v>
      </c>
      <c r="G317" s="4">
        <f>VLOOKUP($A317,[1]中含分析60315!$A:$M,13,0)</f>
        <v>34</v>
      </c>
      <c r="H317" s="3" t="s">
        <v>10</v>
      </c>
      <c r="I317" s="3" t="s">
        <v>632</v>
      </c>
    </row>
    <row r="318" customHeight="1" spans="1:9">
      <c r="A318" s="4" t="s">
        <v>633</v>
      </c>
      <c r="B318" s="4">
        <f>VLOOKUP($A318,[1]中含分析60315!$A:$M,8,0)</f>
        <v>23</v>
      </c>
      <c r="C318" s="4">
        <f>VLOOKUP($A318,[1]中含分析60315!$A:$M,9,0)</f>
        <v>23</v>
      </c>
      <c r="D318" s="4">
        <f>VLOOKUP($A318,[1]中含分析60315!$A:$M,10,0)</f>
        <v>22</v>
      </c>
      <c r="E318" s="4">
        <f>VLOOKUP($A318,[1]中含分析60315!$A:$M,11,0)</f>
        <v>21</v>
      </c>
      <c r="F318" s="4">
        <f>VLOOKUP($A318,[1]中含分析60315!$A:$M,12,0)</f>
        <v>20</v>
      </c>
      <c r="G318" s="4">
        <f>VLOOKUP($A318,[1]中含分析60315!$A:$M,13,0)</f>
        <v>19</v>
      </c>
      <c r="H318" s="3" t="s">
        <v>10</v>
      </c>
      <c r="I318" s="3" t="s">
        <v>634</v>
      </c>
    </row>
    <row r="319" customHeight="1" spans="1:9">
      <c r="A319" s="4" t="s">
        <v>635</v>
      </c>
      <c r="B319" s="4">
        <f>VLOOKUP($A319,[1]中含分析60315!$A:$M,8,0)</f>
        <v>43</v>
      </c>
      <c r="C319" s="4">
        <f>VLOOKUP($A319,[1]中含分析60315!$A:$M,9,0)</f>
        <v>41</v>
      </c>
      <c r="D319" s="4">
        <f>VLOOKUP($A319,[1]中含分析60315!$A:$M,10,0)</f>
        <v>39</v>
      </c>
      <c r="E319" s="4">
        <f>VLOOKUP($A319,[1]中含分析60315!$A:$M,11,0)</f>
        <v>38</v>
      </c>
      <c r="F319" s="4">
        <f>VLOOKUP($A319,[1]中含分析60315!$A:$M,12,0)</f>
        <v>36</v>
      </c>
      <c r="G319" s="4">
        <f>VLOOKUP($A319,[1]中含分析60315!$A:$M,13,0)</f>
        <v>35</v>
      </c>
      <c r="H319" s="3" t="s">
        <v>10</v>
      </c>
      <c r="I319" s="3" t="s">
        <v>636</v>
      </c>
    </row>
    <row r="320" customHeight="1" spans="1:9">
      <c r="A320" s="4" t="s">
        <v>637</v>
      </c>
      <c r="B320" s="4">
        <f>VLOOKUP($A320,[1]中含分析60315!$A:$M,8,0)</f>
        <v>40</v>
      </c>
      <c r="C320" s="4">
        <f>VLOOKUP($A320,[1]中含分析60315!$A:$M,9,0)</f>
        <v>39</v>
      </c>
      <c r="D320" s="4">
        <f>VLOOKUP($A320,[1]中含分析60315!$A:$M,10,0)</f>
        <v>37</v>
      </c>
      <c r="E320" s="4">
        <f>VLOOKUP($A320,[1]中含分析60315!$A:$M,11,0)</f>
        <v>36</v>
      </c>
      <c r="F320" s="4">
        <f>VLOOKUP($A320,[1]中含分析60315!$A:$M,12,0)</f>
        <v>34</v>
      </c>
      <c r="G320" s="4">
        <f>VLOOKUP($A320,[1]中含分析60315!$A:$M,13,0)</f>
        <v>33</v>
      </c>
      <c r="H320" s="3" t="s">
        <v>10</v>
      </c>
      <c r="I320" s="3" t="s">
        <v>638</v>
      </c>
    </row>
    <row r="321" customHeight="1" spans="1:9">
      <c r="A321" s="4" t="s">
        <v>639</v>
      </c>
      <c r="B321" s="4">
        <f>VLOOKUP($A321,[1]中含分析60315!$A:$M,8,0)</f>
        <v>39</v>
      </c>
      <c r="C321" s="4">
        <f>VLOOKUP($A321,[1]中含分析60315!$A:$M,9,0)</f>
        <v>38</v>
      </c>
      <c r="D321" s="4">
        <f>VLOOKUP($A321,[1]中含分析60315!$A:$M,10,0)</f>
        <v>36</v>
      </c>
      <c r="E321" s="4">
        <f>VLOOKUP($A321,[1]中含分析60315!$A:$M,11,0)</f>
        <v>35</v>
      </c>
      <c r="F321" s="4">
        <f>VLOOKUP($A321,[1]中含分析60315!$A:$M,12,0)</f>
        <v>33</v>
      </c>
      <c r="G321" s="4">
        <f>VLOOKUP($A321,[1]中含分析60315!$A:$M,13,0)</f>
        <v>32</v>
      </c>
      <c r="H321" s="3" t="s">
        <v>10</v>
      </c>
      <c r="I321" s="3" t="s">
        <v>640</v>
      </c>
    </row>
    <row r="322" customHeight="1" spans="1:9">
      <c r="A322" s="4" t="s">
        <v>641</v>
      </c>
      <c r="B322" s="4">
        <f>VLOOKUP($A322,[1]中含分析60315!$A:$M,8,0)</f>
        <v>31</v>
      </c>
      <c r="C322" s="4">
        <f>VLOOKUP($A322,[1]中含分析60315!$A:$M,9,0)</f>
        <v>30</v>
      </c>
      <c r="D322" s="4">
        <f>VLOOKUP($A322,[1]中含分析60315!$A:$M,10,0)</f>
        <v>28</v>
      </c>
      <c r="E322" s="4">
        <f>VLOOKUP($A322,[1]中含分析60315!$A:$M,11,0)</f>
        <v>27</v>
      </c>
      <c r="F322" s="4">
        <f>VLOOKUP($A322,[1]中含分析60315!$A:$M,12,0)</f>
        <v>26</v>
      </c>
      <c r="G322" s="4">
        <f>VLOOKUP($A322,[1]中含分析60315!$A:$M,13,0)</f>
        <v>25</v>
      </c>
      <c r="H322" s="3" t="s">
        <v>10</v>
      </c>
      <c r="I322" s="3" t="s">
        <v>642</v>
      </c>
    </row>
    <row r="323" customHeight="1" spans="1:9">
      <c r="A323" s="4" t="s">
        <v>643</v>
      </c>
      <c r="B323" s="4">
        <f>VLOOKUP($A323,[1]中含分析60315!$A:$M,8,0)</f>
        <v>43</v>
      </c>
      <c r="C323" s="4">
        <f>VLOOKUP($A323,[1]中含分析60315!$A:$M,9,0)</f>
        <v>42</v>
      </c>
      <c r="D323" s="4">
        <f>VLOOKUP($A323,[1]中含分析60315!$A:$M,10,0)</f>
        <v>40</v>
      </c>
      <c r="E323" s="4">
        <f>VLOOKUP($A323,[1]中含分析60315!$A:$M,11,0)</f>
        <v>39</v>
      </c>
      <c r="F323" s="4">
        <f>VLOOKUP($A323,[1]中含分析60315!$A:$M,12,0)</f>
        <v>37</v>
      </c>
      <c r="G323" s="4">
        <f>VLOOKUP($A323,[1]中含分析60315!$A:$M,13,0)</f>
        <v>35</v>
      </c>
      <c r="H323" s="3" t="s">
        <v>10</v>
      </c>
      <c r="I323" s="3" t="s">
        <v>644</v>
      </c>
    </row>
    <row r="324" customHeight="1" spans="1:9">
      <c r="A324" s="4" t="s">
        <v>645</v>
      </c>
      <c r="B324" s="4">
        <f>VLOOKUP($A324,[1]中含分析60315!$A:$M,8,0)</f>
        <v>44</v>
      </c>
      <c r="C324" s="4">
        <f>VLOOKUP($A324,[1]中含分析60315!$A:$M,9,0)</f>
        <v>42</v>
      </c>
      <c r="D324" s="4">
        <f>VLOOKUP($A324,[1]中含分析60315!$A:$M,10,0)</f>
        <v>41</v>
      </c>
      <c r="E324" s="4">
        <f>VLOOKUP($A324,[1]中含分析60315!$A:$M,11,0)</f>
        <v>39</v>
      </c>
      <c r="F324" s="4">
        <f>VLOOKUP($A324,[1]中含分析60315!$A:$M,12,0)</f>
        <v>37</v>
      </c>
      <c r="G324" s="4">
        <f>VLOOKUP($A324,[1]中含分析60315!$A:$M,13,0)</f>
        <v>36</v>
      </c>
      <c r="H324" s="3" t="s">
        <v>10</v>
      </c>
      <c r="I324" s="3" t="s">
        <v>646</v>
      </c>
    </row>
    <row r="325" customHeight="1" spans="1:9">
      <c r="A325" s="4" t="s">
        <v>647</v>
      </c>
      <c r="B325" s="4">
        <f>VLOOKUP($A325,[1]中含分析60315!$A:$M,8,0)</f>
        <v>52</v>
      </c>
      <c r="C325" s="4">
        <f>VLOOKUP($A325,[1]中含分析60315!$A:$M,9,0)</f>
        <v>52</v>
      </c>
      <c r="D325" s="4">
        <f>VLOOKUP($A325,[1]中含分析60315!$A:$M,10,0)</f>
        <v>51</v>
      </c>
      <c r="E325" s="4">
        <f>VLOOKUP($A325,[1]中含分析60315!$A:$M,11,0)</f>
        <v>50</v>
      </c>
      <c r="F325" s="4">
        <f>VLOOKUP($A325,[1]中含分析60315!$A:$M,12,0)</f>
        <v>49</v>
      </c>
      <c r="G325" s="4">
        <f>VLOOKUP($A325,[1]中含分析60315!$A:$M,13,0)</f>
        <v>49</v>
      </c>
      <c r="H325" s="3" t="s">
        <v>39</v>
      </c>
      <c r="I325" s="3" t="s">
        <v>310</v>
      </c>
    </row>
    <row r="326" customHeight="1" spans="1:9">
      <c r="A326" s="4" t="s">
        <v>648</v>
      </c>
      <c r="B326" s="4">
        <f>VLOOKUP($A326,[1]中含分析60315!$A:$M,8,0)</f>
        <v>36</v>
      </c>
      <c r="C326" s="4">
        <f>VLOOKUP($A326,[1]中含分析60315!$A:$M,9,0)</f>
        <v>35</v>
      </c>
      <c r="D326" s="4">
        <f>VLOOKUP($A326,[1]中含分析60315!$A:$M,10,0)</f>
        <v>33</v>
      </c>
      <c r="E326" s="4">
        <f>VLOOKUP($A326,[1]中含分析60315!$A:$M,11,0)</f>
        <v>32</v>
      </c>
      <c r="F326" s="4">
        <f>VLOOKUP($A326,[1]中含分析60315!$A:$M,12,0)</f>
        <v>31</v>
      </c>
      <c r="G326" s="4">
        <f>VLOOKUP($A326,[1]中含分析60315!$A:$M,13,0)</f>
        <v>29</v>
      </c>
      <c r="H326" s="3" t="s">
        <v>10</v>
      </c>
      <c r="I326" s="3" t="s">
        <v>649</v>
      </c>
    </row>
    <row r="327" customHeight="1" spans="1:9">
      <c r="A327" s="4" t="s">
        <v>650</v>
      </c>
      <c r="B327" s="4">
        <f>VLOOKUP($A327,[1]中含分析60315!$A:$M,8,0)</f>
        <v>46</v>
      </c>
      <c r="C327" s="4">
        <f>VLOOKUP($A327,[1]中含分析60315!$A:$M,9,0)</f>
        <v>45</v>
      </c>
      <c r="D327" s="4">
        <f>VLOOKUP($A327,[1]中含分析60315!$A:$M,10,0)</f>
        <v>43</v>
      </c>
      <c r="E327" s="4">
        <f>VLOOKUP($A327,[1]中含分析60315!$A:$M,11,0)</f>
        <v>41</v>
      </c>
      <c r="F327" s="4">
        <f>VLOOKUP($A327,[1]中含分析60315!$A:$M,12,0)</f>
        <v>39</v>
      </c>
      <c r="G327" s="4">
        <f>VLOOKUP($A327,[1]中含分析60315!$A:$M,13,0)</f>
        <v>38</v>
      </c>
      <c r="H327" s="3" t="s">
        <v>10</v>
      </c>
      <c r="I327" s="3" t="s">
        <v>651</v>
      </c>
    </row>
    <row r="328" customHeight="1" spans="1:9">
      <c r="A328" s="4" t="s">
        <v>652</v>
      </c>
      <c r="B328" s="4">
        <f>VLOOKUP($A328,[1]中含分析60315!$A:$M,8,0)</f>
        <v>59</v>
      </c>
      <c r="C328" s="4">
        <f>VLOOKUP($A328,[1]中含分析60315!$A:$M,9,0)</f>
        <v>58</v>
      </c>
      <c r="D328" s="4">
        <f>VLOOKUP($A328,[1]中含分析60315!$A:$M,10,0)</f>
        <v>57</v>
      </c>
      <c r="E328" s="4">
        <f>VLOOKUP($A328,[1]中含分析60315!$A:$M,11,0)</f>
        <v>56</v>
      </c>
      <c r="F328" s="4">
        <f>VLOOKUP($A328,[1]中含分析60315!$A:$M,12,0)</f>
        <v>55</v>
      </c>
      <c r="G328" s="4">
        <f>VLOOKUP($A328,[1]中含分析60315!$A:$M,13,0)</f>
        <v>54</v>
      </c>
      <c r="H328" s="3" t="s">
        <v>39</v>
      </c>
      <c r="I328" s="3" t="s">
        <v>653</v>
      </c>
    </row>
    <row r="329" customHeight="1" spans="1:9">
      <c r="A329" s="4" t="s">
        <v>654</v>
      </c>
      <c r="B329" s="4">
        <f>VLOOKUP($A329,[1]中含分析60315!$A:$M,8,0)</f>
        <v>59</v>
      </c>
      <c r="C329" s="4">
        <f>VLOOKUP($A329,[1]中含分析60315!$A:$M,9,0)</f>
        <v>58</v>
      </c>
      <c r="D329" s="4">
        <f>VLOOKUP($A329,[1]中含分析60315!$A:$M,10,0)</f>
        <v>58</v>
      </c>
      <c r="E329" s="4">
        <f>VLOOKUP($A329,[1]中含分析60315!$A:$M,11,0)</f>
        <v>57</v>
      </c>
      <c r="F329" s="4">
        <f>VLOOKUP($A329,[1]中含分析60315!$A:$M,12,0)</f>
        <v>56</v>
      </c>
      <c r="G329" s="4">
        <f>VLOOKUP($A329,[1]中含分析60315!$A:$M,13,0)</f>
        <v>55</v>
      </c>
      <c r="H329" s="3" t="s">
        <v>39</v>
      </c>
      <c r="I329" s="3" t="s">
        <v>655</v>
      </c>
    </row>
    <row r="330" customHeight="1" spans="1:9">
      <c r="A330" s="4" t="s">
        <v>656</v>
      </c>
      <c r="B330" s="4">
        <f>VLOOKUP($A330,[1]中含分析60315!$A:$M,8,0)</f>
        <v>32</v>
      </c>
      <c r="C330" s="4">
        <f>VLOOKUP($A330,[1]中含分析60315!$A:$M,9,0)</f>
        <v>31</v>
      </c>
      <c r="D330" s="4">
        <f>VLOOKUP($A330,[1]中含分析60315!$A:$M,10,0)</f>
        <v>30</v>
      </c>
      <c r="E330" s="4">
        <f>VLOOKUP($A330,[1]中含分析60315!$A:$M,11,0)</f>
        <v>29</v>
      </c>
      <c r="F330" s="4">
        <f>VLOOKUP($A330,[1]中含分析60315!$A:$M,12,0)</f>
        <v>27</v>
      </c>
      <c r="G330" s="4">
        <f>VLOOKUP($A330,[1]中含分析60315!$A:$M,13,0)</f>
        <v>26</v>
      </c>
      <c r="H330" s="3" t="s">
        <v>10</v>
      </c>
      <c r="I330" s="3" t="s">
        <v>657</v>
      </c>
    </row>
    <row r="331" customHeight="1" spans="1:9">
      <c r="A331" s="4" t="s">
        <v>658</v>
      </c>
      <c r="B331" s="4">
        <f>VLOOKUP($A331,[1]中含分析60315!$A:$M,8,0)</f>
        <v>50</v>
      </c>
      <c r="C331" s="4">
        <f>VLOOKUP($A331,[1]中含分析60315!$A:$M,9,0)</f>
        <v>49</v>
      </c>
      <c r="D331" s="4">
        <f>VLOOKUP($A331,[1]中含分析60315!$A:$M,10,0)</f>
        <v>48</v>
      </c>
      <c r="E331" s="4">
        <f>VLOOKUP($A331,[1]中含分析60315!$A:$M,11,0)</f>
        <v>47</v>
      </c>
      <c r="F331" s="4">
        <f>VLOOKUP($A331,[1]中含分析60315!$A:$M,12,0)</f>
        <v>47</v>
      </c>
      <c r="G331" s="4">
        <f>VLOOKUP($A331,[1]中含分析60315!$A:$M,13,0)</f>
        <v>46</v>
      </c>
      <c r="H331" s="3" t="s">
        <v>39</v>
      </c>
      <c r="I331" s="3" t="s">
        <v>310</v>
      </c>
    </row>
    <row r="332" customHeight="1" spans="1:9">
      <c r="A332" s="4" t="s">
        <v>659</v>
      </c>
      <c r="B332" s="4">
        <f>VLOOKUP($A332,[1]中含分析60315!$A:$M,8,0)</f>
        <v>41</v>
      </c>
      <c r="C332" s="4">
        <f>VLOOKUP($A332,[1]中含分析60315!$A:$M,9,0)</f>
        <v>39</v>
      </c>
      <c r="D332" s="4">
        <f>VLOOKUP($A332,[1]中含分析60315!$A:$M,10,0)</f>
        <v>38</v>
      </c>
      <c r="E332" s="4">
        <f>VLOOKUP($A332,[1]中含分析60315!$A:$M,11,0)</f>
        <v>36</v>
      </c>
      <c r="F332" s="4">
        <f>VLOOKUP($A332,[1]中含分析60315!$A:$M,12,0)</f>
        <v>35</v>
      </c>
      <c r="G332" s="4">
        <f>VLOOKUP($A332,[1]中含分析60315!$A:$M,13,0)</f>
        <v>33</v>
      </c>
      <c r="H332" s="3" t="s">
        <v>10</v>
      </c>
      <c r="I332" s="3" t="s">
        <v>660</v>
      </c>
    </row>
    <row r="333" customHeight="1" spans="1:9">
      <c r="A333" s="4" t="s">
        <v>661</v>
      </c>
      <c r="B333" s="4">
        <f>VLOOKUP($A333,[1]中含分析60315!$A:$M,8,0)</f>
        <v>47</v>
      </c>
      <c r="C333" s="4">
        <f>VLOOKUP($A333,[1]中含分析60315!$A:$M,9,0)</f>
        <v>45</v>
      </c>
      <c r="D333" s="4">
        <f>VLOOKUP($A333,[1]中含分析60315!$A:$M,10,0)</f>
        <v>43</v>
      </c>
      <c r="E333" s="4">
        <f>VLOOKUP($A333,[1]中含分析60315!$A:$M,11,0)</f>
        <v>42</v>
      </c>
      <c r="F333" s="4">
        <f>VLOOKUP($A333,[1]中含分析60315!$A:$M,12,0)</f>
        <v>40</v>
      </c>
      <c r="G333" s="4">
        <f>VLOOKUP($A333,[1]中含分析60315!$A:$M,13,0)</f>
        <v>38</v>
      </c>
      <c r="H333" s="3" t="s">
        <v>10</v>
      </c>
      <c r="I333" s="3" t="s">
        <v>662</v>
      </c>
    </row>
    <row r="334" customHeight="1" spans="1:9">
      <c r="A334" s="4" t="s">
        <v>663</v>
      </c>
      <c r="B334" s="4">
        <f>VLOOKUP($A334,[1]中含分析60315!$A:$M,8,0)</f>
        <v>41</v>
      </c>
      <c r="C334" s="4">
        <f>VLOOKUP($A334,[1]中含分析60315!$A:$M,9,0)</f>
        <v>39</v>
      </c>
      <c r="D334" s="4">
        <f>VLOOKUP($A334,[1]中含分析60315!$A:$M,10,0)</f>
        <v>38</v>
      </c>
      <c r="E334" s="4">
        <f>VLOOKUP($A334,[1]中含分析60315!$A:$M,11,0)</f>
        <v>36</v>
      </c>
      <c r="F334" s="4">
        <f>VLOOKUP($A334,[1]中含分析60315!$A:$M,12,0)</f>
        <v>35</v>
      </c>
      <c r="G334" s="4">
        <f>VLOOKUP($A334,[1]中含分析60315!$A:$M,13,0)</f>
        <v>33</v>
      </c>
      <c r="H334" s="3" t="s">
        <v>10</v>
      </c>
      <c r="I334" s="3" t="s">
        <v>664</v>
      </c>
    </row>
    <row r="335" customHeight="1" spans="1:9">
      <c r="A335" s="4" t="s">
        <v>665</v>
      </c>
      <c r="B335" s="4">
        <f>VLOOKUP($A335,[1]中含分析60315!$A:$M,8,0)</f>
        <v>98</v>
      </c>
      <c r="C335" s="4">
        <f>VLOOKUP($A335,[1]中含分析60315!$A:$M,9,0)</f>
        <v>95</v>
      </c>
      <c r="D335" s="4">
        <f>VLOOKUP($A335,[1]中含分析60315!$A:$M,10,0)</f>
        <v>91</v>
      </c>
      <c r="E335" s="4">
        <f>VLOOKUP($A335,[1]中含分析60315!$A:$M,11,0)</f>
        <v>87</v>
      </c>
      <c r="F335" s="4">
        <f>VLOOKUP($A335,[1]中含分析60315!$A:$M,12,0)</f>
        <v>84</v>
      </c>
      <c r="G335" s="4">
        <f>VLOOKUP($A335,[1]中含分析60315!$A:$M,13,0)</f>
        <v>80</v>
      </c>
      <c r="H335" s="3" t="s">
        <v>10</v>
      </c>
      <c r="I335" s="3" t="s">
        <v>666</v>
      </c>
    </row>
    <row r="336" customHeight="1" spans="1:9">
      <c r="A336" s="4" t="s">
        <v>667</v>
      </c>
      <c r="B336" s="4">
        <f>VLOOKUP($A336,[1]中含分析60315!$A:$M,8,0)</f>
        <v>50</v>
      </c>
      <c r="C336" s="4">
        <f>VLOOKUP($A336,[1]中含分析60315!$A:$M,9,0)</f>
        <v>49</v>
      </c>
      <c r="D336" s="4">
        <f>VLOOKUP($A336,[1]中含分析60315!$A:$M,10,0)</f>
        <v>48</v>
      </c>
      <c r="E336" s="4">
        <f>VLOOKUP($A336,[1]中含分析60315!$A:$M,11,0)</f>
        <v>48</v>
      </c>
      <c r="F336" s="4">
        <f>VLOOKUP($A336,[1]中含分析60315!$A:$M,12,0)</f>
        <v>47</v>
      </c>
      <c r="G336" s="4">
        <f>VLOOKUP($A336,[1]中含分析60315!$A:$M,13,0)</f>
        <v>46</v>
      </c>
      <c r="H336" s="3" t="s">
        <v>39</v>
      </c>
      <c r="I336" s="3" t="s">
        <v>668</v>
      </c>
    </row>
    <row r="337" customHeight="1" spans="1:9">
      <c r="A337" s="4" t="s">
        <v>669</v>
      </c>
      <c r="B337" s="4">
        <f>VLOOKUP($A337,[1]中含分析60315!$A:$M,8,0)</f>
        <v>23</v>
      </c>
      <c r="C337" s="4">
        <f>VLOOKUP($A337,[1]中含分析60315!$A:$M,9,0)</f>
        <v>23</v>
      </c>
      <c r="D337" s="4">
        <f>VLOOKUP($A337,[1]中含分析60315!$A:$M,10,0)</f>
        <v>22</v>
      </c>
      <c r="E337" s="4">
        <f>VLOOKUP($A337,[1]中含分析60315!$A:$M,11,0)</f>
        <v>21</v>
      </c>
      <c r="F337" s="4">
        <f>VLOOKUP($A337,[1]中含分析60315!$A:$M,12,0)</f>
        <v>20</v>
      </c>
      <c r="G337" s="4">
        <f>VLOOKUP($A337,[1]中含分析60315!$A:$M,13,0)</f>
        <v>19</v>
      </c>
      <c r="H337" s="3" t="s">
        <v>10</v>
      </c>
      <c r="I337" s="3" t="s">
        <v>670</v>
      </c>
    </row>
    <row r="338" customHeight="1" spans="1:9">
      <c r="A338" s="4" t="s">
        <v>671</v>
      </c>
      <c r="B338" s="4">
        <f>VLOOKUP($A338,[1]中含分析60315!$A:$M,8,0)</f>
        <v>58</v>
      </c>
      <c r="C338" s="4">
        <f>VLOOKUP($A338,[1]中含分析60315!$A:$M,9,0)</f>
        <v>57</v>
      </c>
      <c r="D338" s="4">
        <f>VLOOKUP($A338,[1]中含分析60315!$A:$M,10,0)</f>
        <v>56</v>
      </c>
      <c r="E338" s="4">
        <f>VLOOKUP($A338,[1]中含分析60315!$A:$M,11,0)</f>
        <v>55</v>
      </c>
      <c r="F338" s="4">
        <f>VLOOKUP($A338,[1]中含分析60315!$A:$M,12,0)</f>
        <v>54</v>
      </c>
      <c r="G338" s="4">
        <f>VLOOKUP($A338,[1]中含分析60315!$A:$M,13,0)</f>
        <v>53</v>
      </c>
      <c r="H338" s="3" t="s">
        <v>39</v>
      </c>
      <c r="I338" s="3" t="s">
        <v>672</v>
      </c>
    </row>
    <row r="339" customHeight="1" spans="1:9">
      <c r="A339" s="4" t="s">
        <v>673</v>
      </c>
      <c r="B339" s="4">
        <f>VLOOKUP($A339,[1]中含分析60315!$A:$M,8,0)</f>
        <v>40</v>
      </c>
      <c r="C339" s="4">
        <f>VLOOKUP($A339,[1]中含分析60315!$A:$M,9,0)</f>
        <v>38</v>
      </c>
      <c r="D339" s="4">
        <f>VLOOKUP($A339,[1]中含分析60315!$A:$M,10,0)</f>
        <v>37</v>
      </c>
      <c r="E339" s="4">
        <f>VLOOKUP($A339,[1]中含分析60315!$A:$M,11,0)</f>
        <v>35</v>
      </c>
      <c r="F339" s="4">
        <f>VLOOKUP($A339,[1]中含分析60315!$A:$M,12,0)</f>
        <v>34</v>
      </c>
      <c r="G339" s="4">
        <f>VLOOKUP($A339,[1]中含分析60315!$A:$M,13,0)</f>
        <v>32</v>
      </c>
      <c r="H339" s="3" t="s">
        <v>10</v>
      </c>
      <c r="I339" s="3" t="s">
        <v>674</v>
      </c>
    </row>
    <row r="340" customHeight="1" spans="1:9">
      <c r="A340" s="4" t="s">
        <v>675</v>
      </c>
      <c r="B340" s="4">
        <f>VLOOKUP($A340,[1]中含分析60315!$A:$M,8,0)</f>
        <v>28</v>
      </c>
      <c r="C340" s="4">
        <f>VLOOKUP($A340,[1]中含分析60315!$A:$M,9,0)</f>
        <v>27</v>
      </c>
      <c r="D340" s="4">
        <f>VLOOKUP($A340,[1]中含分析60315!$A:$M,10,0)</f>
        <v>26</v>
      </c>
      <c r="E340" s="4">
        <f>VLOOKUP($A340,[1]中含分析60315!$A:$M,11,0)</f>
        <v>25</v>
      </c>
      <c r="F340" s="4">
        <f>VLOOKUP($A340,[1]中含分析60315!$A:$M,12,0)</f>
        <v>24</v>
      </c>
      <c r="G340" s="4">
        <f>VLOOKUP($A340,[1]中含分析60315!$A:$M,13,0)</f>
        <v>23</v>
      </c>
      <c r="H340" s="3" t="s">
        <v>10</v>
      </c>
      <c r="I340" s="3" t="s">
        <v>676</v>
      </c>
    </row>
    <row r="341" customHeight="1" spans="1:9">
      <c r="A341" s="4" t="s">
        <v>677</v>
      </c>
      <c r="B341" s="4">
        <f>VLOOKUP($A341,[1]中含分析60315!$A:$M,8,0)</f>
        <v>39</v>
      </c>
      <c r="C341" s="4">
        <f>VLOOKUP($A341,[1]中含分析60315!$A:$M,9,0)</f>
        <v>37</v>
      </c>
      <c r="D341" s="4">
        <f>VLOOKUP($A341,[1]中含分析60315!$A:$M,10,0)</f>
        <v>36</v>
      </c>
      <c r="E341" s="4">
        <f>VLOOKUP($A341,[1]中含分析60315!$A:$M,11,0)</f>
        <v>35</v>
      </c>
      <c r="F341" s="4">
        <f>VLOOKUP($A341,[1]中含分析60315!$A:$M,12,0)</f>
        <v>33</v>
      </c>
      <c r="G341" s="4">
        <f>VLOOKUP($A341,[1]中含分析60315!$A:$M,13,0)</f>
        <v>32</v>
      </c>
      <c r="H341" s="3" t="s">
        <v>10</v>
      </c>
      <c r="I341" s="3" t="s">
        <v>678</v>
      </c>
    </row>
    <row r="342" customHeight="1" spans="1:9">
      <c r="A342" s="4" t="s">
        <v>679</v>
      </c>
      <c r="B342" s="4">
        <f>VLOOKUP($A342,[1]中含分析60315!$A:$M,8,0)</f>
        <v>37</v>
      </c>
      <c r="C342" s="4">
        <f>VLOOKUP($A342,[1]中含分析60315!$A:$M,9,0)</f>
        <v>36</v>
      </c>
      <c r="D342" s="4">
        <f>VLOOKUP($A342,[1]中含分析60315!$A:$M,10,0)</f>
        <v>34</v>
      </c>
      <c r="E342" s="4">
        <f>VLOOKUP($A342,[1]中含分析60315!$A:$M,11,0)</f>
        <v>33</v>
      </c>
      <c r="F342" s="4">
        <f>VLOOKUP($A342,[1]中含分析60315!$A:$M,12,0)</f>
        <v>32</v>
      </c>
      <c r="G342" s="4">
        <f>VLOOKUP($A342,[1]中含分析60315!$A:$M,13,0)</f>
        <v>30</v>
      </c>
      <c r="H342" s="3" t="s">
        <v>10</v>
      </c>
      <c r="I342" s="3" t="s">
        <v>680</v>
      </c>
    </row>
    <row r="343" customHeight="1" spans="1:9">
      <c r="A343" s="4" t="s">
        <v>681</v>
      </c>
      <c r="B343" s="4">
        <f>VLOOKUP($A343,[1]中含分析60315!$A:$M,8,0)</f>
        <v>26</v>
      </c>
      <c r="C343" s="4">
        <f>VLOOKUP($A343,[1]中含分析60315!$A:$M,9,0)</f>
        <v>25</v>
      </c>
      <c r="D343" s="4">
        <f>VLOOKUP($A343,[1]中含分析60315!$A:$M,10,0)</f>
        <v>24</v>
      </c>
      <c r="E343" s="4">
        <f>VLOOKUP($A343,[1]中含分析60315!$A:$M,11,0)</f>
        <v>23</v>
      </c>
      <c r="F343" s="4">
        <f>VLOOKUP($A343,[1]中含分析60315!$A:$M,12,0)</f>
        <v>22</v>
      </c>
      <c r="G343" s="4">
        <f>VLOOKUP($A343,[1]中含分析60315!$A:$M,13,0)</f>
        <v>21</v>
      </c>
      <c r="H343" s="3" t="s">
        <v>10</v>
      </c>
      <c r="I343" s="3" t="s">
        <v>682</v>
      </c>
    </row>
    <row r="344" customHeight="1" spans="1:9">
      <c r="A344" s="4" t="s">
        <v>683</v>
      </c>
      <c r="B344" s="4">
        <f>VLOOKUP($A344,[1]中含分析60315!$A:$M,8,0)</f>
        <v>55</v>
      </c>
      <c r="C344" s="4">
        <f>VLOOKUP($A344,[1]中含分析60315!$A:$M,9,0)</f>
        <v>54</v>
      </c>
      <c r="D344" s="4">
        <f>VLOOKUP($A344,[1]中含分析60315!$A:$M,10,0)</f>
        <v>53</v>
      </c>
      <c r="E344" s="4">
        <f>VLOOKUP($A344,[1]中含分析60315!$A:$M,11,0)</f>
        <v>52</v>
      </c>
      <c r="F344" s="4">
        <f>VLOOKUP($A344,[1]中含分析60315!$A:$M,12,0)</f>
        <v>52</v>
      </c>
      <c r="G344" s="4">
        <f>VLOOKUP($A344,[1]中含分析60315!$A:$M,13,0)</f>
        <v>51</v>
      </c>
      <c r="H344" s="3" t="s">
        <v>39</v>
      </c>
      <c r="I344" s="3" t="s">
        <v>684</v>
      </c>
    </row>
    <row r="345" customHeight="1" spans="1:9">
      <c r="A345" s="4" t="s">
        <v>685</v>
      </c>
      <c r="B345" s="4">
        <f>VLOOKUP($A345,[1]中含分析60315!$A:$M,8,0)</f>
        <v>39</v>
      </c>
      <c r="C345" s="4">
        <f>VLOOKUP($A345,[1]中含分析60315!$A:$M,9,0)</f>
        <v>38</v>
      </c>
      <c r="D345" s="4">
        <f>VLOOKUP($A345,[1]中含分析60315!$A:$M,10,0)</f>
        <v>37</v>
      </c>
      <c r="E345" s="4">
        <f>VLOOKUP($A345,[1]中含分析60315!$A:$M,11,0)</f>
        <v>35</v>
      </c>
      <c r="F345" s="4">
        <f>VLOOKUP($A345,[1]中含分析60315!$A:$M,12,0)</f>
        <v>34</v>
      </c>
      <c r="G345" s="4">
        <f>VLOOKUP($A345,[1]中含分析60315!$A:$M,13,0)</f>
        <v>32</v>
      </c>
      <c r="H345" s="3" t="s">
        <v>10</v>
      </c>
      <c r="I345" s="3" t="s">
        <v>686</v>
      </c>
    </row>
    <row r="346" customHeight="1" spans="1:9">
      <c r="A346" s="4" t="s">
        <v>687</v>
      </c>
      <c r="B346" s="4">
        <f>VLOOKUP($A346,[1]中含分析60315!$A:$M,8,0)</f>
        <v>35</v>
      </c>
      <c r="C346" s="4">
        <f>VLOOKUP($A346,[1]中含分析60315!$A:$M,9,0)</f>
        <v>34</v>
      </c>
      <c r="D346" s="4">
        <f>VLOOKUP($A346,[1]中含分析60315!$A:$M,10,0)</f>
        <v>33</v>
      </c>
      <c r="E346" s="4">
        <f>VLOOKUP($A346,[1]中含分析60315!$A:$M,11,0)</f>
        <v>31</v>
      </c>
      <c r="F346" s="4">
        <f>VLOOKUP($A346,[1]中含分析60315!$A:$M,12,0)</f>
        <v>30</v>
      </c>
      <c r="G346" s="4">
        <f>VLOOKUP($A346,[1]中含分析60315!$A:$M,13,0)</f>
        <v>29</v>
      </c>
      <c r="H346" s="3" t="s">
        <v>10</v>
      </c>
      <c r="I346" s="3" t="s">
        <v>688</v>
      </c>
    </row>
    <row r="347" customHeight="1" spans="1:9">
      <c r="A347" s="4" t="s">
        <v>689</v>
      </c>
      <c r="B347" s="4">
        <f>VLOOKUP($A347,[1]中含分析60315!$A:$M,8,0)</f>
        <v>24</v>
      </c>
      <c r="C347" s="4">
        <f>VLOOKUP($A347,[1]中含分析60315!$A:$M,9,0)</f>
        <v>24</v>
      </c>
      <c r="D347" s="4">
        <f>VLOOKUP($A347,[1]中含分析60315!$A:$M,10,0)</f>
        <v>23</v>
      </c>
      <c r="E347" s="4">
        <f>VLOOKUP($A347,[1]中含分析60315!$A:$M,11,0)</f>
        <v>22</v>
      </c>
      <c r="F347" s="4">
        <f>VLOOKUP($A347,[1]中含分析60315!$A:$M,12,0)</f>
        <v>21</v>
      </c>
      <c r="G347" s="4">
        <f>VLOOKUP($A347,[1]中含分析60315!$A:$M,13,0)</f>
        <v>20</v>
      </c>
      <c r="H347" s="3" t="s">
        <v>10</v>
      </c>
      <c r="I347" s="3" t="s">
        <v>690</v>
      </c>
    </row>
    <row r="348" customHeight="1" spans="1:9">
      <c r="A348" s="4" t="s">
        <v>691</v>
      </c>
      <c r="B348" s="4">
        <f>VLOOKUP($A348,[1]中含分析60315!$A:$M,8,0)</f>
        <v>28</v>
      </c>
      <c r="C348" s="4">
        <f>VLOOKUP($A348,[1]中含分析60315!$A:$M,9,0)</f>
        <v>27</v>
      </c>
      <c r="D348" s="4">
        <f>VLOOKUP($A348,[1]中含分析60315!$A:$M,10,0)</f>
        <v>26</v>
      </c>
      <c r="E348" s="4">
        <f>VLOOKUP($A348,[1]中含分析60315!$A:$M,11,0)</f>
        <v>25</v>
      </c>
      <c r="F348" s="4">
        <f>VLOOKUP($A348,[1]中含分析60315!$A:$M,12,0)</f>
        <v>24</v>
      </c>
      <c r="G348" s="4">
        <f>VLOOKUP($A348,[1]中含分析60315!$A:$M,13,0)</f>
        <v>23</v>
      </c>
      <c r="H348" s="3" t="s">
        <v>10</v>
      </c>
      <c r="I348" s="3" t="s">
        <v>692</v>
      </c>
    </row>
    <row r="349" customHeight="1" spans="1:9">
      <c r="A349" s="4" t="s">
        <v>693</v>
      </c>
      <c r="B349" s="4">
        <f>VLOOKUP($A349,[1]中含分析60315!$A:$M,8,0)</f>
        <v>35</v>
      </c>
      <c r="C349" s="4">
        <f>VLOOKUP($A349,[1]中含分析60315!$A:$M,9,0)</f>
        <v>33</v>
      </c>
      <c r="D349" s="4">
        <f>VLOOKUP($A349,[1]中含分析60315!$A:$M,10,0)</f>
        <v>32</v>
      </c>
      <c r="E349" s="4">
        <f>VLOOKUP($A349,[1]中含分析60315!$A:$M,11,0)</f>
        <v>31</v>
      </c>
      <c r="F349" s="4">
        <f>VLOOKUP($A349,[1]中含分析60315!$A:$M,12,0)</f>
        <v>30</v>
      </c>
      <c r="G349" s="4">
        <f>VLOOKUP($A349,[1]中含分析60315!$A:$M,13,0)</f>
        <v>28</v>
      </c>
      <c r="H349" s="3" t="s">
        <v>10</v>
      </c>
      <c r="I349" s="3" t="s">
        <v>694</v>
      </c>
    </row>
    <row r="350" customHeight="1" spans="1:9">
      <c r="A350" s="4" t="s">
        <v>695</v>
      </c>
      <c r="B350" s="4">
        <f>VLOOKUP($A350,[1]中含分析60315!$A:$M,8,0)</f>
        <v>22</v>
      </c>
      <c r="C350" s="4">
        <f>VLOOKUP($A350,[1]中含分析60315!$A:$M,9,0)</f>
        <v>21</v>
      </c>
      <c r="D350" s="4">
        <f>VLOOKUP($A350,[1]中含分析60315!$A:$M,10,0)</f>
        <v>20</v>
      </c>
      <c r="E350" s="4">
        <f>VLOOKUP($A350,[1]中含分析60315!$A:$M,11,0)</f>
        <v>20</v>
      </c>
      <c r="F350" s="4">
        <f>VLOOKUP($A350,[1]中含分析60315!$A:$M,12,0)</f>
        <v>19</v>
      </c>
      <c r="G350" s="4">
        <f>VLOOKUP($A350,[1]中含分析60315!$A:$M,13,0)</f>
        <v>18</v>
      </c>
      <c r="H350" s="3" t="s">
        <v>10</v>
      </c>
      <c r="I350" s="3" t="s">
        <v>497</v>
      </c>
    </row>
    <row r="351" customHeight="1" spans="1:9">
      <c r="A351" s="4" t="s">
        <v>696</v>
      </c>
      <c r="B351" s="4">
        <f>VLOOKUP($A351,[1]中含分析60315!$A:$M,8,0)</f>
        <v>26</v>
      </c>
      <c r="C351" s="4">
        <f>VLOOKUP($A351,[1]中含分析60315!$A:$M,9,0)</f>
        <v>25</v>
      </c>
      <c r="D351" s="4">
        <f>VLOOKUP($A351,[1]中含分析60315!$A:$M,10,0)</f>
        <v>24</v>
      </c>
      <c r="E351" s="4">
        <f>VLOOKUP($A351,[1]中含分析60315!$A:$M,11,0)</f>
        <v>23</v>
      </c>
      <c r="F351" s="4">
        <f>VLOOKUP($A351,[1]中含分析60315!$A:$M,12,0)</f>
        <v>22</v>
      </c>
      <c r="G351" s="4">
        <f>VLOOKUP($A351,[1]中含分析60315!$A:$M,13,0)</f>
        <v>21</v>
      </c>
      <c r="H351" s="3" t="s">
        <v>10</v>
      </c>
      <c r="I351" s="3" t="s">
        <v>697</v>
      </c>
    </row>
    <row r="352" customHeight="1" spans="1:9">
      <c r="A352" s="4" t="s">
        <v>698</v>
      </c>
      <c r="B352" s="4">
        <f>VLOOKUP($A352,[1]中含分析60315!$A:$M,8,0)</f>
        <v>38</v>
      </c>
      <c r="C352" s="4">
        <f>VLOOKUP($A352,[1]中含分析60315!$A:$M,9,0)</f>
        <v>36</v>
      </c>
      <c r="D352" s="4">
        <f>VLOOKUP($A352,[1]中含分析60315!$A:$M,10,0)</f>
        <v>35</v>
      </c>
      <c r="E352" s="4">
        <f>VLOOKUP($A352,[1]中含分析60315!$A:$M,11,0)</f>
        <v>33</v>
      </c>
      <c r="F352" s="4">
        <f>VLOOKUP($A352,[1]中含分析60315!$A:$M,12,0)</f>
        <v>32</v>
      </c>
      <c r="G352" s="4">
        <f>VLOOKUP($A352,[1]中含分析60315!$A:$M,13,0)</f>
        <v>31</v>
      </c>
      <c r="H352" s="3" t="s">
        <v>10</v>
      </c>
      <c r="I352" s="3" t="s">
        <v>699</v>
      </c>
    </row>
    <row r="353" customHeight="1" spans="1:9">
      <c r="A353" s="4" t="s">
        <v>700</v>
      </c>
      <c r="B353" s="4">
        <f>VLOOKUP($A353,[1]中含分析60315!$A:$M,8,0)</f>
        <v>45</v>
      </c>
      <c r="C353" s="4">
        <f>VLOOKUP($A353,[1]中含分析60315!$A:$M,9,0)</f>
        <v>43</v>
      </c>
      <c r="D353" s="4">
        <f>VLOOKUP($A353,[1]中含分析60315!$A:$M,10,0)</f>
        <v>42</v>
      </c>
      <c r="E353" s="4">
        <f>VLOOKUP($A353,[1]中含分析60315!$A:$M,11,0)</f>
        <v>40</v>
      </c>
      <c r="F353" s="4">
        <f>VLOOKUP($A353,[1]中含分析60315!$A:$M,12,0)</f>
        <v>38</v>
      </c>
      <c r="G353" s="4">
        <f>VLOOKUP($A353,[1]中含分析60315!$A:$M,13,0)</f>
        <v>37</v>
      </c>
      <c r="H353" s="3" t="s">
        <v>10</v>
      </c>
      <c r="I353" s="3" t="s">
        <v>701</v>
      </c>
    </row>
    <row r="354" customHeight="1" spans="1:9">
      <c r="A354" s="4" t="s">
        <v>702</v>
      </c>
      <c r="B354" s="4">
        <f>VLOOKUP($A354,[1]中含分析60315!$A:$M,8,0)</f>
        <v>41</v>
      </c>
      <c r="C354" s="4">
        <f>VLOOKUP($A354,[1]中含分析60315!$A:$M,9,0)</f>
        <v>39</v>
      </c>
      <c r="D354" s="4">
        <f>VLOOKUP($A354,[1]中含分析60315!$A:$M,10,0)</f>
        <v>38</v>
      </c>
      <c r="E354" s="4">
        <f>VLOOKUP($A354,[1]中含分析60315!$A:$M,11,0)</f>
        <v>36</v>
      </c>
      <c r="F354" s="4">
        <f>VLOOKUP($A354,[1]中含分析60315!$A:$M,12,0)</f>
        <v>35</v>
      </c>
      <c r="G354" s="4">
        <f>VLOOKUP($A354,[1]中含分析60315!$A:$M,13,0)</f>
        <v>33</v>
      </c>
      <c r="H354" s="3" t="s">
        <v>10</v>
      </c>
      <c r="I354" s="3" t="s">
        <v>703</v>
      </c>
    </row>
    <row r="355" customHeight="1" spans="1:9">
      <c r="A355" s="4" t="s">
        <v>704</v>
      </c>
      <c r="B355" s="4">
        <f>VLOOKUP($A355,[1]中含分析60315!$A:$M,8,0)</f>
        <v>32</v>
      </c>
      <c r="C355" s="4">
        <f>VLOOKUP($A355,[1]中含分析60315!$A:$M,9,0)</f>
        <v>31</v>
      </c>
      <c r="D355" s="4">
        <f>VLOOKUP($A355,[1]中含分析60315!$A:$M,10,0)</f>
        <v>30</v>
      </c>
      <c r="E355" s="4">
        <f>VLOOKUP($A355,[1]中含分析60315!$A:$M,11,0)</f>
        <v>29</v>
      </c>
      <c r="F355" s="4">
        <f>VLOOKUP($A355,[1]中含分析60315!$A:$M,12,0)</f>
        <v>27</v>
      </c>
      <c r="G355" s="4">
        <f>VLOOKUP($A355,[1]中含分析60315!$A:$M,13,0)</f>
        <v>26</v>
      </c>
      <c r="H355" s="3" t="s">
        <v>10</v>
      </c>
      <c r="I355" s="3" t="s">
        <v>705</v>
      </c>
    </row>
    <row r="356" customHeight="1" spans="1:9">
      <c r="A356" s="4" t="s">
        <v>706</v>
      </c>
      <c r="B356" s="4">
        <f>VLOOKUP($A356,[1]中含分析60315!$A:$M,8,0)</f>
        <v>89</v>
      </c>
      <c r="C356" s="4">
        <f>VLOOKUP($A356,[1]中含分析60315!$A:$M,9,0)</f>
        <v>86</v>
      </c>
      <c r="D356" s="4">
        <f>VLOOKUP($A356,[1]中含分析60315!$A:$M,10,0)</f>
        <v>83</v>
      </c>
      <c r="E356" s="4">
        <f>VLOOKUP($A356,[1]中含分析60315!$A:$M,11,0)</f>
        <v>79</v>
      </c>
      <c r="F356" s="4">
        <f>VLOOKUP($A356,[1]中含分析60315!$A:$M,12,0)</f>
        <v>76</v>
      </c>
      <c r="G356" s="4">
        <f>VLOOKUP($A356,[1]中含分析60315!$A:$M,13,0)</f>
        <v>73</v>
      </c>
      <c r="H356" s="3" t="s">
        <v>10</v>
      </c>
      <c r="I356" s="3" t="s">
        <v>616</v>
      </c>
    </row>
    <row r="357" customHeight="1" spans="1:9">
      <c r="A357" s="4" t="s">
        <v>707</v>
      </c>
      <c r="B357" s="4">
        <f>VLOOKUP($A357,[1]中含分析60315!$A:$M,8,0)</f>
        <v>63</v>
      </c>
      <c r="C357" s="4">
        <f>VLOOKUP($A357,[1]中含分析60315!$A:$M,9,0)</f>
        <v>62</v>
      </c>
      <c r="D357" s="4">
        <f>VLOOKUP($A357,[1]中含分析60315!$A:$M,10,0)</f>
        <v>61</v>
      </c>
      <c r="E357" s="4">
        <f>VLOOKUP($A357,[1]中含分析60315!$A:$M,11,0)</f>
        <v>60</v>
      </c>
      <c r="F357" s="4">
        <f>VLOOKUP($A357,[1]中含分析60315!$A:$M,12,0)</f>
        <v>60</v>
      </c>
      <c r="G357" s="4">
        <f>VLOOKUP($A357,[1]中含分析60315!$A:$M,13,0)</f>
        <v>59</v>
      </c>
      <c r="H357" s="3" t="s">
        <v>39</v>
      </c>
      <c r="I357" s="3" t="s">
        <v>708</v>
      </c>
    </row>
    <row r="358" customHeight="1" spans="1:9">
      <c r="A358" s="4" t="s">
        <v>709</v>
      </c>
      <c r="B358" s="4">
        <f>VLOOKUP($A358,[1]中含分析60315!$A:$M,8,0)</f>
        <v>50</v>
      </c>
      <c r="C358" s="4">
        <f>VLOOKUP($A358,[1]中含分析60315!$A:$M,9,0)</f>
        <v>49</v>
      </c>
      <c r="D358" s="4">
        <f>VLOOKUP($A358,[1]中含分析60315!$A:$M,10,0)</f>
        <v>48</v>
      </c>
      <c r="E358" s="4">
        <f>VLOOKUP($A358,[1]中含分析60315!$A:$M,11,0)</f>
        <v>47</v>
      </c>
      <c r="F358" s="4">
        <f>VLOOKUP($A358,[1]中含分析60315!$A:$M,12,0)</f>
        <v>47</v>
      </c>
      <c r="G358" s="4">
        <f>VLOOKUP($A358,[1]中含分析60315!$A:$M,13,0)</f>
        <v>46</v>
      </c>
      <c r="H358" s="3" t="s">
        <v>39</v>
      </c>
      <c r="I358" s="3" t="s">
        <v>710</v>
      </c>
    </row>
    <row r="359" customHeight="1" spans="1:9">
      <c r="A359" s="4" t="s">
        <v>711</v>
      </c>
      <c r="B359" s="4">
        <f>VLOOKUP($A359,[1]中含分析60315!$A:$M,8,0)</f>
        <v>200</v>
      </c>
      <c r="C359" s="4">
        <f>VLOOKUP($A359,[1]中含分析60315!$A:$M,9,0)</f>
        <v>193</v>
      </c>
      <c r="D359" s="4">
        <f>VLOOKUP($A359,[1]中含分析60315!$A:$M,10,0)</f>
        <v>185</v>
      </c>
      <c r="E359" s="4">
        <f>VLOOKUP($A359,[1]中含分析60315!$A:$M,11,0)</f>
        <v>178</v>
      </c>
      <c r="F359" s="4">
        <f>VLOOKUP($A359,[1]中含分析60315!$A:$M,12,0)</f>
        <v>170</v>
      </c>
      <c r="G359" s="4">
        <f>VLOOKUP($A359,[1]中含分析60315!$A:$M,13,0)</f>
        <v>163</v>
      </c>
      <c r="H359" s="3" t="s">
        <v>10</v>
      </c>
      <c r="I359" s="3" t="s">
        <v>712</v>
      </c>
    </row>
    <row r="360" customHeight="1" spans="1:9">
      <c r="A360" s="4" t="s">
        <v>713</v>
      </c>
      <c r="B360" s="4">
        <f>VLOOKUP($A360,[1]中含分析60315!$A:$M,8,0)</f>
        <v>31</v>
      </c>
      <c r="C360" s="4">
        <f>VLOOKUP($A360,[1]中含分析60315!$A:$M,9,0)</f>
        <v>30</v>
      </c>
      <c r="D360" s="4">
        <f>VLOOKUP($A360,[1]中含分析60315!$A:$M,10,0)</f>
        <v>28</v>
      </c>
      <c r="E360" s="4">
        <f>VLOOKUP($A360,[1]中含分析60315!$A:$M,11,0)</f>
        <v>27</v>
      </c>
      <c r="F360" s="4">
        <f>VLOOKUP($A360,[1]中含分析60315!$A:$M,12,0)</f>
        <v>26</v>
      </c>
      <c r="G360" s="4">
        <f>VLOOKUP($A360,[1]中含分析60315!$A:$M,13,0)</f>
        <v>25</v>
      </c>
      <c r="H360" s="3" t="s">
        <v>10</v>
      </c>
      <c r="I360" s="3" t="s">
        <v>714</v>
      </c>
    </row>
    <row r="361" customHeight="1" spans="1:9">
      <c r="A361" s="4" t="s">
        <v>715</v>
      </c>
      <c r="B361" s="4">
        <f>VLOOKUP($A361,[1]中含分析60315!$A:$M,8,0)</f>
        <v>179</v>
      </c>
      <c r="C361" s="4">
        <f>VLOOKUP($A361,[1]中含分析60315!$A:$M,9,0)</f>
        <v>176</v>
      </c>
      <c r="D361" s="4">
        <f>VLOOKUP($A361,[1]中含分析60315!$A:$M,10,0)</f>
        <v>173</v>
      </c>
      <c r="E361" s="4">
        <f>VLOOKUP($A361,[1]中含分析60315!$A:$M,11,0)</f>
        <v>170</v>
      </c>
      <c r="F361" s="4">
        <f>VLOOKUP($A361,[1]中含分析60315!$A:$M,12,0)</f>
        <v>169</v>
      </c>
      <c r="G361" s="4">
        <f>VLOOKUP($A361,[1]中含分析60315!$A:$M,13,0)</f>
        <v>166</v>
      </c>
      <c r="H361" s="3" t="s">
        <v>39</v>
      </c>
      <c r="I361" s="3" t="s">
        <v>716</v>
      </c>
    </row>
    <row r="362" customHeight="1" spans="1:9">
      <c r="A362" s="4" t="s">
        <v>717</v>
      </c>
      <c r="B362" s="4">
        <f>VLOOKUP($A362,[1]中含分析60315!$A:$M,8,0)</f>
        <v>40</v>
      </c>
      <c r="C362" s="4">
        <f>VLOOKUP($A362,[1]中含分析60315!$A:$M,9,0)</f>
        <v>39</v>
      </c>
      <c r="D362" s="4">
        <f>VLOOKUP($A362,[1]中含分析60315!$A:$M,10,0)</f>
        <v>37</v>
      </c>
      <c r="E362" s="4">
        <f>VLOOKUP($A362,[1]中含分析60315!$A:$M,11,0)</f>
        <v>36</v>
      </c>
      <c r="F362" s="4">
        <f>VLOOKUP($A362,[1]中含分析60315!$A:$M,12,0)</f>
        <v>34</v>
      </c>
      <c r="G362" s="4">
        <f>VLOOKUP($A362,[1]中含分析60315!$A:$M,13,0)</f>
        <v>33</v>
      </c>
      <c r="H362" s="3" t="s">
        <v>10</v>
      </c>
      <c r="I362" s="3" t="s">
        <v>718</v>
      </c>
    </row>
    <row r="363" customHeight="1" spans="1:9">
      <c r="A363" s="4" t="s">
        <v>719</v>
      </c>
      <c r="B363" s="4">
        <f>VLOOKUP($A363,[1]中含分析60315!$A:$M,8,0)</f>
        <v>46</v>
      </c>
      <c r="C363" s="4">
        <f>VLOOKUP($A363,[1]中含分析60315!$A:$M,9,0)</f>
        <v>44</v>
      </c>
      <c r="D363" s="4">
        <f>VLOOKUP($A363,[1]中含分析60315!$A:$M,10,0)</f>
        <v>42</v>
      </c>
      <c r="E363" s="4">
        <f>VLOOKUP($A363,[1]中含分析60315!$A:$M,11,0)</f>
        <v>41</v>
      </c>
      <c r="F363" s="4">
        <f>VLOOKUP($A363,[1]中含分析60315!$A:$M,12,0)</f>
        <v>39</v>
      </c>
      <c r="G363" s="4">
        <f>VLOOKUP($A363,[1]中含分析60315!$A:$M,13,0)</f>
        <v>37</v>
      </c>
      <c r="H363" s="3" t="s">
        <v>10</v>
      </c>
      <c r="I363" s="3" t="s">
        <v>720</v>
      </c>
    </row>
    <row r="364" customHeight="1" spans="1:9">
      <c r="A364" s="4" t="s">
        <v>721</v>
      </c>
      <c r="B364" s="4">
        <f>VLOOKUP($A364,[1]中含分析60315!$A:$M,8,0)</f>
        <v>37</v>
      </c>
      <c r="C364" s="4">
        <f>VLOOKUP($A364,[1]中含分析60315!$A:$M,9,0)</f>
        <v>36</v>
      </c>
      <c r="D364" s="4">
        <f>VLOOKUP($A364,[1]中含分析60315!$A:$M,10,0)</f>
        <v>35</v>
      </c>
      <c r="E364" s="4">
        <f>VLOOKUP($A364,[1]中含分析60315!$A:$M,11,0)</f>
        <v>33</v>
      </c>
      <c r="F364" s="4">
        <f>VLOOKUP($A364,[1]中含分析60315!$A:$M,12,0)</f>
        <v>32</v>
      </c>
      <c r="G364" s="4">
        <f>VLOOKUP($A364,[1]中含分析60315!$A:$M,13,0)</f>
        <v>30</v>
      </c>
      <c r="H364" s="3" t="s">
        <v>10</v>
      </c>
      <c r="I364" s="3" t="s">
        <v>722</v>
      </c>
    </row>
    <row r="365" customHeight="1" spans="1:9">
      <c r="A365" s="4" t="s">
        <v>723</v>
      </c>
      <c r="B365" s="4">
        <f>VLOOKUP($A365,[1]中含分析60315!$A:$M,8,0)</f>
        <v>59</v>
      </c>
      <c r="C365" s="4">
        <f>VLOOKUP($A365,[1]中含分析60315!$A:$M,9,0)</f>
        <v>58</v>
      </c>
      <c r="D365" s="4">
        <f>VLOOKUP($A365,[1]中含分析60315!$A:$M,10,0)</f>
        <v>57</v>
      </c>
      <c r="E365" s="4">
        <f>VLOOKUP($A365,[1]中含分析60315!$A:$M,11,0)</f>
        <v>56</v>
      </c>
      <c r="F365" s="4">
        <f>VLOOKUP($A365,[1]中含分析60315!$A:$M,12,0)</f>
        <v>55</v>
      </c>
      <c r="G365" s="4">
        <f>VLOOKUP($A365,[1]中含分析60315!$A:$M,13,0)</f>
        <v>54</v>
      </c>
      <c r="H365" s="3" t="s">
        <v>39</v>
      </c>
      <c r="I365" s="3" t="s">
        <v>724</v>
      </c>
    </row>
    <row r="366" customHeight="1" spans="1:9">
      <c r="A366" s="4" t="s">
        <v>725</v>
      </c>
      <c r="B366" s="4">
        <f>VLOOKUP($A366,[1]中含分析60315!$A:$M,8,0)</f>
        <v>56</v>
      </c>
      <c r="C366" s="4">
        <f>VLOOKUP($A366,[1]中含分析60315!$A:$M,9,0)</f>
        <v>54</v>
      </c>
      <c r="D366" s="4">
        <f>VLOOKUP($A366,[1]中含分析60315!$A:$M,10,0)</f>
        <v>52</v>
      </c>
      <c r="E366" s="4">
        <f>VLOOKUP($A366,[1]中含分析60315!$A:$M,11,0)</f>
        <v>49</v>
      </c>
      <c r="F366" s="4">
        <f>VLOOKUP($A366,[1]中含分析60315!$A:$M,12,0)</f>
        <v>47</v>
      </c>
      <c r="G366" s="4">
        <f>VLOOKUP($A366,[1]中含分析60315!$A:$M,13,0)</f>
        <v>45</v>
      </c>
      <c r="H366" s="3" t="s">
        <v>10</v>
      </c>
      <c r="I366" s="3" t="s">
        <v>726</v>
      </c>
    </row>
    <row r="367" customHeight="1" spans="1:9">
      <c r="A367" s="4" t="s">
        <v>727</v>
      </c>
      <c r="B367" s="4">
        <f>VLOOKUP($A367,[1]中含分析60315!$A:$M,8,0)</f>
        <v>122</v>
      </c>
      <c r="C367" s="4">
        <f>VLOOKUP($A367,[1]中含分析60315!$A:$M,9,0)</f>
        <v>120</v>
      </c>
      <c r="D367" s="4">
        <f>VLOOKUP($A367,[1]中含分析60315!$A:$M,10,0)</f>
        <v>118</v>
      </c>
      <c r="E367" s="4">
        <f>VLOOKUP($A367,[1]中含分析60315!$A:$M,11,0)</f>
        <v>116</v>
      </c>
      <c r="F367" s="4">
        <f>VLOOKUP($A367,[1]中含分析60315!$A:$M,12,0)</f>
        <v>115</v>
      </c>
      <c r="G367" s="4">
        <f>VLOOKUP($A367,[1]中含分析60315!$A:$M,13,0)</f>
        <v>113</v>
      </c>
      <c r="H367" s="3" t="s">
        <v>39</v>
      </c>
      <c r="I367" s="3" t="s">
        <v>728</v>
      </c>
    </row>
    <row r="368" customHeight="1" spans="1:9">
      <c r="A368" s="4" t="s">
        <v>729</v>
      </c>
      <c r="B368" s="4">
        <f>VLOOKUP($A368,[1]中含分析60315!$A:$M,8,0)</f>
        <v>33</v>
      </c>
      <c r="C368" s="4">
        <f>VLOOKUP($A368,[1]中含分析60315!$A:$M,9,0)</f>
        <v>32</v>
      </c>
      <c r="D368" s="4">
        <f>VLOOKUP($A368,[1]中含分析60315!$A:$M,10,0)</f>
        <v>31</v>
      </c>
      <c r="E368" s="4">
        <f>VLOOKUP($A368,[1]中含分析60315!$A:$M,11,0)</f>
        <v>29</v>
      </c>
      <c r="F368" s="4">
        <f>VLOOKUP($A368,[1]中含分析60315!$A:$M,12,0)</f>
        <v>28</v>
      </c>
      <c r="G368" s="4">
        <f>VLOOKUP($A368,[1]中含分析60315!$A:$M,13,0)</f>
        <v>27</v>
      </c>
      <c r="H368" s="3" t="s">
        <v>10</v>
      </c>
      <c r="I368" s="3" t="s">
        <v>730</v>
      </c>
    </row>
    <row r="369" customHeight="1" spans="1:9">
      <c r="A369" s="4" t="s">
        <v>731</v>
      </c>
      <c r="B369" s="4">
        <f>VLOOKUP($A369,[1]中含分析60315!$A:$M,8,0)</f>
        <v>27</v>
      </c>
      <c r="C369" s="4">
        <f>VLOOKUP($A369,[1]中含分析60315!$A:$M,9,0)</f>
        <v>26</v>
      </c>
      <c r="D369" s="4">
        <f>VLOOKUP($A369,[1]中含分析60315!$A:$M,10,0)</f>
        <v>25</v>
      </c>
      <c r="E369" s="4">
        <f>VLOOKUP($A369,[1]中含分析60315!$A:$M,11,0)</f>
        <v>24</v>
      </c>
      <c r="F369" s="4">
        <f>VLOOKUP($A369,[1]中含分析60315!$A:$M,12,0)</f>
        <v>23</v>
      </c>
      <c r="G369" s="4">
        <f>VLOOKUP($A369,[1]中含分析60315!$A:$M,13,0)</f>
        <v>22</v>
      </c>
      <c r="H369" s="3" t="s">
        <v>10</v>
      </c>
      <c r="I369" s="3" t="s">
        <v>732</v>
      </c>
    </row>
    <row r="370" customHeight="1" spans="1:9">
      <c r="A370" s="4" t="s">
        <v>733</v>
      </c>
      <c r="B370" s="4">
        <f>VLOOKUP($A370,[1]中含分析60315!$A:$M,8,0)</f>
        <v>34</v>
      </c>
      <c r="C370" s="4">
        <f>VLOOKUP($A370,[1]中含分析60315!$A:$M,9,0)</f>
        <v>32</v>
      </c>
      <c r="D370" s="4">
        <f>VLOOKUP($A370,[1]中含分析60315!$A:$M,10,0)</f>
        <v>31</v>
      </c>
      <c r="E370" s="4">
        <f>VLOOKUP($A370,[1]中含分析60315!$A:$M,11,0)</f>
        <v>30</v>
      </c>
      <c r="F370" s="4">
        <f>VLOOKUP($A370,[1]中含分析60315!$A:$M,12,0)</f>
        <v>29</v>
      </c>
      <c r="G370" s="4">
        <f>VLOOKUP($A370,[1]中含分析60315!$A:$M,13,0)</f>
        <v>27</v>
      </c>
      <c r="H370" s="3" t="s">
        <v>10</v>
      </c>
      <c r="I370" s="3" t="s">
        <v>734</v>
      </c>
    </row>
    <row r="371" customHeight="1" spans="1:9">
      <c r="A371" s="4" t="s">
        <v>735</v>
      </c>
      <c r="B371" s="4">
        <f>VLOOKUP($A371,[1]中含分析60315!$A:$M,8,0)</f>
        <v>65</v>
      </c>
      <c r="C371" s="4">
        <f>VLOOKUP($A371,[1]中含分析60315!$A:$M,9,0)</f>
        <v>62</v>
      </c>
      <c r="D371" s="4">
        <f>VLOOKUP($A371,[1]中含分析60315!$A:$M,10,0)</f>
        <v>60</v>
      </c>
      <c r="E371" s="4">
        <f>VLOOKUP($A371,[1]中含分析60315!$A:$M,11,0)</f>
        <v>57</v>
      </c>
      <c r="F371" s="4">
        <f>VLOOKUP($A371,[1]中含分析60315!$A:$M,12,0)</f>
        <v>55</v>
      </c>
      <c r="G371" s="4">
        <f>VLOOKUP($A371,[1]中含分析60315!$A:$M,13,0)</f>
        <v>53</v>
      </c>
      <c r="H371" s="3" t="s">
        <v>10</v>
      </c>
      <c r="I371" s="3" t="s">
        <v>736</v>
      </c>
    </row>
    <row r="372" customHeight="1" spans="1:9">
      <c r="A372" s="4" t="s">
        <v>737</v>
      </c>
      <c r="B372" s="4">
        <f>VLOOKUP($A372,[1]中含分析60315!$A:$M,8,0)</f>
        <v>42</v>
      </c>
      <c r="C372" s="4">
        <f>VLOOKUP($A372,[1]中含分析60315!$A:$M,9,0)</f>
        <v>41</v>
      </c>
      <c r="D372" s="4">
        <f>VLOOKUP($A372,[1]中含分析60315!$A:$M,10,0)</f>
        <v>39</v>
      </c>
      <c r="E372" s="4">
        <f>VLOOKUP($A372,[1]中含分析60315!$A:$M,11,0)</f>
        <v>37</v>
      </c>
      <c r="F372" s="4">
        <f>VLOOKUP($A372,[1]中含分析60315!$A:$M,12,0)</f>
        <v>36</v>
      </c>
      <c r="G372" s="4">
        <f>VLOOKUP($A372,[1]中含分析60315!$A:$M,13,0)</f>
        <v>34</v>
      </c>
      <c r="H372" s="3" t="s">
        <v>10</v>
      </c>
      <c r="I372" s="3" t="s">
        <v>738</v>
      </c>
    </row>
    <row r="373" customHeight="1" spans="1:9">
      <c r="A373" s="4" t="s">
        <v>739</v>
      </c>
      <c r="B373" s="4">
        <f>VLOOKUP($A373,[1]中含分析60315!$A:$M,8,0)</f>
        <v>81</v>
      </c>
      <c r="C373" s="4">
        <f>VLOOKUP($A373,[1]中含分析60315!$A:$M,9,0)</f>
        <v>78</v>
      </c>
      <c r="D373" s="4">
        <f>VLOOKUP($A373,[1]中含分析60315!$A:$M,10,0)</f>
        <v>75</v>
      </c>
      <c r="E373" s="4">
        <f>VLOOKUP($A373,[1]中含分析60315!$A:$M,11,0)</f>
        <v>72</v>
      </c>
      <c r="F373" s="4">
        <f>VLOOKUP($A373,[1]中含分析60315!$A:$M,12,0)</f>
        <v>69</v>
      </c>
      <c r="G373" s="4">
        <f>VLOOKUP($A373,[1]中含分析60315!$A:$M,13,0)</f>
        <v>66</v>
      </c>
      <c r="H373" s="3" t="s">
        <v>10</v>
      </c>
      <c r="I373" s="3" t="s">
        <v>740</v>
      </c>
    </row>
    <row r="374" customHeight="1" spans="1:9">
      <c r="A374" s="4" t="s">
        <v>741</v>
      </c>
      <c r="B374" s="4">
        <f>VLOOKUP($A374,[1]中含分析60315!$A:$M,8,0)</f>
        <v>40</v>
      </c>
      <c r="C374" s="4">
        <f>VLOOKUP($A374,[1]中含分析60315!$A:$M,9,0)</f>
        <v>38</v>
      </c>
      <c r="D374" s="4">
        <f>VLOOKUP($A374,[1]中含分析60315!$A:$M,10,0)</f>
        <v>37</v>
      </c>
      <c r="E374" s="4">
        <f>VLOOKUP($A374,[1]中含分析60315!$A:$M,11,0)</f>
        <v>35</v>
      </c>
      <c r="F374" s="4">
        <f>VLOOKUP($A374,[1]中含分析60315!$A:$M,12,0)</f>
        <v>34</v>
      </c>
      <c r="G374" s="4">
        <f>VLOOKUP($A374,[1]中含分析60315!$A:$M,13,0)</f>
        <v>32</v>
      </c>
      <c r="H374" s="3" t="s">
        <v>10</v>
      </c>
      <c r="I374" s="3" t="s">
        <v>742</v>
      </c>
    </row>
    <row r="375" customHeight="1" spans="1:9">
      <c r="A375" s="4" t="s">
        <v>743</v>
      </c>
      <c r="B375" s="4">
        <f>VLOOKUP($A375,[1]中含分析60315!$A:$M,8,0)</f>
        <v>73</v>
      </c>
      <c r="C375" s="4">
        <f>VLOOKUP($A375,[1]中含分析60315!$A:$M,9,0)</f>
        <v>72</v>
      </c>
      <c r="D375" s="4">
        <f>VLOOKUP($A375,[1]中含分析60315!$A:$M,10,0)</f>
        <v>70</v>
      </c>
      <c r="E375" s="4">
        <f>VLOOKUP($A375,[1]中含分析60315!$A:$M,11,0)</f>
        <v>69</v>
      </c>
      <c r="F375" s="4">
        <f>VLOOKUP($A375,[1]中含分析60315!$A:$M,12,0)</f>
        <v>69</v>
      </c>
      <c r="G375" s="4">
        <f>VLOOKUP($A375,[1]中含分析60315!$A:$M,13,0)</f>
        <v>67</v>
      </c>
      <c r="H375" s="3" t="s">
        <v>39</v>
      </c>
      <c r="I375" s="3" t="s">
        <v>744</v>
      </c>
    </row>
    <row r="376" customHeight="1" spans="1:9">
      <c r="A376" s="4" t="s">
        <v>745</v>
      </c>
      <c r="B376" s="4">
        <f>VLOOKUP($A376,[1]中含分析60315!$A:$M,8,0)</f>
        <v>71</v>
      </c>
      <c r="C376" s="4">
        <f>VLOOKUP($A376,[1]中含分析60315!$A:$M,9,0)</f>
        <v>70</v>
      </c>
      <c r="D376" s="4">
        <f>VLOOKUP($A376,[1]中含分析60315!$A:$M,10,0)</f>
        <v>69</v>
      </c>
      <c r="E376" s="4">
        <f>VLOOKUP($A376,[1]中含分析60315!$A:$M,11,0)</f>
        <v>68</v>
      </c>
      <c r="F376" s="4">
        <f>VLOOKUP($A376,[1]中含分析60315!$A:$M,12,0)</f>
        <v>67</v>
      </c>
      <c r="G376" s="4">
        <f>VLOOKUP($A376,[1]中含分析60315!$A:$M,13,0)</f>
        <v>66</v>
      </c>
      <c r="H376" s="3" t="s">
        <v>39</v>
      </c>
      <c r="I376" s="3" t="s">
        <v>746</v>
      </c>
    </row>
    <row r="377" customHeight="1" spans="1:9">
      <c r="A377" s="4" t="s">
        <v>747</v>
      </c>
      <c r="B377" s="4">
        <f>VLOOKUP($A377,[1]中含分析60315!$A:$M,8,0)</f>
        <v>46</v>
      </c>
      <c r="C377" s="4">
        <f>VLOOKUP($A377,[1]中含分析60315!$A:$M,9,0)</f>
        <v>45</v>
      </c>
      <c r="D377" s="4">
        <f>VLOOKUP($A377,[1]中含分析60315!$A:$M,10,0)</f>
        <v>43</v>
      </c>
      <c r="E377" s="4">
        <f>VLOOKUP($A377,[1]中含分析60315!$A:$M,11,0)</f>
        <v>41</v>
      </c>
      <c r="F377" s="4">
        <f>VLOOKUP($A377,[1]中含分析60315!$A:$M,12,0)</f>
        <v>40</v>
      </c>
      <c r="G377" s="4">
        <f>VLOOKUP($A377,[1]中含分析60315!$A:$M,13,0)</f>
        <v>38</v>
      </c>
      <c r="H377" s="3" t="s">
        <v>10</v>
      </c>
      <c r="I377" s="3" t="s">
        <v>748</v>
      </c>
    </row>
    <row r="378" customHeight="1" spans="1:9">
      <c r="A378" s="4" t="s">
        <v>749</v>
      </c>
      <c r="B378" s="4">
        <f>VLOOKUP($A378,[1]中含分析60315!$A:$M,8,0)</f>
        <v>46</v>
      </c>
      <c r="C378" s="4">
        <f>VLOOKUP($A378,[1]中含分析60315!$A:$M,9,0)</f>
        <v>46</v>
      </c>
      <c r="D378" s="4">
        <f>VLOOKUP($A378,[1]中含分析60315!$A:$M,10,0)</f>
        <v>45</v>
      </c>
      <c r="E378" s="4">
        <f>VLOOKUP($A378,[1]中含分析60315!$A:$M,11,0)</f>
        <v>44</v>
      </c>
      <c r="F378" s="4">
        <f>VLOOKUP($A378,[1]中含分析60315!$A:$M,12,0)</f>
        <v>44</v>
      </c>
      <c r="G378" s="4">
        <f>VLOOKUP($A378,[1]中含分析60315!$A:$M,13,0)</f>
        <v>43</v>
      </c>
      <c r="H378" s="3" t="s">
        <v>39</v>
      </c>
      <c r="I378" s="3" t="s">
        <v>750</v>
      </c>
    </row>
    <row r="379" customHeight="1" spans="1:9">
      <c r="A379" s="4" t="s">
        <v>751</v>
      </c>
      <c r="B379" s="4">
        <f>VLOOKUP($A379,[1]中含分析60315!$A:$M,8,0)</f>
        <v>46</v>
      </c>
      <c r="C379" s="4">
        <f>VLOOKUP($A379,[1]中含分析60315!$A:$M,9,0)</f>
        <v>44</v>
      </c>
      <c r="D379" s="4">
        <f>VLOOKUP($A379,[1]中含分析60315!$A:$M,10,0)</f>
        <v>42</v>
      </c>
      <c r="E379" s="4">
        <f>VLOOKUP($A379,[1]中含分析60315!$A:$M,11,0)</f>
        <v>41</v>
      </c>
      <c r="F379" s="4">
        <f>VLOOKUP($A379,[1]中含分析60315!$A:$M,12,0)</f>
        <v>39</v>
      </c>
      <c r="G379" s="4">
        <f>VLOOKUP($A379,[1]中含分析60315!$A:$M,13,0)</f>
        <v>37</v>
      </c>
      <c r="H379" s="3" t="s">
        <v>10</v>
      </c>
      <c r="I379" s="3" t="s">
        <v>752</v>
      </c>
    </row>
    <row r="380" customHeight="1" spans="1:9">
      <c r="A380" s="4" t="s">
        <v>753</v>
      </c>
      <c r="B380" s="4">
        <f>VLOOKUP($A380,[1]中含分析60315!$A:$M,8,0)</f>
        <v>66</v>
      </c>
      <c r="C380" s="4">
        <f>VLOOKUP($A380,[1]中含分析60315!$A:$M,9,0)</f>
        <v>65</v>
      </c>
      <c r="D380" s="4">
        <f>VLOOKUP($A380,[1]中含分析60315!$A:$M,10,0)</f>
        <v>64</v>
      </c>
      <c r="E380" s="4">
        <f>VLOOKUP($A380,[1]中含分析60315!$A:$M,11,0)</f>
        <v>62</v>
      </c>
      <c r="F380" s="4">
        <f>VLOOKUP($A380,[1]中含分析60315!$A:$M,12,0)</f>
        <v>62</v>
      </c>
      <c r="G380" s="4">
        <f>VLOOKUP($A380,[1]中含分析60315!$A:$M,13,0)</f>
        <v>61</v>
      </c>
      <c r="H380" s="3" t="s">
        <v>39</v>
      </c>
      <c r="I380" s="3" t="s">
        <v>754</v>
      </c>
    </row>
    <row r="381" customHeight="1" spans="1:9">
      <c r="A381" s="4" t="s">
        <v>755</v>
      </c>
      <c r="B381" s="4">
        <f>VLOOKUP($A381,[1]中含分析60315!$A:$M,8,0)</f>
        <v>24</v>
      </c>
      <c r="C381" s="4">
        <f>VLOOKUP($A381,[1]中含分析60315!$A:$M,9,0)</f>
        <v>23</v>
      </c>
      <c r="D381" s="4">
        <f>VLOOKUP($A381,[1]中含分析60315!$A:$M,10,0)</f>
        <v>22</v>
      </c>
      <c r="E381" s="4">
        <f>VLOOKUP($A381,[1]中含分析60315!$A:$M,11,0)</f>
        <v>21</v>
      </c>
      <c r="F381" s="4">
        <f>VLOOKUP($A381,[1]中含分析60315!$A:$M,12,0)</f>
        <v>20</v>
      </c>
      <c r="G381" s="4">
        <f>VLOOKUP($A381,[1]中含分析60315!$A:$M,13,0)</f>
        <v>19</v>
      </c>
      <c r="H381" s="3" t="s">
        <v>10</v>
      </c>
      <c r="I381" s="3" t="s">
        <v>756</v>
      </c>
    </row>
    <row r="382" customHeight="1" spans="1:9">
      <c r="A382" s="4" t="s">
        <v>757</v>
      </c>
      <c r="B382" s="4">
        <f>VLOOKUP($A382,[1]中含分析60315!$A:$M,8,0)</f>
        <v>46</v>
      </c>
      <c r="C382" s="4">
        <f>VLOOKUP($A382,[1]中含分析60315!$A:$M,9,0)</f>
        <v>46</v>
      </c>
      <c r="D382" s="4">
        <f>VLOOKUP($A382,[1]中含分析60315!$A:$M,10,0)</f>
        <v>45</v>
      </c>
      <c r="E382" s="4">
        <f>VLOOKUP($A382,[1]中含分析60315!$A:$M,11,0)</f>
        <v>44</v>
      </c>
      <c r="F382" s="4">
        <f>VLOOKUP($A382,[1]中含分析60315!$A:$M,12,0)</f>
        <v>44</v>
      </c>
      <c r="G382" s="4">
        <f>VLOOKUP($A382,[1]中含分析60315!$A:$M,13,0)</f>
        <v>43</v>
      </c>
      <c r="H382" s="3" t="s">
        <v>39</v>
      </c>
      <c r="I382" s="3" t="s">
        <v>758</v>
      </c>
    </row>
    <row r="383" customHeight="1" spans="1:9">
      <c r="A383" s="4" t="s">
        <v>759</v>
      </c>
      <c r="B383" s="4">
        <f>VLOOKUP($A383,[1]中含分析60315!$A:$M,8,0)</f>
        <v>33</v>
      </c>
      <c r="C383" s="4">
        <f>VLOOKUP($A383,[1]中含分析60315!$A:$M,9,0)</f>
        <v>31</v>
      </c>
      <c r="D383" s="4">
        <f>VLOOKUP($A383,[1]中含分析60315!$A:$M,10,0)</f>
        <v>30</v>
      </c>
      <c r="E383" s="4">
        <f>VLOOKUP($A383,[1]中含分析60315!$A:$M,11,0)</f>
        <v>29</v>
      </c>
      <c r="F383" s="4">
        <f>VLOOKUP($A383,[1]中含分析60315!$A:$M,12,0)</f>
        <v>28</v>
      </c>
      <c r="G383" s="4">
        <f>VLOOKUP($A383,[1]中含分析60315!$A:$M,13,0)</f>
        <v>27</v>
      </c>
      <c r="H383" s="3" t="s">
        <v>10</v>
      </c>
      <c r="I383" s="3" t="s">
        <v>760</v>
      </c>
    </row>
    <row r="384" customHeight="1" spans="1:9">
      <c r="A384" s="4" t="s">
        <v>761</v>
      </c>
      <c r="B384" s="4">
        <f>VLOOKUP($A384,[1]中含分析60315!$A:$M,8,0)</f>
        <v>41</v>
      </c>
      <c r="C384" s="4">
        <f>VLOOKUP($A384,[1]中含分析60315!$A:$M,9,0)</f>
        <v>39</v>
      </c>
      <c r="D384" s="4">
        <f>VLOOKUP($A384,[1]中含分析60315!$A:$M,10,0)</f>
        <v>38</v>
      </c>
      <c r="E384" s="4">
        <f>VLOOKUP($A384,[1]中含分析60315!$A:$M,11,0)</f>
        <v>36</v>
      </c>
      <c r="F384" s="4">
        <f>VLOOKUP($A384,[1]中含分析60315!$A:$M,12,0)</f>
        <v>35</v>
      </c>
      <c r="G384" s="4">
        <f>VLOOKUP($A384,[1]中含分析60315!$A:$M,13,0)</f>
        <v>33</v>
      </c>
      <c r="H384" s="3" t="s">
        <v>10</v>
      </c>
      <c r="I384" s="3" t="s">
        <v>762</v>
      </c>
    </row>
    <row r="385" customHeight="1" spans="1:9">
      <c r="A385" s="4" t="s">
        <v>763</v>
      </c>
      <c r="B385" s="4">
        <f>VLOOKUP($A385,[1]中含分析60315!$A:$M,8,0)</f>
        <v>66</v>
      </c>
      <c r="C385" s="4">
        <f>VLOOKUP($A385,[1]中含分析60315!$A:$M,9,0)</f>
        <v>64</v>
      </c>
      <c r="D385" s="4">
        <f>VLOOKUP($A385,[1]中含分析60315!$A:$M,10,0)</f>
        <v>61</v>
      </c>
      <c r="E385" s="4">
        <f>VLOOKUP($A385,[1]中含分析60315!$A:$M,11,0)</f>
        <v>59</v>
      </c>
      <c r="F385" s="4">
        <f>VLOOKUP($A385,[1]中含分析60315!$A:$M,12,0)</f>
        <v>56</v>
      </c>
      <c r="G385" s="4">
        <f>VLOOKUP($A385,[1]中含分析60315!$A:$M,13,0)</f>
        <v>54</v>
      </c>
      <c r="H385" s="3" t="s">
        <v>10</v>
      </c>
      <c r="I385" s="3" t="s">
        <v>764</v>
      </c>
    </row>
    <row r="386" customHeight="1" spans="1:9">
      <c r="A386" s="4" t="s">
        <v>765</v>
      </c>
      <c r="B386" s="4">
        <f>VLOOKUP($A386,[1]中含分析60315!$A:$M,8,0)</f>
        <v>134</v>
      </c>
      <c r="C386" s="4">
        <f>VLOOKUP($A386,[1]中含分析60315!$A:$M,9,0)</f>
        <v>132</v>
      </c>
      <c r="D386" s="4">
        <f>VLOOKUP($A386,[1]中含分析60315!$A:$M,10,0)</f>
        <v>129</v>
      </c>
      <c r="E386" s="4">
        <f>VLOOKUP($A386,[1]中含分析60315!$A:$M,11,0)</f>
        <v>127</v>
      </c>
      <c r="F386" s="4">
        <f>VLOOKUP($A386,[1]中含分析60315!$A:$M,12,0)</f>
        <v>126</v>
      </c>
      <c r="G386" s="4">
        <f>VLOOKUP($A386,[1]中含分析60315!$A:$M,13,0)</f>
        <v>124</v>
      </c>
      <c r="H386" s="3" t="s">
        <v>39</v>
      </c>
      <c r="I386" s="3" t="s">
        <v>113</v>
      </c>
    </row>
    <row r="387" customHeight="1" spans="1:9">
      <c r="A387" s="4" t="s">
        <v>766</v>
      </c>
      <c r="B387" s="4">
        <f>VLOOKUP($A387,[1]中含分析60315!$A:$M,8,0)</f>
        <v>43</v>
      </c>
      <c r="C387" s="4">
        <f>VLOOKUP($A387,[1]中含分析60315!$A:$M,9,0)</f>
        <v>42</v>
      </c>
      <c r="D387" s="4">
        <f>VLOOKUP($A387,[1]中含分析60315!$A:$M,10,0)</f>
        <v>40</v>
      </c>
      <c r="E387" s="4">
        <f>VLOOKUP($A387,[1]中含分析60315!$A:$M,11,0)</f>
        <v>39</v>
      </c>
      <c r="F387" s="4">
        <f>VLOOKUP($A387,[1]中含分析60315!$A:$M,12,0)</f>
        <v>37</v>
      </c>
      <c r="G387" s="4">
        <f>VLOOKUP($A387,[1]中含分析60315!$A:$M,13,0)</f>
        <v>35</v>
      </c>
      <c r="H387" s="3" t="s">
        <v>10</v>
      </c>
      <c r="I387" s="3" t="s">
        <v>767</v>
      </c>
    </row>
    <row r="388" customHeight="1" spans="1:9">
      <c r="A388" s="4" t="s">
        <v>768</v>
      </c>
      <c r="B388" s="4">
        <f>VLOOKUP($A388,[1]中含分析60315!$A:$M,8,0)</f>
        <v>46</v>
      </c>
      <c r="C388" s="4">
        <f>VLOOKUP($A388,[1]中含分析60315!$A:$M,9,0)</f>
        <v>45</v>
      </c>
      <c r="D388" s="4">
        <f>VLOOKUP($A388,[1]中含分析60315!$A:$M,10,0)</f>
        <v>43</v>
      </c>
      <c r="E388" s="4">
        <f>VLOOKUP($A388,[1]中含分析60315!$A:$M,11,0)</f>
        <v>41</v>
      </c>
      <c r="F388" s="4">
        <f>VLOOKUP($A388,[1]中含分析60315!$A:$M,12,0)</f>
        <v>40</v>
      </c>
      <c r="G388" s="4">
        <f>VLOOKUP($A388,[1]中含分析60315!$A:$M,13,0)</f>
        <v>38</v>
      </c>
      <c r="H388" s="3" t="s">
        <v>10</v>
      </c>
      <c r="I388" s="3" t="s">
        <v>769</v>
      </c>
    </row>
    <row r="389" customHeight="1" spans="1:9">
      <c r="A389" s="4" t="s">
        <v>770</v>
      </c>
      <c r="B389" s="4">
        <f>VLOOKUP($A389,[1]中含分析60315!$A:$M,8,0)</f>
        <v>45</v>
      </c>
      <c r="C389" s="4">
        <f>VLOOKUP($A389,[1]中含分析60315!$A:$M,9,0)</f>
        <v>43</v>
      </c>
      <c r="D389" s="4">
        <f>VLOOKUP($A389,[1]中含分析60315!$A:$M,10,0)</f>
        <v>41</v>
      </c>
      <c r="E389" s="4">
        <f>VLOOKUP($A389,[1]中含分析60315!$A:$M,11,0)</f>
        <v>40</v>
      </c>
      <c r="F389" s="4">
        <f>VLOOKUP($A389,[1]中含分析60315!$A:$M,12,0)</f>
        <v>38</v>
      </c>
      <c r="G389" s="4">
        <f>VLOOKUP($A389,[1]中含分析60315!$A:$M,13,0)</f>
        <v>37</v>
      </c>
      <c r="H389" s="3" t="s">
        <v>10</v>
      </c>
      <c r="I389" s="3" t="s">
        <v>771</v>
      </c>
    </row>
    <row r="390" customHeight="1" spans="1:9">
      <c r="A390" s="4" t="s">
        <v>772</v>
      </c>
      <c r="B390" s="4">
        <f>VLOOKUP($A390,[1]中含分析60315!$A:$M,8,0)</f>
        <v>44</v>
      </c>
      <c r="C390" s="4">
        <f>VLOOKUP($A390,[1]中含分析60315!$A:$M,9,0)</f>
        <v>42</v>
      </c>
      <c r="D390" s="4">
        <f>VLOOKUP($A390,[1]中含分析60315!$A:$M,10,0)</f>
        <v>41</v>
      </c>
      <c r="E390" s="4">
        <f>VLOOKUP($A390,[1]中含分析60315!$A:$M,11,0)</f>
        <v>39</v>
      </c>
      <c r="F390" s="4">
        <f>VLOOKUP($A390,[1]中含分析60315!$A:$M,12,0)</f>
        <v>37</v>
      </c>
      <c r="G390" s="4">
        <f>VLOOKUP($A390,[1]中含分析60315!$A:$M,13,0)</f>
        <v>36</v>
      </c>
      <c r="H390" s="3" t="s">
        <v>10</v>
      </c>
      <c r="I390" s="3" t="s">
        <v>773</v>
      </c>
    </row>
    <row r="391" customHeight="1" spans="1:9">
      <c r="A391" s="4" t="s">
        <v>774</v>
      </c>
      <c r="B391" s="4">
        <f>VLOOKUP($A391,[1]中含分析60315!$A:$M,8,0)</f>
        <v>43</v>
      </c>
      <c r="C391" s="4">
        <f>VLOOKUP($A391,[1]中含分析60315!$A:$M,9,0)</f>
        <v>41</v>
      </c>
      <c r="D391" s="4">
        <f>VLOOKUP($A391,[1]中含分析60315!$A:$M,10,0)</f>
        <v>40</v>
      </c>
      <c r="E391" s="4">
        <f>VLOOKUP($A391,[1]中含分析60315!$A:$M,11,0)</f>
        <v>38</v>
      </c>
      <c r="F391" s="4">
        <f>VLOOKUP($A391,[1]中含分析60315!$A:$M,12,0)</f>
        <v>37</v>
      </c>
      <c r="G391" s="4">
        <f>VLOOKUP($A391,[1]中含分析60315!$A:$M,13,0)</f>
        <v>35</v>
      </c>
      <c r="H391" s="3" t="s">
        <v>10</v>
      </c>
      <c r="I391" s="3" t="s">
        <v>775</v>
      </c>
    </row>
    <row r="392" customHeight="1" spans="1:9">
      <c r="A392" s="4" t="s">
        <v>776</v>
      </c>
      <c r="B392" s="4">
        <f>VLOOKUP($A392,[1]中含分析60315!$A:$M,8,0)</f>
        <v>135</v>
      </c>
      <c r="C392" s="4">
        <f>VLOOKUP($A392,[1]中含分析60315!$A:$M,9,0)</f>
        <v>133</v>
      </c>
      <c r="D392" s="4">
        <f>VLOOKUP($A392,[1]中含分析60315!$A:$M,10,0)</f>
        <v>131</v>
      </c>
      <c r="E392" s="4">
        <f>VLOOKUP($A392,[1]中含分析60315!$A:$M,11,0)</f>
        <v>128</v>
      </c>
      <c r="F392" s="4">
        <f>VLOOKUP($A392,[1]中含分析60315!$A:$M,12,0)</f>
        <v>127</v>
      </c>
      <c r="G392" s="4">
        <f>VLOOKUP($A392,[1]中含分析60315!$A:$M,13,0)</f>
        <v>125</v>
      </c>
      <c r="H392" s="3" t="s">
        <v>39</v>
      </c>
      <c r="I392" s="3" t="s">
        <v>616</v>
      </c>
    </row>
    <row r="393" customHeight="1" spans="1:9">
      <c r="A393" s="4" t="s">
        <v>777</v>
      </c>
      <c r="B393" s="4">
        <f>VLOOKUP($A393,[1]中含分析60315!$A:$M,8,0)</f>
        <v>157</v>
      </c>
      <c r="C393" s="4">
        <f>VLOOKUP($A393,[1]中含分析60315!$A:$M,9,0)</f>
        <v>154</v>
      </c>
      <c r="D393" s="4">
        <f>VLOOKUP($A393,[1]中含分析60315!$A:$M,10,0)</f>
        <v>151</v>
      </c>
      <c r="E393" s="4">
        <f>VLOOKUP($A393,[1]中含分析60315!$A:$M,11,0)</f>
        <v>149</v>
      </c>
      <c r="F393" s="4">
        <f>VLOOKUP($A393,[1]中含分析60315!$A:$M,12,0)</f>
        <v>148</v>
      </c>
      <c r="G393" s="4">
        <f>VLOOKUP($A393,[1]中含分析60315!$A:$M,13,0)</f>
        <v>145</v>
      </c>
      <c r="H393" s="3" t="s">
        <v>39</v>
      </c>
      <c r="I393" s="3" t="s">
        <v>778</v>
      </c>
    </row>
    <row r="394" customHeight="1" spans="1:9">
      <c r="A394" s="4" t="s">
        <v>779</v>
      </c>
      <c r="B394" s="4">
        <f>VLOOKUP($A394,[1]中含分析60315!$A:$M,8,0)</f>
        <v>42</v>
      </c>
      <c r="C394" s="4">
        <f>VLOOKUP($A394,[1]中含分析60315!$A:$M,9,0)</f>
        <v>40</v>
      </c>
      <c r="D394" s="4">
        <f>VLOOKUP($A394,[1]中含分析60315!$A:$M,10,0)</f>
        <v>39</v>
      </c>
      <c r="E394" s="4">
        <f>VLOOKUP($A394,[1]中含分析60315!$A:$M,11,0)</f>
        <v>37</v>
      </c>
      <c r="F394" s="4">
        <f>VLOOKUP($A394,[1]中含分析60315!$A:$M,12,0)</f>
        <v>35</v>
      </c>
      <c r="G394" s="4">
        <f>VLOOKUP($A394,[1]中含分析60315!$A:$M,13,0)</f>
        <v>34</v>
      </c>
      <c r="H394" s="3" t="s">
        <v>10</v>
      </c>
      <c r="I394" s="3" t="s">
        <v>780</v>
      </c>
    </row>
    <row r="395" customHeight="1" spans="1:9">
      <c r="A395" s="4" t="s">
        <v>781</v>
      </c>
      <c r="B395" s="4">
        <f>VLOOKUP($A395,[1]中含分析60315!$A:$M,8,0)</f>
        <v>49</v>
      </c>
      <c r="C395" s="4">
        <f>VLOOKUP($A395,[1]中含分析60315!$A:$M,9,0)</f>
        <v>48</v>
      </c>
      <c r="D395" s="4">
        <f>VLOOKUP($A395,[1]中含分析60315!$A:$M,10,0)</f>
        <v>47</v>
      </c>
      <c r="E395" s="4">
        <f>VLOOKUP($A395,[1]中含分析60315!$A:$M,11,0)</f>
        <v>46</v>
      </c>
      <c r="F395" s="4">
        <f>VLOOKUP($A395,[1]中含分析60315!$A:$M,12,0)</f>
        <v>46</v>
      </c>
      <c r="G395" s="4">
        <f>VLOOKUP($A395,[1]中含分析60315!$A:$M,13,0)</f>
        <v>45</v>
      </c>
      <c r="H395" s="3" t="s">
        <v>39</v>
      </c>
      <c r="I395" s="3" t="s">
        <v>782</v>
      </c>
    </row>
    <row r="396" customHeight="1" spans="1:9">
      <c r="A396" s="4" t="s">
        <v>783</v>
      </c>
      <c r="B396" s="4">
        <f>VLOOKUP($A396,[1]中含分析60315!$A:$M,8,0)</f>
        <v>53</v>
      </c>
      <c r="C396" s="4">
        <f>VLOOKUP($A396,[1]中含分析60315!$A:$M,9,0)</f>
        <v>53</v>
      </c>
      <c r="D396" s="4">
        <f>VLOOKUP($A396,[1]中含分析60315!$A:$M,10,0)</f>
        <v>52</v>
      </c>
      <c r="E396" s="4">
        <f>VLOOKUP($A396,[1]中含分析60315!$A:$M,11,0)</f>
        <v>51</v>
      </c>
      <c r="F396" s="4">
        <f>VLOOKUP($A396,[1]中含分析60315!$A:$M,12,0)</f>
        <v>50</v>
      </c>
      <c r="G396" s="4">
        <f>VLOOKUP($A396,[1]中含分析60315!$A:$M,13,0)</f>
        <v>49</v>
      </c>
      <c r="H396" s="3" t="s">
        <v>39</v>
      </c>
      <c r="I396" s="3" t="s">
        <v>784</v>
      </c>
    </row>
    <row r="397" customHeight="1" spans="1:9">
      <c r="A397" s="4" t="s">
        <v>785</v>
      </c>
      <c r="B397" s="4">
        <f>VLOOKUP($A397,[1]中含分析60315!$A:$M,8,0)</f>
        <v>48</v>
      </c>
      <c r="C397" s="4">
        <f>VLOOKUP($A397,[1]中含分析60315!$A:$M,9,0)</f>
        <v>46</v>
      </c>
      <c r="D397" s="4">
        <f>VLOOKUP($A397,[1]中含分析60315!$A:$M,10,0)</f>
        <v>44</v>
      </c>
      <c r="E397" s="4">
        <f>VLOOKUP($A397,[1]中含分析60315!$A:$M,11,0)</f>
        <v>42</v>
      </c>
      <c r="F397" s="4">
        <f>VLOOKUP($A397,[1]中含分析60315!$A:$M,12,0)</f>
        <v>41</v>
      </c>
      <c r="G397" s="4">
        <f>VLOOKUP($A397,[1]中含分析60315!$A:$M,13,0)</f>
        <v>39</v>
      </c>
      <c r="H397" s="3" t="s">
        <v>10</v>
      </c>
      <c r="I397" s="3" t="s">
        <v>786</v>
      </c>
    </row>
    <row r="398" customHeight="1" spans="1:9">
      <c r="A398" s="4" t="s">
        <v>787</v>
      </c>
      <c r="B398" s="4">
        <f>VLOOKUP($A398,[1]中含分析60315!$A:$M,8,0)</f>
        <v>41</v>
      </c>
      <c r="C398" s="4">
        <f>VLOOKUP($A398,[1]中含分析60315!$A:$M,9,0)</f>
        <v>39</v>
      </c>
      <c r="D398" s="4">
        <f>VLOOKUP($A398,[1]中含分析60315!$A:$M,10,0)</f>
        <v>38</v>
      </c>
      <c r="E398" s="4">
        <f>VLOOKUP($A398,[1]中含分析60315!$A:$M,11,0)</f>
        <v>36</v>
      </c>
      <c r="F398" s="4">
        <f>VLOOKUP($A398,[1]中含分析60315!$A:$M,12,0)</f>
        <v>35</v>
      </c>
      <c r="G398" s="4">
        <f>VLOOKUP($A398,[1]中含分析60315!$A:$M,13,0)</f>
        <v>33</v>
      </c>
      <c r="H398" s="3" t="s">
        <v>10</v>
      </c>
      <c r="I398" s="3" t="s">
        <v>788</v>
      </c>
    </row>
    <row r="399" customHeight="1" spans="1:9">
      <c r="A399" s="4" t="s">
        <v>789</v>
      </c>
      <c r="B399" s="4">
        <f>VLOOKUP($A399,[1]中含分析60315!$A:$M,8,0)</f>
        <v>73</v>
      </c>
      <c r="C399" s="4">
        <f>VLOOKUP($A399,[1]中含分析60315!$A:$M,9,0)</f>
        <v>72</v>
      </c>
      <c r="D399" s="4">
        <f>VLOOKUP($A399,[1]中含分析60315!$A:$M,10,0)</f>
        <v>71</v>
      </c>
      <c r="E399" s="4">
        <f>VLOOKUP($A399,[1]中含分析60315!$A:$M,11,0)</f>
        <v>70</v>
      </c>
      <c r="F399" s="4">
        <f>VLOOKUP($A399,[1]中含分析60315!$A:$M,12,0)</f>
        <v>69</v>
      </c>
      <c r="G399" s="4">
        <f>VLOOKUP($A399,[1]中含分析60315!$A:$M,13,0)</f>
        <v>68</v>
      </c>
      <c r="H399" s="3" t="s">
        <v>39</v>
      </c>
      <c r="I399" s="3" t="s">
        <v>750</v>
      </c>
    </row>
    <row r="400" customHeight="1" spans="1:9">
      <c r="A400" s="4" t="s">
        <v>790</v>
      </c>
      <c r="B400" s="4">
        <f>VLOOKUP($A400,[1]中含分析60315!$A:$M,8,0)</f>
        <v>35</v>
      </c>
      <c r="C400" s="4">
        <f>VLOOKUP($A400,[1]中含分析60315!$A:$M,9,0)</f>
        <v>35</v>
      </c>
      <c r="D400" s="4">
        <f>VLOOKUP($A400,[1]中含分析60315!$A:$M,10,0)</f>
        <v>34</v>
      </c>
      <c r="E400" s="4">
        <f>VLOOKUP($A400,[1]中含分析60315!$A:$M,11,0)</f>
        <v>34</v>
      </c>
      <c r="F400" s="4">
        <f>VLOOKUP($A400,[1]中含分析60315!$A:$M,12,0)</f>
        <v>33</v>
      </c>
      <c r="G400" s="4">
        <f>VLOOKUP($A400,[1]中含分析60315!$A:$M,13,0)</f>
        <v>33</v>
      </c>
      <c r="H400" s="3" t="s">
        <v>39</v>
      </c>
      <c r="I400" s="3" t="s">
        <v>791</v>
      </c>
    </row>
    <row r="401" customHeight="1" spans="1:9">
      <c r="A401" s="4" t="s">
        <v>792</v>
      </c>
      <c r="B401" s="4">
        <f>VLOOKUP($A401,[1]中含分析60315!$A:$M,8,0)</f>
        <v>33</v>
      </c>
      <c r="C401" s="4">
        <f>VLOOKUP($A401,[1]中含分析60315!$A:$M,9,0)</f>
        <v>32</v>
      </c>
      <c r="D401" s="4">
        <f>VLOOKUP($A401,[1]中含分析60315!$A:$M,10,0)</f>
        <v>31</v>
      </c>
      <c r="E401" s="4">
        <f>VLOOKUP($A401,[1]中含分析60315!$A:$M,11,0)</f>
        <v>31</v>
      </c>
      <c r="F401" s="4">
        <f>VLOOKUP($A401,[1]中含分析60315!$A:$M,12,0)</f>
        <v>31</v>
      </c>
      <c r="G401" s="4">
        <f>VLOOKUP($A401,[1]中含分析60315!$A:$M,13,0)</f>
        <v>30</v>
      </c>
      <c r="H401" s="3" t="s">
        <v>39</v>
      </c>
      <c r="I401" s="3" t="s">
        <v>793</v>
      </c>
    </row>
    <row r="402" customHeight="1" spans="1:9">
      <c r="A402" s="4" t="s">
        <v>794</v>
      </c>
      <c r="B402" s="4">
        <f>VLOOKUP($A402,[1]中含分析60315!$A:$M,8,0)</f>
        <v>40</v>
      </c>
      <c r="C402" s="4">
        <f>VLOOKUP($A402,[1]中含分析60315!$A:$M,9,0)</f>
        <v>40</v>
      </c>
      <c r="D402" s="4">
        <f>VLOOKUP($A402,[1]中含分析60315!$A:$M,10,0)</f>
        <v>39</v>
      </c>
      <c r="E402" s="4">
        <f>VLOOKUP($A402,[1]中含分析60315!$A:$M,11,0)</f>
        <v>38</v>
      </c>
      <c r="F402" s="4">
        <f>VLOOKUP($A402,[1]中含分析60315!$A:$M,12,0)</f>
        <v>38</v>
      </c>
      <c r="G402" s="4">
        <f>VLOOKUP($A402,[1]中含分析60315!$A:$M,13,0)</f>
        <v>37</v>
      </c>
      <c r="H402" s="3" t="s">
        <v>39</v>
      </c>
      <c r="I402" s="3" t="s">
        <v>791</v>
      </c>
    </row>
    <row r="403" customHeight="1" spans="1:9">
      <c r="A403" s="4" t="s">
        <v>795</v>
      </c>
      <c r="B403" s="4">
        <f>VLOOKUP($A403,[1]中含分析60315!$A:$M,8,0)</f>
        <v>63</v>
      </c>
      <c r="C403" s="4">
        <f>VLOOKUP($A403,[1]中含分析60315!$A:$M,9,0)</f>
        <v>61</v>
      </c>
      <c r="D403" s="4">
        <f>VLOOKUP($A403,[1]中含分析60315!$A:$M,10,0)</f>
        <v>58</v>
      </c>
      <c r="E403" s="4">
        <f>VLOOKUP($A403,[1]中含分析60315!$A:$M,11,0)</f>
        <v>56</v>
      </c>
      <c r="F403" s="4">
        <f>VLOOKUP($A403,[1]中含分析60315!$A:$M,12,0)</f>
        <v>54</v>
      </c>
      <c r="G403" s="4">
        <f>VLOOKUP($A403,[1]中含分析60315!$A:$M,13,0)</f>
        <v>51</v>
      </c>
      <c r="H403" s="3" t="s">
        <v>10</v>
      </c>
      <c r="I403" s="3" t="s">
        <v>796</v>
      </c>
    </row>
    <row r="404" customHeight="1" spans="1:9">
      <c r="A404" s="4" t="s">
        <v>797</v>
      </c>
      <c r="B404" s="4">
        <f>VLOOKUP($A404,[1]中含分析60315!$A:$M,8,0)</f>
        <v>34</v>
      </c>
      <c r="C404" s="4">
        <f>VLOOKUP($A404,[1]中含分析60315!$A:$M,9,0)</f>
        <v>33</v>
      </c>
      <c r="D404" s="4">
        <f>VLOOKUP($A404,[1]中含分析60315!$A:$M,10,0)</f>
        <v>32</v>
      </c>
      <c r="E404" s="4">
        <f>VLOOKUP($A404,[1]中含分析60315!$A:$M,11,0)</f>
        <v>30</v>
      </c>
      <c r="F404" s="4">
        <f>VLOOKUP($A404,[1]中含分析60315!$A:$M,12,0)</f>
        <v>29</v>
      </c>
      <c r="G404" s="4">
        <f>VLOOKUP($A404,[1]中含分析60315!$A:$M,13,0)</f>
        <v>28</v>
      </c>
      <c r="H404" s="3" t="s">
        <v>10</v>
      </c>
      <c r="I404" s="3" t="s">
        <v>798</v>
      </c>
    </row>
    <row r="405" customHeight="1" spans="1:9">
      <c r="A405" s="4" t="s">
        <v>799</v>
      </c>
      <c r="B405" s="4">
        <f>VLOOKUP($A405,[1]中含分析60315!$A:$M,8,0)</f>
        <v>40</v>
      </c>
      <c r="C405" s="4">
        <f>VLOOKUP($A405,[1]中含分析60315!$A:$M,9,0)</f>
        <v>39</v>
      </c>
      <c r="D405" s="4">
        <f>VLOOKUP($A405,[1]中含分析60315!$A:$M,10,0)</f>
        <v>37</v>
      </c>
      <c r="E405" s="4">
        <f>VLOOKUP($A405,[1]中含分析60315!$A:$M,11,0)</f>
        <v>36</v>
      </c>
      <c r="F405" s="4">
        <f>VLOOKUP($A405,[1]中含分析60315!$A:$M,12,0)</f>
        <v>34</v>
      </c>
      <c r="G405" s="4">
        <f>VLOOKUP($A405,[1]中含分析60315!$A:$M,13,0)</f>
        <v>33</v>
      </c>
      <c r="H405" s="3" t="s">
        <v>10</v>
      </c>
      <c r="I405" s="3" t="s">
        <v>800</v>
      </c>
    </row>
    <row r="406" customHeight="1" spans="1:9">
      <c r="A406" s="4" t="s">
        <v>801</v>
      </c>
      <c r="B406" s="4">
        <f>VLOOKUP($A406,[1]中含分析60315!$A:$M,8,0)</f>
        <v>41</v>
      </c>
      <c r="C406" s="4">
        <f>VLOOKUP($A406,[1]中含分析60315!$A:$M,9,0)</f>
        <v>39</v>
      </c>
      <c r="D406" s="4">
        <f>VLOOKUP($A406,[1]中含分析60315!$A:$M,10,0)</f>
        <v>38</v>
      </c>
      <c r="E406" s="4">
        <f>VLOOKUP($A406,[1]中含分析60315!$A:$M,11,0)</f>
        <v>36</v>
      </c>
      <c r="F406" s="4">
        <f>VLOOKUP($A406,[1]中含分析60315!$A:$M,12,0)</f>
        <v>35</v>
      </c>
      <c r="G406" s="4">
        <f>VLOOKUP($A406,[1]中含分析60315!$A:$M,13,0)</f>
        <v>33</v>
      </c>
      <c r="H406" s="3" t="s">
        <v>10</v>
      </c>
      <c r="I406" s="3" t="s">
        <v>802</v>
      </c>
    </row>
    <row r="407" customHeight="1" spans="1:9">
      <c r="A407" s="4" t="s">
        <v>803</v>
      </c>
      <c r="B407" s="4">
        <f>VLOOKUP($A407,[1]中含分析60315!$A:$M,8,0)</f>
        <v>106</v>
      </c>
      <c r="C407" s="4">
        <f>VLOOKUP($A407,[1]中含分析60315!$A:$M,9,0)</f>
        <v>104</v>
      </c>
      <c r="D407" s="4">
        <f>VLOOKUP($A407,[1]中含分析60315!$A:$M,10,0)</f>
        <v>103</v>
      </c>
      <c r="E407" s="4">
        <f>VLOOKUP($A407,[1]中含分析60315!$A:$M,11,0)</f>
        <v>101</v>
      </c>
      <c r="F407" s="4">
        <f>VLOOKUP($A407,[1]中含分析60315!$A:$M,12,0)</f>
        <v>100</v>
      </c>
      <c r="G407" s="4">
        <f>VLOOKUP($A407,[1]中含分析60315!$A:$M,13,0)</f>
        <v>98</v>
      </c>
      <c r="H407" s="3" t="s">
        <v>39</v>
      </c>
      <c r="I407" s="3" t="s">
        <v>804</v>
      </c>
    </row>
    <row r="408" customHeight="1" spans="1:9">
      <c r="A408" s="4" t="s">
        <v>805</v>
      </c>
      <c r="B408" s="4">
        <f>VLOOKUP($A408,[1]中含分析60315!$A:$M,8,0)</f>
        <v>47</v>
      </c>
      <c r="C408" s="4">
        <f>VLOOKUP($A408,[1]中含分析60315!$A:$M,9,0)</f>
        <v>46</v>
      </c>
      <c r="D408" s="4">
        <f>VLOOKUP($A408,[1]中含分析60315!$A:$M,10,0)</f>
        <v>44</v>
      </c>
      <c r="E408" s="4">
        <f>VLOOKUP($A408,[1]中含分析60315!$A:$M,11,0)</f>
        <v>42</v>
      </c>
      <c r="F408" s="4">
        <f>VLOOKUP($A408,[1]中含分析60315!$A:$M,12,0)</f>
        <v>40</v>
      </c>
      <c r="G408" s="4">
        <f>VLOOKUP($A408,[1]中含分析60315!$A:$M,13,0)</f>
        <v>39</v>
      </c>
      <c r="H408" s="3" t="s">
        <v>10</v>
      </c>
      <c r="I408" s="3" t="s">
        <v>806</v>
      </c>
    </row>
    <row r="409" customHeight="1" spans="1:9">
      <c r="A409" s="4" t="s">
        <v>807</v>
      </c>
      <c r="B409" s="4">
        <f>VLOOKUP($A409,[1]中含分析60315!$A:$M,8,0)</f>
        <v>36</v>
      </c>
      <c r="C409" s="4">
        <f>VLOOKUP($A409,[1]中含分析60315!$A:$M,9,0)</f>
        <v>35</v>
      </c>
      <c r="D409" s="4">
        <f>VLOOKUP($A409,[1]中含分析60315!$A:$M,10,0)</f>
        <v>33</v>
      </c>
      <c r="E409" s="4">
        <f>VLOOKUP($A409,[1]中含分析60315!$A:$M,11,0)</f>
        <v>32</v>
      </c>
      <c r="F409" s="4">
        <f>VLOOKUP($A409,[1]中含分析60315!$A:$M,12,0)</f>
        <v>31</v>
      </c>
      <c r="G409" s="4">
        <f>VLOOKUP($A409,[1]中含分析60315!$A:$M,13,0)</f>
        <v>30</v>
      </c>
      <c r="H409" s="3" t="s">
        <v>10</v>
      </c>
      <c r="I409" s="3" t="s">
        <v>808</v>
      </c>
    </row>
    <row r="410" customHeight="1" spans="1:9">
      <c r="A410" s="4" t="s">
        <v>809</v>
      </c>
      <c r="B410" s="4">
        <f>VLOOKUP($A410,[1]中含分析60315!$A:$M,8,0)</f>
        <v>35</v>
      </c>
      <c r="C410" s="4">
        <f>VLOOKUP($A410,[1]中含分析60315!$A:$M,9,0)</f>
        <v>34</v>
      </c>
      <c r="D410" s="4">
        <f>VLOOKUP($A410,[1]中含分析60315!$A:$M,10,0)</f>
        <v>32</v>
      </c>
      <c r="E410" s="4">
        <f>VLOOKUP($A410,[1]中含分析60315!$A:$M,11,0)</f>
        <v>31</v>
      </c>
      <c r="F410" s="4">
        <f>VLOOKUP($A410,[1]中含分析60315!$A:$M,12,0)</f>
        <v>30</v>
      </c>
      <c r="G410" s="4">
        <f>VLOOKUP($A410,[1]中含分析60315!$A:$M,13,0)</f>
        <v>29</v>
      </c>
      <c r="H410" s="3" t="s">
        <v>10</v>
      </c>
      <c r="I410" s="3" t="s">
        <v>810</v>
      </c>
    </row>
    <row r="411" customHeight="1" spans="1:9">
      <c r="A411" s="4" t="s">
        <v>811</v>
      </c>
      <c r="B411" s="4">
        <f>VLOOKUP($A411,[1]中含分析60315!$A:$M,8,0)</f>
        <v>55</v>
      </c>
      <c r="C411" s="4">
        <f>VLOOKUP($A411,[1]中含分析60315!$A:$M,9,0)</f>
        <v>54</v>
      </c>
      <c r="D411" s="4">
        <f>VLOOKUP($A411,[1]中含分析60315!$A:$M,10,0)</f>
        <v>53</v>
      </c>
      <c r="E411" s="4">
        <f>VLOOKUP($A411,[1]中含分析60315!$A:$M,11,0)</f>
        <v>52</v>
      </c>
      <c r="F411" s="4">
        <f>VLOOKUP($A411,[1]中含分析60315!$A:$M,12,0)</f>
        <v>52</v>
      </c>
      <c r="G411" s="4">
        <f>VLOOKUP($A411,[1]中含分析60315!$A:$M,13,0)</f>
        <v>51</v>
      </c>
      <c r="H411" s="3" t="s">
        <v>39</v>
      </c>
      <c r="I411" s="3" t="s">
        <v>812</v>
      </c>
    </row>
    <row r="412" customHeight="1" spans="1:9">
      <c r="A412" s="4" t="s">
        <v>813</v>
      </c>
      <c r="B412" s="4">
        <f>VLOOKUP($A412,[1]中含分析60315!$A:$M,8,0)</f>
        <v>47</v>
      </c>
      <c r="C412" s="4">
        <f>VLOOKUP($A412,[1]中含分析60315!$A:$M,9,0)</f>
        <v>45</v>
      </c>
      <c r="D412" s="4">
        <f>VLOOKUP($A412,[1]中含分析60315!$A:$M,10,0)</f>
        <v>43</v>
      </c>
      <c r="E412" s="4">
        <f>VLOOKUP($A412,[1]中含分析60315!$A:$M,11,0)</f>
        <v>42</v>
      </c>
      <c r="F412" s="4">
        <f>VLOOKUP($A412,[1]中含分析60315!$A:$M,12,0)</f>
        <v>40</v>
      </c>
      <c r="G412" s="4">
        <f>VLOOKUP($A412,[1]中含分析60315!$A:$M,13,0)</f>
        <v>38</v>
      </c>
      <c r="H412" s="3" t="s">
        <v>10</v>
      </c>
      <c r="I412" s="3" t="s">
        <v>814</v>
      </c>
    </row>
    <row r="413" customHeight="1" spans="1:9">
      <c r="A413" s="4" t="s">
        <v>815</v>
      </c>
      <c r="B413" s="4">
        <f>VLOOKUP($A413,[1]中含分析60315!$A:$M,8,0)</f>
        <v>55</v>
      </c>
      <c r="C413" s="4">
        <f>VLOOKUP($A413,[1]中含分析60315!$A:$M,9,0)</f>
        <v>54</v>
      </c>
      <c r="D413" s="4">
        <f>VLOOKUP($A413,[1]中含分析60315!$A:$M,10,0)</f>
        <v>53</v>
      </c>
      <c r="E413" s="4">
        <f>VLOOKUP($A413,[1]中含分析60315!$A:$M,11,0)</f>
        <v>52</v>
      </c>
      <c r="F413" s="4">
        <f>VLOOKUP($A413,[1]中含分析60315!$A:$M,12,0)</f>
        <v>52</v>
      </c>
      <c r="G413" s="4">
        <f>VLOOKUP($A413,[1]中含分析60315!$A:$M,13,0)</f>
        <v>51</v>
      </c>
      <c r="H413" s="3" t="s">
        <v>39</v>
      </c>
      <c r="I413" s="3" t="s">
        <v>816</v>
      </c>
    </row>
    <row r="414" customHeight="1" spans="1:9">
      <c r="A414" s="4" t="s">
        <v>817</v>
      </c>
      <c r="B414" s="4">
        <f>VLOOKUP($A414,[1]中含分析60315!$A:$M,8,0)</f>
        <v>52</v>
      </c>
      <c r="C414" s="4">
        <f>VLOOKUP($A414,[1]中含分析60315!$A:$M,9,0)</f>
        <v>52</v>
      </c>
      <c r="D414" s="4">
        <f>VLOOKUP($A414,[1]中含分析60315!$A:$M,10,0)</f>
        <v>51</v>
      </c>
      <c r="E414" s="4">
        <f>VLOOKUP($A414,[1]中含分析60315!$A:$M,11,0)</f>
        <v>50</v>
      </c>
      <c r="F414" s="4">
        <f>VLOOKUP($A414,[1]中含分析60315!$A:$M,12,0)</f>
        <v>49</v>
      </c>
      <c r="G414" s="4">
        <f>VLOOKUP($A414,[1]中含分析60315!$A:$M,13,0)</f>
        <v>49</v>
      </c>
      <c r="H414" s="3" t="s">
        <v>39</v>
      </c>
      <c r="I414" s="3" t="s">
        <v>818</v>
      </c>
    </row>
    <row r="415" customHeight="1" spans="1:9">
      <c r="A415" s="4" t="s">
        <v>819</v>
      </c>
      <c r="B415" s="4">
        <f>VLOOKUP($A415,[1]中含分析60315!$A:$M,8,0)</f>
        <v>52</v>
      </c>
      <c r="C415" s="4">
        <f>VLOOKUP($A415,[1]中含分析60315!$A:$M,9,0)</f>
        <v>52</v>
      </c>
      <c r="D415" s="4">
        <f>VLOOKUP($A415,[1]中含分析60315!$A:$M,10,0)</f>
        <v>51</v>
      </c>
      <c r="E415" s="4">
        <f>VLOOKUP($A415,[1]中含分析60315!$A:$M,11,0)</f>
        <v>50</v>
      </c>
      <c r="F415" s="4">
        <f>VLOOKUP($A415,[1]中含分析60315!$A:$M,12,0)</f>
        <v>49</v>
      </c>
      <c r="G415" s="4">
        <f>VLOOKUP($A415,[1]中含分析60315!$A:$M,13,0)</f>
        <v>49</v>
      </c>
      <c r="H415" s="3" t="s">
        <v>39</v>
      </c>
      <c r="I415" s="3" t="s">
        <v>820</v>
      </c>
    </row>
    <row r="416" customHeight="1" spans="1:9">
      <c r="A416" s="4" t="s">
        <v>821</v>
      </c>
      <c r="B416" s="4">
        <f>VLOOKUP($A416,[1]中含分析60315!$A:$M,8,0)</f>
        <v>48</v>
      </c>
      <c r="C416" s="4">
        <f>VLOOKUP($A416,[1]中含分析60315!$A:$M,9,0)</f>
        <v>46</v>
      </c>
      <c r="D416" s="4">
        <f>VLOOKUP($A416,[1]中含分析60315!$A:$M,10,0)</f>
        <v>45</v>
      </c>
      <c r="E416" s="4">
        <f>VLOOKUP($A416,[1]中含分析60315!$A:$M,11,0)</f>
        <v>43</v>
      </c>
      <c r="F416" s="4">
        <f>VLOOKUP($A416,[1]中含分析60315!$A:$M,12,0)</f>
        <v>41</v>
      </c>
      <c r="G416" s="4">
        <f>VLOOKUP($A416,[1]中含分析60315!$A:$M,13,0)</f>
        <v>39</v>
      </c>
      <c r="H416" s="3" t="s">
        <v>10</v>
      </c>
      <c r="I416" s="3" t="s">
        <v>822</v>
      </c>
    </row>
    <row r="417" customHeight="1" spans="1:9">
      <c r="A417" s="4" t="s">
        <v>823</v>
      </c>
      <c r="B417" s="4">
        <f>VLOOKUP($A417,[1]中含分析60315!$A:$M,8,0)</f>
        <v>39</v>
      </c>
      <c r="C417" s="4">
        <f>VLOOKUP($A417,[1]中含分析60315!$A:$M,9,0)</f>
        <v>37</v>
      </c>
      <c r="D417" s="4">
        <f>VLOOKUP($A417,[1]中含分析60315!$A:$M,10,0)</f>
        <v>36</v>
      </c>
      <c r="E417" s="4">
        <f>VLOOKUP($A417,[1]中含分析60315!$A:$M,11,0)</f>
        <v>35</v>
      </c>
      <c r="F417" s="4">
        <f>VLOOKUP($A417,[1]中含分析60315!$A:$M,12,0)</f>
        <v>33</v>
      </c>
      <c r="G417" s="4">
        <f>VLOOKUP($A417,[1]中含分析60315!$A:$M,13,0)</f>
        <v>32</v>
      </c>
      <c r="H417" s="3" t="s">
        <v>10</v>
      </c>
      <c r="I417" s="3" t="s">
        <v>824</v>
      </c>
    </row>
    <row r="418" customHeight="1" spans="1:9">
      <c r="A418" s="4" t="s">
        <v>825</v>
      </c>
      <c r="B418" s="4">
        <f>VLOOKUP($A418,[1]中含分析60315!$A:$M,8,0)</f>
        <v>68</v>
      </c>
      <c r="C418" s="4">
        <f>VLOOKUP($A418,[1]中含分析60315!$A:$M,9,0)</f>
        <v>67</v>
      </c>
      <c r="D418" s="4">
        <f>VLOOKUP($A418,[1]中含分析60315!$A:$M,10,0)</f>
        <v>66</v>
      </c>
      <c r="E418" s="4">
        <f>VLOOKUP($A418,[1]中含分析60315!$A:$M,11,0)</f>
        <v>65</v>
      </c>
      <c r="F418" s="4">
        <f>VLOOKUP($A418,[1]中含分析60315!$A:$M,12,0)</f>
        <v>64</v>
      </c>
      <c r="G418" s="4">
        <f>VLOOKUP($A418,[1]中含分析60315!$A:$M,13,0)</f>
        <v>63</v>
      </c>
      <c r="H418" s="3" t="s">
        <v>39</v>
      </c>
      <c r="I418" s="3" t="s">
        <v>826</v>
      </c>
    </row>
    <row r="419" customHeight="1" spans="1:9">
      <c r="A419" s="4" t="s">
        <v>827</v>
      </c>
      <c r="B419" s="4">
        <f>VLOOKUP($A419,[1]中含分析60315!$A:$M,8,0)</f>
        <v>45</v>
      </c>
      <c r="C419" s="4">
        <f>VLOOKUP($A419,[1]中含分析60315!$A:$M,9,0)</f>
        <v>44</v>
      </c>
      <c r="D419" s="4">
        <f>VLOOKUP($A419,[1]中含分析60315!$A:$M,10,0)</f>
        <v>43</v>
      </c>
      <c r="E419" s="4">
        <f>VLOOKUP($A419,[1]中含分析60315!$A:$M,11,0)</f>
        <v>42</v>
      </c>
      <c r="F419" s="4">
        <f>VLOOKUP($A419,[1]中含分析60315!$A:$M,12,0)</f>
        <v>42</v>
      </c>
      <c r="G419" s="4">
        <f>VLOOKUP($A419,[1]中含分析60315!$A:$M,13,0)</f>
        <v>41</v>
      </c>
      <c r="H419" s="3" t="s">
        <v>39</v>
      </c>
      <c r="I419" s="3" t="s">
        <v>828</v>
      </c>
    </row>
    <row r="420" customHeight="1" spans="1:9">
      <c r="A420" s="4" t="s">
        <v>829</v>
      </c>
      <c r="B420" s="4">
        <f>VLOOKUP($A420,[1]中含分析60315!$A:$M,8,0)</f>
        <v>48</v>
      </c>
      <c r="C420" s="4">
        <f>VLOOKUP($A420,[1]中含分析60315!$A:$M,9,0)</f>
        <v>46</v>
      </c>
      <c r="D420" s="4">
        <f>VLOOKUP($A420,[1]中含分析60315!$A:$M,10,0)</f>
        <v>45</v>
      </c>
      <c r="E420" s="4">
        <f>VLOOKUP($A420,[1]中含分析60315!$A:$M,11,0)</f>
        <v>43</v>
      </c>
      <c r="F420" s="4">
        <f>VLOOKUP($A420,[1]中含分析60315!$A:$M,12,0)</f>
        <v>41</v>
      </c>
      <c r="G420" s="4">
        <f>VLOOKUP($A420,[1]中含分析60315!$A:$M,13,0)</f>
        <v>39</v>
      </c>
      <c r="H420" s="3" t="s">
        <v>10</v>
      </c>
      <c r="I420" s="3" t="s">
        <v>830</v>
      </c>
    </row>
    <row r="421" customHeight="1" spans="1:9">
      <c r="A421" s="4" t="s">
        <v>831</v>
      </c>
      <c r="B421" s="4">
        <f>VLOOKUP($A421,[1]中含分析60315!$A:$M,8,0)</f>
        <v>62</v>
      </c>
      <c r="C421" s="4">
        <f>VLOOKUP($A421,[1]中含分析60315!$A:$M,9,0)</f>
        <v>61</v>
      </c>
      <c r="D421" s="4">
        <f>VLOOKUP($A421,[1]中含分析60315!$A:$M,10,0)</f>
        <v>60</v>
      </c>
      <c r="E421" s="4">
        <f>VLOOKUP($A421,[1]中含分析60315!$A:$M,11,0)</f>
        <v>59</v>
      </c>
      <c r="F421" s="4">
        <f>VLOOKUP($A421,[1]中含分析60315!$A:$M,12,0)</f>
        <v>58</v>
      </c>
      <c r="G421" s="4">
        <f>VLOOKUP($A421,[1]中含分析60315!$A:$M,13,0)</f>
        <v>57</v>
      </c>
      <c r="H421" s="3" t="s">
        <v>39</v>
      </c>
      <c r="I421" s="3" t="s">
        <v>832</v>
      </c>
    </row>
    <row r="422" customHeight="1" spans="1:9">
      <c r="A422" s="4" t="s">
        <v>833</v>
      </c>
      <c r="B422" s="4">
        <f>VLOOKUP($A422,[1]中含分析60315!$A:$M,8,0)</f>
        <v>58</v>
      </c>
      <c r="C422" s="4">
        <f>VLOOKUP($A422,[1]中含分析60315!$A:$M,9,0)</f>
        <v>57</v>
      </c>
      <c r="D422" s="4">
        <f>VLOOKUP($A422,[1]中含分析60315!$A:$M,10,0)</f>
        <v>56</v>
      </c>
      <c r="E422" s="4">
        <f>VLOOKUP($A422,[1]中含分析60315!$A:$M,11,0)</f>
        <v>55</v>
      </c>
      <c r="F422" s="4">
        <f>VLOOKUP($A422,[1]中含分析60315!$A:$M,12,0)</f>
        <v>54</v>
      </c>
      <c r="G422" s="4">
        <f>VLOOKUP($A422,[1]中含分析60315!$A:$M,13,0)</f>
        <v>53</v>
      </c>
      <c r="H422" s="3" t="s">
        <v>39</v>
      </c>
      <c r="I422" s="3" t="s">
        <v>616</v>
      </c>
    </row>
    <row r="423" customHeight="1" spans="1:9">
      <c r="A423" s="4" t="s">
        <v>834</v>
      </c>
      <c r="B423" s="4">
        <f>VLOOKUP($A423,[1]中含分析60315!$A:$M,8,0)</f>
        <v>45</v>
      </c>
      <c r="C423" s="4">
        <f>VLOOKUP($A423,[1]中含分析60315!$A:$M,9,0)</f>
        <v>44</v>
      </c>
      <c r="D423" s="4">
        <f>VLOOKUP($A423,[1]中含分析60315!$A:$M,10,0)</f>
        <v>43</v>
      </c>
      <c r="E423" s="4">
        <f>VLOOKUP($A423,[1]中含分析60315!$A:$M,11,0)</f>
        <v>42</v>
      </c>
      <c r="F423" s="4">
        <f>VLOOKUP($A423,[1]中含分析60315!$A:$M,12,0)</f>
        <v>42</v>
      </c>
      <c r="G423" s="4">
        <f>VLOOKUP($A423,[1]中含分析60315!$A:$M,13,0)</f>
        <v>41</v>
      </c>
      <c r="H423" s="3" t="s">
        <v>39</v>
      </c>
      <c r="I423" s="3" t="s">
        <v>828</v>
      </c>
    </row>
    <row r="424" customHeight="1" spans="1:9">
      <c r="A424" s="4" t="s">
        <v>835</v>
      </c>
      <c r="B424" s="4">
        <f>VLOOKUP($A424,[1]中含分析60315!$A:$M,8,0)</f>
        <v>66</v>
      </c>
      <c r="C424" s="4">
        <f>VLOOKUP($A424,[1]中含分析60315!$A:$M,9,0)</f>
        <v>64</v>
      </c>
      <c r="D424" s="4">
        <f>VLOOKUP($A424,[1]中含分析60315!$A:$M,10,0)</f>
        <v>63</v>
      </c>
      <c r="E424" s="4">
        <f>VLOOKUP($A424,[1]中含分析60315!$A:$M,11,0)</f>
        <v>62</v>
      </c>
      <c r="F424" s="4">
        <f>VLOOKUP($A424,[1]中含分析60315!$A:$M,12,0)</f>
        <v>62</v>
      </c>
      <c r="G424" s="4">
        <f>VLOOKUP($A424,[1]中含分析60315!$A:$M,13,0)</f>
        <v>61</v>
      </c>
      <c r="H424" s="3" t="s">
        <v>39</v>
      </c>
      <c r="I424" s="3" t="s">
        <v>836</v>
      </c>
    </row>
    <row r="425" customHeight="1" spans="1:9">
      <c r="A425" s="4" t="s">
        <v>837</v>
      </c>
      <c r="B425" s="4">
        <f>VLOOKUP($A425,[1]中含分析60315!$A:$M,8,0)</f>
        <v>52</v>
      </c>
      <c r="C425" s="4">
        <f>VLOOKUP($A425,[1]中含分析60315!$A:$M,9,0)</f>
        <v>52</v>
      </c>
      <c r="D425" s="4">
        <f>VLOOKUP($A425,[1]中含分析60315!$A:$M,10,0)</f>
        <v>51</v>
      </c>
      <c r="E425" s="4">
        <f>VLOOKUP($A425,[1]中含分析60315!$A:$M,11,0)</f>
        <v>50</v>
      </c>
      <c r="F425" s="4">
        <f>VLOOKUP($A425,[1]中含分析60315!$A:$M,12,0)</f>
        <v>49</v>
      </c>
      <c r="G425" s="4">
        <f>VLOOKUP($A425,[1]中含分析60315!$A:$M,13,0)</f>
        <v>49</v>
      </c>
      <c r="H425" s="3" t="s">
        <v>39</v>
      </c>
      <c r="I425" s="3" t="s">
        <v>838</v>
      </c>
    </row>
    <row r="426" customHeight="1" spans="1:9">
      <c r="A426" s="4" t="s">
        <v>839</v>
      </c>
      <c r="B426" s="4">
        <f>VLOOKUP($A426,[1]中含分析60315!$A:$M,8,0)</f>
        <v>45</v>
      </c>
      <c r="C426" s="4">
        <f>VLOOKUP($A426,[1]中含分析60315!$A:$M,9,0)</f>
        <v>44</v>
      </c>
      <c r="D426" s="4">
        <f>VLOOKUP($A426,[1]中含分析60315!$A:$M,10,0)</f>
        <v>43</v>
      </c>
      <c r="E426" s="4">
        <f>VLOOKUP($A426,[1]中含分析60315!$A:$M,11,0)</f>
        <v>42</v>
      </c>
      <c r="F426" s="4">
        <f>VLOOKUP($A426,[1]中含分析60315!$A:$M,12,0)</f>
        <v>42</v>
      </c>
      <c r="G426" s="4">
        <f>VLOOKUP($A426,[1]中含分析60315!$A:$M,13,0)</f>
        <v>41</v>
      </c>
      <c r="H426" s="3" t="s">
        <v>39</v>
      </c>
      <c r="I426" s="3" t="s">
        <v>828</v>
      </c>
    </row>
    <row r="427" customHeight="1" spans="1:9">
      <c r="A427" s="4" t="s">
        <v>840</v>
      </c>
      <c r="B427" s="4">
        <f>VLOOKUP($A427,[1]中含分析60315!$A:$M,8,0)</f>
        <v>46</v>
      </c>
      <c r="C427" s="4">
        <f>VLOOKUP($A427,[1]中含分析60315!$A:$M,9,0)</f>
        <v>45</v>
      </c>
      <c r="D427" s="4">
        <f>VLOOKUP($A427,[1]中含分析60315!$A:$M,10,0)</f>
        <v>44</v>
      </c>
      <c r="E427" s="4">
        <f>VLOOKUP($A427,[1]中含分析60315!$A:$M,11,0)</f>
        <v>44</v>
      </c>
      <c r="F427" s="4">
        <f>VLOOKUP($A427,[1]中含分析60315!$A:$M,12,0)</f>
        <v>43</v>
      </c>
      <c r="G427" s="4">
        <f>VLOOKUP($A427,[1]中含分析60315!$A:$M,13,0)</f>
        <v>42</v>
      </c>
      <c r="H427" s="3" t="s">
        <v>39</v>
      </c>
      <c r="I427" s="3" t="s">
        <v>841</v>
      </c>
    </row>
    <row r="428" customHeight="1" spans="1:9">
      <c r="A428" s="4" t="s">
        <v>842</v>
      </c>
      <c r="B428" s="4">
        <f>VLOOKUP($A428,[1]中含分析60315!$A:$M,8,0)</f>
        <v>50</v>
      </c>
      <c r="C428" s="4">
        <f>VLOOKUP($A428,[1]中含分析60315!$A:$M,9,0)</f>
        <v>49</v>
      </c>
      <c r="D428" s="4">
        <f>VLOOKUP($A428,[1]中含分析60315!$A:$M,10,0)</f>
        <v>48</v>
      </c>
      <c r="E428" s="4">
        <f>VLOOKUP($A428,[1]中含分析60315!$A:$M,11,0)</f>
        <v>47</v>
      </c>
      <c r="F428" s="4">
        <f>VLOOKUP($A428,[1]中含分析60315!$A:$M,12,0)</f>
        <v>47</v>
      </c>
      <c r="G428" s="4">
        <f>VLOOKUP($A428,[1]中含分析60315!$A:$M,13,0)</f>
        <v>46</v>
      </c>
      <c r="H428" s="3" t="s">
        <v>39</v>
      </c>
      <c r="I428" s="3" t="s">
        <v>843</v>
      </c>
    </row>
    <row r="429" customHeight="1" spans="1:9">
      <c r="A429" s="4" t="s">
        <v>844</v>
      </c>
      <c r="B429" s="4">
        <f>VLOOKUP($A429,[1]中含分析60315!$A:$M,8,0)</f>
        <v>62</v>
      </c>
      <c r="C429" s="4">
        <f>VLOOKUP($A429,[1]中含分析60315!$A:$M,9,0)</f>
        <v>61</v>
      </c>
      <c r="D429" s="4">
        <f>VLOOKUP($A429,[1]中含分析60315!$A:$M,10,0)</f>
        <v>60</v>
      </c>
      <c r="E429" s="4">
        <f>VLOOKUP($A429,[1]中含分析60315!$A:$M,11,0)</f>
        <v>59</v>
      </c>
      <c r="F429" s="4">
        <f>VLOOKUP($A429,[1]中含分析60315!$A:$M,12,0)</f>
        <v>58</v>
      </c>
      <c r="G429" s="4">
        <f>VLOOKUP($A429,[1]中含分析60315!$A:$M,13,0)</f>
        <v>57</v>
      </c>
      <c r="H429" s="3" t="s">
        <v>39</v>
      </c>
      <c r="I429" s="3" t="s">
        <v>845</v>
      </c>
    </row>
    <row r="430" customHeight="1" spans="1:9">
      <c r="A430" s="4" t="s">
        <v>846</v>
      </c>
      <c r="B430" s="4">
        <f>VLOOKUP($A430,[1]中含分析60315!$A:$M,8,0)</f>
        <v>66</v>
      </c>
      <c r="C430" s="4">
        <f>VLOOKUP($A430,[1]中含分析60315!$A:$M,9,0)</f>
        <v>65</v>
      </c>
      <c r="D430" s="4">
        <f>VLOOKUP($A430,[1]中含分析60315!$A:$M,10,0)</f>
        <v>64</v>
      </c>
      <c r="E430" s="4">
        <f>VLOOKUP($A430,[1]中含分析60315!$A:$M,11,0)</f>
        <v>62</v>
      </c>
      <c r="F430" s="4">
        <f>VLOOKUP($A430,[1]中含分析60315!$A:$M,12,0)</f>
        <v>62</v>
      </c>
      <c r="G430" s="4">
        <f>VLOOKUP($A430,[1]中含分析60315!$A:$M,13,0)</f>
        <v>61</v>
      </c>
      <c r="H430" s="3" t="s">
        <v>39</v>
      </c>
      <c r="I430" s="3" t="s">
        <v>847</v>
      </c>
    </row>
    <row r="431" customHeight="1" spans="1:9">
      <c r="A431" s="4" t="s">
        <v>848</v>
      </c>
      <c r="B431" s="4">
        <f>VLOOKUP($A431,[1]中含分析60315!$A:$M,8,0)</f>
        <v>54</v>
      </c>
      <c r="C431" s="4">
        <f>VLOOKUP($A431,[1]中含分析60315!$A:$M,9,0)</f>
        <v>53</v>
      </c>
      <c r="D431" s="4">
        <f>VLOOKUP($A431,[1]中含分析60315!$A:$M,10,0)</f>
        <v>52</v>
      </c>
      <c r="E431" s="4">
        <f>VLOOKUP($A431,[1]中含分析60315!$A:$M,11,0)</f>
        <v>51</v>
      </c>
      <c r="F431" s="4">
        <f>VLOOKUP($A431,[1]中含分析60315!$A:$M,12,0)</f>
        <v>51</v>
      </c>
      <c r="G431" s="4">
        <f>VLOOKUP($A431,[1]中含分析60315!$A:$M,13,0)</f>
        <v>50</v>
      </c>
      <c r="H431" s="3" t="s">
        <v>39</v>
      </c>
      <c r="I431" s="3" t="s">
        <v>849</v>
      </c>
    </row>
    <row r="432" customHeight="1" spans="1:9">
      <c r="A432" s="4" t="s">
        <v>850</v>
      </c>
      <c r="B432" s="4">
        <f>VLOOKUP($A432,[1]中含分析60315!$A:$M,8,0)</f>
        <v>63</v>
      </c>
      <c r="C432" s="4">
        <f>VLOOKUP($A432,[1]中含分析60315!$A:$M,9,0)</f>
        <v>62</v>
      </c>
      <c r="D432" s="4">
        <f>VLOOKUP($A432,[1]中含分析60315!$A:$M,10,0)</f>
        <v>61</v>
      </c>
      <c r="E432" s="4">
        <f>VLOOKUP($A432,[1]中含分析60315!$A:$M,11,0)</f>
        <v>60</v>
      </c>
      <c r="F432" s="4">
        <f>VLOOKUP($A432,[1]中含分析60315!$A:$M,12,0)</f>
        <v>60</v>
      </c>
      <c r="G432" s="4">
        <f>VLOOKUP($A432,[1]中含分析60315!$A:$M,13,0)</f>
        <v>59</v>
      </c>
      <c r="H432" s="3" t="s">
        <v>39</v>
      </c>
      <c r="I432" s="3" t="s">
        <v>851</v>
      </c>
    </row>
    <row r="433" customHeight="1" spans="1:9">
      <c r="A433" s="4" t="s">
        <v>852</v>
      </c>
      <c r="B433" s="4">
        <f>VLOOKUP($A433,[1]中含分析60315!$A:$M,8,0)</f>
        <v>52</v>
      </c>
      <c r="C433" s="4">
        <f>VLOOKUP($A433,[1]中含分析60315!$A:$M,9,0)</f>
        <v>52</v>
      </c>
      <c r="D433" s="4">
        <f>VLOOKUP($A433,[1]中含分析60315!$A:$M,10,0)</f>
        <v>51</v>
      </c>
      <c r="E433" s="4">
        <f>VLOOKUP($A433,[1]中含分析60315!$A:$M,11,0)</f>
        <v>50</v>
      </c>
      <c r="F433" s="4">
        <f>VLOOKUP($A433,[1]中含分析60315!$A:$M,12,0)</f>
        <v>49</v>
      </c>
      <c r="G433" s="4">
        <f>VLOOKUP($A433,[1]中含分析60315!$A:$M,13,0)</f>
        <v>49</v>
      </c>
      <c r="H433" s="3" t="s">
        <v>39</v>
      </c>
      <c r="I433" s="3" t="s">
        <v>853</v>
      </c>
    </row>
    <row r="434" customHeight="1" spans="1:9">
      <c r="A434" s="4" t="s">
        <v>854</v>
      </c>
      <c r="B434" s="4">
        <f>VLOOKUP($A434,[1]中含分析60315!$A:$M,8,0)</f>
        <v>47</v>
      </c>
      <c r="C434" s="4">
        <f>VLOOKUP($A434,[1]中含分析60315!$A:$M,9,0)</f>
        <v>46</v>
      </c>
      <c r="D434" s="4">
        <f>VLOOKUP($A434,[1]中含分析60315!$A:$M,10,0)</f>
        <v>44</v>
      </c>
      <c r="E434" s="4">
        <f>VLOOKUP($A434,[1]中含分析60315!$A:$M,11,0)</f>
        <v>42</v>
      </c>
      <c r="F434" s="4">
        <f>VLOOKUP($A434,[1]中含分析60315!$A:$M,12,0)</f>
        <v>40</v>
      </c>
      <c r="G434" s="4">
        <f>VLOOKUP($A434,[1]中含分析60315!$A:$M,13,0)</f>
        <v>39</v>
      </c>
      <c r="H434" s="3" t="s">
        <v>10</v>
      </c>
      <c r="I434" s="3" t="s">
        <v>855</v>
      </c>
    </row>
    <row r="435" customHeight="1" spans="1:9">
      <c r="A435" s="5" t="s">
        <v>856</v>
      </c>
      <c r="B435" s="4">
        <f>VLOOKUP($A435,[1]中含分析60315!$A:$M,8,0)</f>
        <v>57</v>
      </c>
      <c r="C435" s="4">
        <f>VLOOKUP($A435,[1]中含分析60315!$A:$M,9,0)</f>
        <v>56</v>
      </c>
      <c r="D435" s="4">
        <f>VLOOKUP($A435,[1]中含分析60315!$A:$M,10,0)</f>
        <v>55</v>
      </c>
      <c r="E435" s="4">
        <f>VLOOKUP($A435,[1]中含分析60315!$A:$M,11,0)</f>
        <v>54</v>
      </c>
      <c r="F435" s="4">
        <f>VLOOKUP($A435,[1]中含分析60315!$A:$M,12,0)</f>
        <v>53</v>
      </c>
      <c r="G435" s="4">
        <f>VLOOKUP($A435,[1]中含分析60315!$A:$M,13,0)</f>
        <v>52</v>
      </c>
      <c r="H435" s="3" t="s">
        <v>39</v>
      </c>
      <c r="I435" s="3" t="s">
        <v>857</v>
      </c>
    </row>
    <row r="436" customHeight="1" spans="1:9">
      <c r="A436" s="5" t="s">
        <v>858</v>
      </c>
      <c r="B436" s="4">
        <f>VLOOKUP($A436,[1]中含分析60315!$A:$M,8,0)</f>
        <v>35</v>
      </c>
      <c r="C436" s="4">
        <f>VLOOKUP($A436,[1]中含分析60315!$A:$M,9,0)</f>
        <v>33</v>
      </c>
      <c r="D436" s="4">
        <f>VLOOKUP($A436,[1]中含分析60315!$A:$M,10,0)</f>
        <v>32</v>
      </c>
      <c r="E436" s="4">
        <f>VLOOKUP($A436,[1]中含分析60315!$A:$M,11,0)</f>
        <v>31</v>
      </c>
      <c r="F436" s="4">
        <f>VLOOKUP($A436,[1]中含分析60315!$A:$M,12,0)</f>
        <v>30</v>
      </c>
      <c r="G436" s="4">
        <f>VLOOKUP($A436,[1]中含分析60315!$A:$M,13,0)</f>
        <v>28</v>
      </c>
      <c r="H436" s="3" t="s">
        <v>10</v>
      </c>
      <c r="I436" s="3" t="s">
        <v>859</v>
      </c>
    </row>
    <row r="437" customHeight="1" spans="1:9">
      <c r="A437" s="5" t="s">
        <v>860</v>
      </c>
      <c r="B437" s="4">
        <f>VLOOKUP($A437,[1]中含分析60315!$A:$M,8,0)</f>
        <v>49</v>
      </c>
      <c r="C437" s="4">
        <f>VLOOKUP($A437,[1]中含分析60315!$A:$M,9,0)</f>
        <v>47</v>
      </c>
      <c r="D437" s="4">
        <f>VLOOKUP($A437,[1]中含分析60315!$A:$M,10,0)</f>
        <v>46</v>
      </c>
      <c r="E437" s="4">
        <f>VLOOKUP($A437,[1]中含分析60315!$A:$M,11,0)</f>
        <v>44</v>
      </c>
      <c r="F437" s="4">
        <f>VLOOKUP($A437,[1]中含分析60315!$A:$M,12,0)</f>
        <v>42</v>
      </c>
      <c r="G437" s="4">
        <f>VLOOKUP($A437,[1]中含分析60315!$A:$M,13,0)</f>
        <v>40</v>
      </c>
      <c r="H437" s="3" t="s">
        <v>10</v>
      </c>
      <c r="I437" s="3" t="s">
        <v>861</v>
      </c>
    </row>
    <row r="438" customHeight="1" spans="1:9">
      <c r="A438" s="5" t="s">
        <v>862</v>
      </c>
      <c r="B438" s="4">
        <f>VLOOKUP($A438,[1]中含分析60315!$A:$M,8,0)</f>
        <v>50</v>
      </c>
      <c r="C438" s="4">
        <f>VLOOKUP($A438,[1]中含分析60315!$A:$M,9,0)</f>
        <v>48</v>
      </c>
      <c r="D438" s="4">
        <f>VLOOKUP($A438,[1]中含分析60315!$A:$M,10,0)</f>
        <v>46</v>
      </c>
      <c r="E438" s="4">
        <f>VLOOKUP($A438,[1]中含分析60315!$A:$M,11,0)</f>
        <v>44</v>
      </c>
      <c r="F438" s="4">
        <f>VLOOKUP($A438,[1]中含分析60315!$A:$M,12,0)</f>
        <v>42</v>
      </c>
      <c r="G438" s="4">
        <f>VLOOKUP($A438,[1]中含分析60315!$A:$M,13,0)</f>
        <v>40</v>
      </c>
      <c r="H438" s="3" t="s">
        <v>10</v>
      </c>
      <c r="I438" s="3" t="s">
        <v>863</v>
      </c>
    </row>
    <row r="439" customHeight="1" spans="1:9">
      <c r="A439" s="5" t="s">
        <v>864</v>
      </c>
      <c r="B439" s="4">
        <f>VLOOKUP($A439,[1]中含分析60315!$A:$M,8,0)</f>
        <v>59</v>
      </c>
      <c r="C439" s="4">
        <f>VLOOKUP($A439,[1]中含分析60315!$A:$M,9,0)</f>
        <v>58</v>
      </c>
      <c r="D439" s="4">
        <f>VLOOKUP($A439,[1]中含分析60315!$A:$M,10,0)</f>
        <v>57</v>
      </c>
      <c r="E439" s="4">
        <f>VLOOKUP($A439,[1]中含分析60315!$A:$M,11,0)</f>
        <v>56</v>
      </c>
      <c r="F439" s="4">
        <f>VLOOKUP($A439,[1]中含分析60315!$A:$M,12,0)</f>
        <v>56</v>
      </c>
      <c r="G439" s="4">
        <f>VLOOKUP($A439,[1]中含分析60315!$A:$M,13,0)</f>
        <v>55</v>
      </c>
      <c r="H439" s="3" t="s">
        <v>39</v>
      </c>
      <c r="I439" s="3" t="s">
        <v>865</v>
      </c>
    </row>
    <row r="440" customHeight="1" spans="1:9">
      <c r="A440" s="5" t="s">
        <v>866</v>
      </c>
      <c r="B440" s="4">
        <f>VLOOKUP($A440,[1]中含分析60315!$A:$M,8,0)</f>
        <v>55</v>
      </c>
      <c r="C440" s="4">
        <f>VLOOKUP($A440,[1]中含分析60315!$A:$M,9,0)</f>
        <v>54</v>
      </c>
      <c r="D440" s="4">
        <f>VLOOKUP($A440,[1]中含分析60315!$A:$M,10,0)</f>
        <v>53</v>
      </c>
      <c r="E440" s="4">
        <f>VLOOKUP($A440,[1]中含分析60315!$A:$M,11,0)</f>
        <v>52</v>
      </c>
      <c r="F440" s="4">
        <f>VLOOKUP($A440,[1]中含分析60315!$A:$M,12,0)</f>
        <v>52</v>
      </c>
      <c r="G440" s="4">
        <f>VLOOKUP($A440,[1]中含分析60315!$A:$M,13,0)</f>
        <v>51</v>
      </c>
      <c r="H440" s="3" t="s">
        <v>39</v>
      </c>
      <c r="I440" s="3" t="s">
        <v>867</v>
      </c>
    </row>
    <row r="441" customHeight="1" spans="1:9">
      <c r="A441" s="5" t="s">
        <v>868</v>
      </c>
      <c r="B441" s="4">
        <f>VLOOKUP($A441,[1]中含分析60315!$A:$M,8,0)</f>
        <v>50</v>
      </c>
      <c r="C441" s="4">
        <f>VLOOKUP($A441,[1]中含分析60315!$A:$M,9,0)</f>
        <v>48</v>
      </c>
      <c r="D441" s="4">
        <f>VLOOKUP($A441,[1]中含分析60315!$A:$M,10,0)</f>
        <v>46</v>
      </c>
      <c r="E441" s="4">
        <f>VLOOKUP($A441,[1]中含分析60315!$A:$M,11,0)</f>
        <v>44</v>
      </c>
      <c r="F441" s="4">
        <f>VLOOKUP($A441,[1]中含分析60315!$A:$M,12,0)</f>
        <v>43</v>
      </c>
      <c r="G441" s="4">
        <f>VLOOKUP($A441,[1]中含分析60315!$A:$M,13,0)</f>
        <v>41</v>
      </c>
      <c r="H441" s="3" t="s">
        <v>10</v>
      </c>
      <c r="I441" s="3" t="s">
        <v>869</v>
      </c>
    </row>
    <row r="442" customHeight="1" spans="1:9">
      <c r="A442" s="5" t="s">
        <v>870</v>
      </c>
      <c r="B442" s="4">
        <f>VLOOKUP($A442,[1]中含分析60315!$A:$M,8,0)</f>
        <v>52</v>
      </c>
      <c r="C442" s="4">
        <f>VLOOKUP($A442,[1]中含分析60315!$A:$M,9,0)</f>
        <v>52</v>
      </c>
      <c r="D442" s="4">
        <f>VLOOKUP($A442,[1]中含分析60315!$A:$M,10,0)</f>
        <v>51</v>
      </c>
      <c r="E442" s="4">
        <f>VLOOKUP($A442,[1]中含分析60315!$A:$M,11,0)</f>
        <v>50</v>
      </c>
      <c r="F442" s="4">
        <f>VLOOKUP($A442,[1]中含分析60315!$A:$M,12,0)</f>
        <v>49</v>
      </c>
      <c r="G442" s="4">
        <f>VLOOKUP($A442,[1]中含分析60315!$A:$M,13,0)</f>
        <v>49</v>
      </c>
      <c r="H442" s="3" t="s">
        <v>39</v>
      </c>
      <c r="I442" s="3" t="s">
        <v>871</v>
      </c>
    </row>
    <row r="443" customHeight="1" spans="1:9">
      <c r="A443" s="5" t="s">
        <v>872</v>
      </c>
      <c r="B443" s="4">
        <f>VLOOKUP($A443,[1]中含分析60315!$A:$M,8,0)</f>
        <v>52</v>
      </c>
      <c r="C443" s="4">
        <f>VLOOKUP($A443,[1]中含分析60315!$A:$M,9,0)</f>
        <v>52</v>
      </c>
      <c r="D443" s="4">
        <f>VLOOKUP($A443,[1]中含分析60315!$A:$M,10,0)</f>
        <v>51</v>
      </c>
      <c r="E443" s="4">
        <f>VLOOKUP($A443,[1]中含分析60315!$A:$M,11,0)</f>
        <v>50</v>
      </c>
      <c r="F443" s="4">
        <f>VLOOKUP($A443,[1]中含分析60315!$A:$M,12,0)</f>
        <v>49</v>
      </c>
      <c r="G443" s="4">
        <f>VLOOKUP($A443,[1]中含分析60315!$A:$M,13,0)</f>
        <v>49</v>
      </c>
      <c r="H443" s="3" t="s">
        <v>39</v>
      </c>
      <c r="I443" s="3" t="s">
        <v>873</v>
      </c>
    </row>
    <row r="444" customHeight="1" spans="1:9">
      <c r="A444" s="5" t="s">
        <v>874</v>
      </c>
      <c r="B444" s="4">
        <f>VLOOKUP($A444,[1]中含分析60315!$A:$M,8,0)</f>
        <v>42</v>
      </c>
      <c r="C444" s="4">
        <f>VLOOKUP($A444,[1]中含分析60315!$A:$M,9,0)</f>
        <v>41</v>
      </c>
      <c r="D444" s="4">
        <f>VLOOKUP($A444,[1]中含分析60315!$A:$M,10,0)</f>
        <v>39</v>
      </c>
      <c r="E444" s="4">
        <f>VLOOKUP($A444,[1]中含分析60315!$A:$M,11,0)</f>
        <v>38</v>
      </c>
      <c r="F444" s="4">
        <f>VLOOKUP($A444,[1]中含分析60315!$A:$M,12,0)</f>
        <v>36</v>
      </c>
      <c r="G444" s="4">
        <f>VLOOKUP($A444,[1]中含分析60315!$A:$M,13,0)</f>
        <v>34</v>
      </c>
      <c r="H444" s="3" t="s">
        <v>10</v>
      </c>
      <c r="I444" s="3" t="s">
        <v>875</v>
      </c>
    </row>
    <row r="445" customHeight="1" spans="1:9">
      <c r="A445" s="5" t="s">
        <v>876</v>
      </c>
      <c r="B445" s="4">
        <f>VLOOKUP($A445,[1]中含分析60315!$A:$M,8,0)</f>
        <v>49</v>
      </c>
      <c r="C445" s="4">
        <f>VLOOKUP($A445,[1]中含分析60315!$A:$M,9,0)</f>
        <v>47</v>
      </c>
      <c r="D445" s="4">
        <f>VLOOKUP($A445,[1]中含分析60315!$A:$M,10,0)</f>
        <v>45</v>
      </c>
      <c r="E445" s="4">
        <f>VLOOKUP($A445,[1]中含分析60315!$A:$M,11,0)</f>
        <v>43</v>
      </c>
      <c r="F445" s="4">
        <f>VLOOKUP($A445,[1]中含分析60315!$A:$M,12,0)</f>
        <v>42</v>
      </c>
      <c r="G445" s="4">
        <f>VLOOKUP($A445,[1]中含分析60315!$A:$M,13,0)</f>
        <v>40</v>
      </c>
      <c r="H445" s="3" t="s">
        <v>10</v>
      </c>
      <c r="I445" s="3" t="s">
        <v>877</v>
      </c>
    </row>
    <row r="446" customHeight="1" spans="1:9">
      <c r="A446" s="5" t="s">
        <v>878</v>
      </c>
      <c r="B446" s="4">
        <f>VLOOKUP($A446,[1]中含分析60315!$A:$M,8,0)</f>
        <v>35</v>
      </c>
      <c r="C446" s="4">
        <f>VLOOKUP($A446,[1]中含分析60315!$A:$M,9,0)</f>
        <v>34</v>
      </c>
      <c r="D446" s="4">
        <f>VLOOKUP($A446,[1]中含分析60315!$A:$M,10,0)</f>
        <v>32</v>
      </c>
      <c r="E446" s="4">
        <f>VLOOKUP($A446,[1]中含分析60315!$A:$M,11,0)</f>
        <v>31</v>
      </c>
      <c r="F446" s="4">
        <f>VLOOKUP($A446,[1]中含分析60315!$A:$M,12,0)</f>
        <v>30</v>
      </c>
      <c r="G446" s="4">
        <f>VLOOKUP($A446,[1]中含分析60315!$A:$M,13,0)</f>
        <v>29</v>
      </c>
      <c r="H446" s="3" t="s">
        <v>10</v>
      </c>
      <c r="I446" s="3" t="s">
        <v>879</v>
      </c>
    </row>
    <row r="447" customHeight="1" spans="1:9">
      <c r="A447" s="5" t="s">
        <v>880</v>
      </c>
      <c r="B447" s="4">
        <f>VLOOKUP($A447,[1]中含分析60315!$A:$M,8,0)</f>
        <v>41</v>
      </c>
      <c r="C447" s="4">
        <f>VLOOKUP($A447,[1]中含分析60315!$A:$M,9,0)</f>
        <v>40</v>
      </c>
      <c r="D447" s="4">
        <f>VLOOKUP($A447,[1]中含分析60315!$A:$M,10,0)</f>
        <v>38</v>
      </c>
      <c r="E447" s="4">
        <f>VLOOKUP($A447,[1]中含分析60315!$A:$M,11,0)</f>
        <v>37</v>
      </c>
      <c r="F447" s="4">
        <f>VLOOKUP($A447,[1]中含分析60315!$A:$M,12,0)</f>
        <v>35</v>
      </c>
      <c r="G447" s="4">
        <f>VLOOKUP($A447,[1]中含分析60315!$A:$M,13,0)</f>
        <v>34</v>
      </c>
      <c r="H447" s="3" t="s">
        <v>10</v>
      </c>
      <c r="I447" s="3" t="s">
        <v>881</v>
      </c>
    </row>
    <row r="448" customHeight="1" spans="1:9">
      <c r="A448" s="5" t="s">
        <v>882</v>
      </c>
      <c r="B448" s="4">
        <f>VLOOKUP($A448,[1]中含分析60315!$A:$M,8,0)</f>
        <v>52</v>
      </c>
      <c r="C448" s="4">
        <f>VLOOKUP($A448,[1]中含分析60315!$A:$M,9,0)</f>
        <v>50</v>
      </c>
      <c r="D448" s="4">
        <f>VLOOKUP($A448,[1]中含分析60315!$A:$M,10,0)</f>
        <v>48</v>
      </c>
      <c r="E448" s="4">
        <f>VLOOKUP($A448,[1]中含分析60315!$A:$M,11,0)</f>
        <v>46</v>
      </c>
      <c r="F448" s="4">
        <f>VLOOKUP($A448,[1]中含分析60315!$A:$M,12,0)</f>
        <v>44</v>
      </c>
      <c r="G448" s="4">
        <f>VLOOKUP($A448,[1]中含分析60315!$A:$M,13,0)</f>
        <v>42</v>
      </c>
      <c r="H448" s="3" t="s">
        <v>10</v>
      </c>
      <c r="I448" s="3" t="s">
        <v>883</v>
      </c>
    </row>
    <row r="449" customHeight="1" spans="1:9">
      <c r="A449" s="4" t="s">
        <v>884</v>
      </c>
      <c r="B449" s="4">
        <f>VLOOKUP($A449,[1]中含分析60315!$A:$M,8,0)</f>
        <v>39</v>
      </c>
      <c r="C449" s="4">
        <f>VLOOKUP($A449,[1]中含分析60315!$A:$M,9,0)</f>
        <v>38</v>
      </c>
      <c r="D449" s="4">
        <f>VLOOKUP($A449,[1]中含分析60315!$A:$M,10,0)</f>
        <v>36</v>
      </c>
      <c r="E449" s="4">
        <f>VLOOKUP($A449,[1]中含分析60315!$A:$M,11,0)</f>
        <v>35</v>
      </c>
      <c r="F449" s="4">
        <f>VLOOKUP($A449,[1]中含分析60315!$A:$M,12,0)</f>
        <v>34</v>
      </c>
      <c r="G449" s="4">
        <f>VLOOKUP($A449,[1]中含分析60315!$A:$M,13,0)</f>
        <v>32</v>
      </c>
      <c r="H449" s="3" t="s">
        <v>10</v>
      </c>
      <c r="I449" s="3" t="s">
        <v>885</v>
      </c>
    </row>
    <row r="450" customHeight="1" spans="1:9">
      <c r="A450" s="4" t="s">
        <v>886</v>
      </c>
      <c r="B450" s="4">
        <f>VLOOKUP($A450,[1]中含分析60315!$A:$M,8,0)</f>
        <v>39</v>
      </c>
      <c r="C450" s="4">
        <f>VLOOKUP($A450,[1]中含分析60315!$A:$M,9,0)</f>
        <v>39</v>
      </c>
      <c r="D450" s="4">
        <f>VLOOKUP($A450,[1]中含分析60315!$A:$M,10,0)</f>
        <v>38</v>
      </c>
      <c r="E450" s="4">
        <f>VLOOKUP($A450,[1]中含分析60315!$A:$M,11,0)</f>
        <v>37</v>
      </c>
      <c r="F450" s="4">
        <f>VLOOKUP($A450,[1]中含分析60315!$A:$M,12,0)</f>
        <v>37</v>
      </c>
      <c r="G450" s="4">
        <f>VLOOKUP($A450,[1]中含分析60315!$A:$M,13,0)</f>
        <v>36</v>
      </c>
      <c r="H450" s="3" t="s">
        <v>39</v>
      </c>
      <c r="I450" s="3" t="s">
        <v>887</v>
      </c>
    </row>
    <row r="451" customHeight="1" spans="1:9">
      <c r="A451" s="4" t="s">
        <v>888</v>
      </c>
      <c r="B451" s="4">
        <f>VLOOKUP($A451,[1]中含分析60315!$A:$M,8,0)</f>
        <v>39</v>
      </c>
      <c r="C451" s="4">
        <f>VLOOKUP($A451,[1]中含分析60315!$A:$M,9,0)</f>
        <v>39</v>
      </c>
      <c r="D451" s="4">
        <f>VLOOKUP($A451,[1]中含分析60315!$A:$M,10,0)</f>
        <v>38</v>
      </c>
      <c r="E451" s="4">
        <f>VLOOKUP($A451,[1]中含分析60315!$A:$M,11,0)</f>
        <v>37</v>
      </c>
      <c r="F451" s="4">
        <f>VLOOKUP($A451,[1]中含分析60315!$A:$M,12,0)</f>
        <v>37</v>
      </c>
      <c r="G451" s="4">
        <f>VLOOKUP($A451,[1]中含分析60315!$A:$M,13,0)</f>
        <v>36</v>
      </c>
      <c r="H451" s="3" t="s">
        <v>39</v>
      </c>
      <c r="I451" s="3" t="s">
        <v>889</v>
      </c>
    </row>
    <row r="452" customHeight="1" spans="1:9">
      <c r="A452" s="4" t="s">
        <v>890</v>
      </c>
      <c r="B452" s="4">
        <f>VLOOKUP($A452,[1]中含分析60315!$A:$M,8,0)</f>
        <v>28</v>
      </c>
      <c r="C452" s="4">
        <f>VLOOKUP($A452,[1]中含分析60315!$A:$M,9,0)</f>
        <v>27</v>
      </c>
      <c r="D452" s="4">
        <f>VLOOKUP($A452,[1]中含分析60315!$A:$M,10,0)</f>
        <v>26</v>
      </c>
      <c r="E452" s="4">
        <f>VLOOKUP($A452,[1]中含分析60315!$A:$M,11,0)</f>
        <v>25</v>
      </c>
      <c r="F452" s="4">
        <f>VLOOKUP($A452,[1]中含分析60315!$A:$M,12,0)</f>
        <v>24</v>
      </c>
      <c r="G452" s="4">
        <f>VLOOKUP($A452,[1]中含分析60315!$A:$M,13,0)</f>
        <v>23</v>
      </c>
      <c r="H452" s="3" t="s">
        <v>10</v>
      </c>
      <c r="I452" s="3" t="s">
        <v>891</v>
      </c>
    </row>
    <row r="453" customHeight="1" spans="1:9">
      <c r="A453" s="4" t="s">
        <v>892</v>
      </c>
      <c r="B453" s="4">
        <f>VLOOKUP($A453,[1]中含分析60315!$A:$M,8,0)</f>
        <v>36</v>
      </c>
      <c r="C453" s="4">
        <f>VLOOKUP($A453,[1]中含分析60315!$A:$M,9,0)</f>
        <v>35</v>
      </c>
      <c r="D453" s="4">
        <f>VLOOKUP($A453,[1]中含分析60315!$A:$M,10,0)</f>
        <v>33</v>
      </c>
      <c r="E453" s="4">
        <f>VLOOKUP($A453,[1]中含分析60315!$A:$M,11,0)</f>
        <v>32</v>
      </c>
      <c r="F453" s="4">
        <f>VLOOKUP($A453,[1]中含分析60315!$A:$M,12,0)</f>
        <v>31</v>
      </c>
      <c r="G453" s="4">
        <f>VLOOKUP($A453,[1]中含分析60315!$A:$M,13,0)</f>
        <v>30</v>
      </c>
      <c r="H453" s="3" t="s">
        <v>10</v>
      </c>
      <c r="I453" s="3" t="s">
        <v>893</v>
      </c>
    </row>
    <row r="454" customHeight="1" spans="1:9">
      <c r="A454" s="4" t="s">
        <v>894</v>
      </c>
      <c r="B454" s="4">
        <f>VLOOKUP($A454,[1]中含分析60315!$A:$M,8,0)</f>
        <v>33</v>
      </c>
      <c r="C454" s="4">
        <f>VLOOKUP($A454,[1]中含分析60315!$A:$M,9,0)</f>
        <v>32</v>
      </c>
      <c r="D454" s="4">
        <f>VLOOKUP($A454,[1]中含分析60315!$A:$M,10,0)</f>
        <v>32</v>
      </c>
      <c r="E454" s="4">
        <f>VLOOKUP($A454,[1]中含分析60315!$A:$M,11,0)</f>
        <v>31</v>
      </c>
      <c r="F454" s="4">
        <f>VLOOKUP($A454,[1]中含分析60315!$A:$M,12,0)</f>
        <v>31</v>
      </c>
      <c r="G454" s="4">
        <f>VLOOKUP($A454,[1]中含分析60315!$A:$M,13,0)</f>
        <v>30</v>
      </c>
      <c r="H454" s="3" t="s">
        <v>39</v>
      </c>
      <c r="I454" s="3" t="s">
        <v>895</v>
      </c>
    </row>
    <row r="455" customHeight="1" spans="1:9">
      <c r="A455" s="4" t="s">
        <v>896</v>
      </c>
      <c r="B455" s="4">
        <f>VLOOKUP($A455,[1]中含分析60315!$A:$M,8,0)</f>
        <v>88</v>
      </c>
      <c r="C455" s="4">
        <f>VLOOKUP($A455,[1]中含分析60315!$A:$M,9,0)</f>
        <v>86</v>
      </c>
      <c r="D455" s="4">
        <f>VLOOKUP($A455,[1]中含分析60315!$A:$M,10,0)</f>
        <v>85</v>
      </c>
      <c r="E455" s="4">
        <f>VLOOKUP($A455,[1]中含分析60315!$A:$M,11,0)</f>
        <v>83</v>
      </c>
      <c r="F455" s="4">
        <f>VLOOKUP($A455,[1]中含分析60315!$A:$M,12,0)</f>
        <v>83</v>
      </c>
      <c r="G455" s="4">
        <f>VLOOKUP($A455,[1]中含分析60315!$A:$M,13,0)</f>
        <v>81</v>
      </c>
      <c r="H455" s="3" t="s">
        <v>39</v>
      </c>
      <c r="I455" s="3" t="s">
        <v>897</v>
      </c>
    </row>
    <row r="456" customHeight="1" spans="1:9">
      <c r="A456" s="4" t="s">
        <v>898</v>
      </c>
      <c r="B456" s="4">
        <f>VLOOKUP($A456,[1]中含分析60315!$A:$M,8,0)</f>
        <v>51</v>
      </c>
      <c r="C456" s="4">
        <f>VLOOKUP($A456,[1]中含分析60315!$A:$M,9,0)</f>
        <v>49</v>
      </c>
      <c r="D456" s="4">
        <f>VLOOKUP($A456,[1]中含分析60315!$A:$M,10,0)</f>
        <v>48</v>
      </c>
      <c r="E456" s="4">
        <f>VLOOKUP($A456,[1]中含分析60315!$A:$M,11,0)</f>
        <v>46</v>
      </c>
      <c r="F456" s="4">
        <f>VLOOKUP($A456,[1]中含分析60315!$A:$M,12,0)</f>
        <v>44</v>
      </c>
      <c r="G456" s="4">
        <f>VLOOKUP($A456,[1]中含分析60315!$A:$M,13,0)</f>
        <v>42</v>
      </c>
      <c r="H456" s="3" t="s">
        <v>10</v>
      </c>
      <c r="I456" s="3" t="s">
        <v>899</v>
      </c>
    </row>
    <row r="457" customHeight="1" spans="1:9">
      <c r="A457" s="4" t="s">
        <v>900</v>
      </c>
      <c r="B457" s="4">
        <f>VLOOKUP($A457,[1]中含分析60315!$A:$M,8,0)</f>
        <v>50</v>
      </c>
      <c r="C457" s="4">
        <f>VLOOKUP($A457,[1]中含分析60315!$A:$M,9,0)</f>
        <v>48</v>
      </c>
      <c r="D457" s="4">
        <f>VLOOKUP($A457,[1]中含分析60315!$A:$M,10,0)</f>
        <v>46</v>
      </c>
      <c r="E457" s="4">
        <f>VLOOKUP($A457,[1]中含分析60315!$A:$M,11,0)</f>
        <v>44</v>
      </c>
      <c r="F457" s="4">
        <f>VLOOKUP($A457,[1]中含分析60315!$A:$M,12,0)</f>
        <v>43</v>
      </c>
      <c r="G457" s="4">
        <f>VLOOKUP($A457,[1]中含分析60315!$A:$M,13,0)</f>
        <v>41</v>
      </c>
      <c r="H457" s="3" t="s">
        <v>10</v>
      </c>
      <c r="I457" s="3" t="s">
        <v>901</v>
      </c>
    </row>
    <row r="458" customHeight="1" spans="1:9">
      <c r="A458" s="4" t="s">
        <v>902</v>
      </c>
      <c r="B458" s="4">
        <f>VLOOKUP($A458,[1]中含分析60315!$A:$M,8,0)</f>
        <v>62</v>
      </c>
      <c r="C458" s="4">
        <f>VLOOKUP($A458,[1]中含分析60315!$A:$M,9,0)</f>
        <v>61</v>
      </c>
      <c r="D458" s="4">
        <f>VLOOKUP($A458,[1]中含分析60315!$A:$M,10,0)</f>
        <v>60</v>
      </c>
      <c r="E458" s="4">
        <f>VLOOKUP($A458,[1]中含分析60315!$A:$M,11,0)</f>
        <v>59</v>
      </c>
      <c r="F458" s="4">
        <f>VLOOKUP($A458,[1]中含分析60315!$A:$M,12,0)</f>
        <v>58</v>
      </c>
      <c r="G458" s="4">
        <f>VLOOKUP($A458,[1]中含分析60315!$A:$M,13,0)</f>
        <v>57</v>
      </c>
      <c r="H458" s="3" t="s">
        <v>39</v>
      </c>
      <c r="I458" s="3" t="s">
        <v>903</v>
      </c>
    </row>
    <row r="459" customHeight="1" spans="1:9">
      <c r="A459" s="4" t="s">
        <v>904</v>
      </c>
      <c r="B459" s="4">
        <f>VLOOKUP($A459,[1]中含分析60315!$A:$M,8,0)</f>
        <v>43</v>
      </c>
      <c r="C459" s="4">
        <f>VLOOKUP($A459,[1]中含分析60315!$A:$M,9,0)</f>
        <v>42</v>
      </c>
      <c r="D459" s="4">
        <f>VLOOKUP($A459,[1]中含分析60315!$A:$M,10,0)</f>
        <v>40</v>
      </c>
      <c r="E459" s="4">
        <f>VLOOKUP($A459,[1]中含分析60315!$A:$M,11,0)</f>
        <v>39</v>
      </c>
      <c r="F459" s="4">
        <f>VLOOKUP($A459,[1]中含分析60315!$A:$M,12,0)</f>
        <v>37</v>
      </c>
      <c r="G459" s="4">
        <f>VLOOKUP($A459,[1]中含分析60315!$A:$M,13,0)</f>
        <v>35</v>
      </c>
      <c r="H459" s="3" t="s">
        <v>10</v>
      </c>
      <c r="I459" s="3" t="s">
        <v>905</v>
      </c>
    </row>
    <row r="460" customHeight="1" spans="1:9">
      <c r="A460" s="4" t="s">
        <v>906</v>
      </c>
      <c r="B460" s="4">
        <f>VLOOKUP($A460,[1]中含分析60315!$A:$M,8,0)</f>
        <v>32</v>
      </c>
      <c r="C460" s="4">
        <f>VLOOKUP($A460,[1]中含分析60315!$A:$M,9,0)</f>
        <v>31</v>
      </c>
      <c r="D460" s="4">
        <f>VLOOKUP($A460,[1]中含分析60315!$A:$M,10,0)</f>
        <v>30</v>
      </c>
      <c r="E460" s="4">
        <f>VLOOKUP($A460,[1]中含分析60315!$A:$M,11,0)</f>
        <v>29</v>
      </c>
      <c r="F460" s="4">
        <f>VLOOKUP($A460,[1]中含分析60315!$A:$M,12,0)</f>
        <v>28</v>
      </c>
      <c r="G460" s="4">
        <f>VLOOKUP($A460,[1]中含分析60315!$A:$M,13,0)</f>
        <v>26</v>
      </c>
      <c r="H460" s="3" t="s">
        <v>10</v>
      </c>
      <c r="I460" s="3" t="s">
        <v>907</v>
      </c>
    </row>
    <row r="461" customHeight="1" spans="1:9">
      <c r="A461" s="4" t="s">
        <v>908</v>
      </c>
      <c r="B461" s="4">
        <f>VLOOKUP($A461,[1]中含分析60315!$A:$M,8,0)</f>
        <v>53</v>
      </c>
      <c r="C461" s="4">
        <f>VLOOKUP($A461,[1]中含分析60315!$A:$M,9,0)</f>
        <v>52</v>
      </c>
      <c r="D461" s="4">
        <f>VLOOKUP($A461,[1]中含分析60315!$A:$M,10,0)</f>
        <v>51</v>
      </c>
      <c r="E461" s="4">
        <f>VLOOKUP($A461,[1]中含分析60315!$A:$M,11,0)</f>
        <v>50</v>
      </c>
      <c r="F461" s="4">
        <f>VLOOKUP($A461,[1]中含分析60315!$A:$M,12,0)</f>
        <v>50</v>
      </c>
      <c r="G461" s="4">
        <f>VLOOKUP($A461,[1]中含分析60315!$A:$M,13,0)</f>
        <v>49</v>
      </c>
      <c r="H461" s="3" t="s">
        <v>39</v>
      </c>
      <c r="I461" s="3" t="s">
        <v>909</v>
      </c>
    </row>
    <row r="462" customHeight="1" spans="1:9">
      <c r="A462" s="4" t="s">
        <v>910</v>
      </c>
      <c r="B462" s="4">
        <f>VLOOKUP($A462,[1]中含分析60315!$A:$M,8,0)</f>
        <v>55</v>
      </c>
      <c r="C462" s="4">
        <f>VLOOKUP($A462,[1]中含分析60315!$A:$M,9,0)</f>
        <v>54</v>
      </c>
      <c r="D462" s="4">
        <f>VLOOKUP($A462,[1]中含分析60315!$A:$M,10,0)</f>
        <v>53</v>
      </c>
      <c r="E462" s="4">
        <f>VLOOKUP($A462,[1]中含分析60315!$A:$M,11,0)</f>
        <v>52</v>
      </c>
      <c r="F462" s="4">
        <f>VLOOKUP($A462,[1]中含分析60315!$A:$M,12,0)</f>
        <v>52</v>
      </c>
      <c r="G462" s="4">
        <f>VLOOKUP($A462,[1]中含分析60315!$A:$M,13,0)</f>
        <v>51</v>
      </c>
      <c r="H462" s="3" t="s">
        <v>39</v>
      </c>
      <c r="I462" s="3" t="s">
        <v>911</v>
      </c>
    </row>
    <row r="463" customHeight="1" spans="1:9">
      <c r="A463" s="4" t="s">
        <v>912</v>
      </c>
      <c r="B463" s="4">
        <f>VLOOKUP($A463,[1]中含分析60315!$A:$M,8,0)</f>
        <v>49</v>
      </c>
      <c r="C463" s="4">
        <f>VLOOKUP($A463,[1]中含分析60315!$A:$M,9,0)</f>
        <v>48</v>
      </c>
      <c r="D463" s="4">
        <f>VLOOKUP($A463,[1]中含分析60315!$A:$M,10,0)</f>
        <v>47</v>
      </c>
      <c r="E463" s="4">
        <f>VLOOKUP($A463,[1]中含分析60315!$A:$M,11,0)</f>
        <v>46</v>
      </c>
      <c r="F463" s="4">
        <f>VLOOKUP($A463,[1]中含分析60315!$A:$M,12,0)</f>
        <v>46</v>
      </c>
      <c r="G463" s="4">
        <f>VLOOKUP($A463,[1]中含分析60315!$A:$M,13,0)</f>
        <v>45</v>
      </c>
      <c r="H463" s="3" t="s">
        <v>39</v>
      </c>
      <c r="I463" s="3" t="s">
        <v>913</v>
      </c>
    </row>
    <row r="464" customHeight="1" spans="1:9">
      <c r="A464" s="4" t="s">
        <v>914</v>
      </c>
      <c r="B464" s="4">
        <f>VLOOKUP($A464,[1]中含分析60315!$A:$M,8,0)</f>
        <v>49</v>
      </c>
      <c r="C464" s="4">
        <f>VLOOKUP($A464,[1]中含分析60315!$A:$M,9,0)</f>
        <v>48</v>
      </c>
      <c r="D464" s="4">
        <f>VLOOKUP($A464,[1]中含分析60315!$A:$M,10,0)</f>
        <v>47</v>
      </c>
      <c r="E464" s="4">
        <f>VLOOKUP($A464,[1]中含分析60315!$A:$M,11,0)</f>
        <v>46</v>
      </c>
      <c r="F464" s="4">
        <f>VLOOKUP($A464,[1]中含分析60315!$A:$M,12,0)</f>
        <v>46</v>
      </c>
      <c r="G464" s="4">
        <f>VLOOKUP($A464,[1]中含分析60315!$A:$M,13,0)</f>
        <v>45</v>
      </c>
      <c r="H464" s="3" t="s">
        <v>39</v>
      </c>
      <c r="I464" s="3" t="s">
        <v>915</v>
      </c>
    </row>
    <row r="465" customHeight="1" spans="1:9">
      <c r="A465" s="4" t="s">
        <v>916</v>
      </c>
      <c r="B465" s="4">
        <f>VLOOKUP($A465,[1]中含分析60315!$A:$M,8,0)</f>
        <v>66</v>
      </c>
      <c r="C465" s="4">
        <f>VLOOKUP($A465,[1]中含分析60315!$A:$M,9,0)</f>
        <v>64</v>
      </c>
      <c r="D465" s="4">
        <f>VLOOKUP($A465,[1]中含分析60315!$A:$M,10,0)</f>
        <v>62</v>
      </c>
      <c r="E465" s="4">
        <f>VLOOKUP($A465,[1]中含分析60315!$A:$M,11,0)</f>
        <v>59</v>
      </c>
      <c r="F465" s="4">
        <f>VLOOKUP($A465,[1]中含分析60315!$A:$M,12,0)</f>
        <v>57</v>
      </c>
      <c r="G465" s="4">
        <f>VLOOKUP($A465,[1]中含分析60315!$A:$M,13,0)</f>
        <v>54</v>
      </c>
      <c r="H465" s="3" t="s">
        <v>10</v>
      </c>
      <c r="I465" s="3" t="s">
        <v>917</v>
      </c>
    </row>
    <row r="466" customHeight="1" spans="1:9">
      <c r="A466" s="4" t="s">
        <v>918</v>
      </c>
      <c r="B466" s="4">
        <f>VLOOKUP($A466,[1]中含分析60315!$A:$M,8,0)</f>
        <v>35</v>
      </c>
      <c r="C466" s="4">
        <f>VLOOKUP($A466,[1]中含分析60315!$A:$M,9,0)</f>
        <v>33</v>
      </c>
      <c r="D466" s="4">
        <f>VLOOKUP($A466,[1]中含分析60315!$A:$M,10,0)</f>
        <v>32</v>
      </c>
      <c r="E466" s="4">
        <f>VLOOKUP($A466,[1]中含分析60315!$A:$M,11,0)</f>
        <v>31</v>
      </c>
      <c r="F466" s="4">
        <f>VLOOKUP($A466,[1]中含分析60315!$A:$M,12,0)</f>
        <v>30</v>
      </c>
      <c r="G466" s="4">
        <f>VLOOKUP($A466,[1]中含分析60315!$A:$M,13,0)</f>
        <v>28</v>
      </c>
      <c r="H466" s="3" t="s">
        <v>10</v>
      </c>
      <c r="I466" s="3" t="s">
        <v>919</v>
      </c>
    </row>
    <row r="467" customHeight="1" spans="1:9">
      <c r="A467" s="4" t="s">
        <v>920</v>
      </c>
      <c r="B467" s="4">
        <f>VLOOKUP($A467,[1]中含分析60315!$A:$M,8,0)</f>
        <v>45</v>
      </c>
      <c r="C467" s="4">
        <f>VLOOKUP($A467,[1]中含分析60315!$A:$M,9,0)</f>
        <v>43</v>
      </c>
      <c r="D467" s="4">
        <f>VLOOKUP($A467,[1]中含分析60315!$A:$M,10,0)</f>
        <v>42</v>
      </c>
      <c r="E467" s="4">
        <f>VLOOKUP($A467,[1]中含分析60315!$A:$M,11,0)</f>
        <v>40</v>
      </c>
      <c r="F467" s="4">
        <f>VLOOKUP($A467,[1]中含分析60315!$A:$M,12,0)</f>
        <v>38</v>
      </c>
      <c r="G467" s="4">
        <f>VLOOKUP($A467,[1]中含分析60315!$A:$M,13,0)</f>
        <v>37</v>
      </c>
      <c r="H467" s="3" t="s">
        <v>10</v>
      </c>
      <c r="I467" s="3" t="s">
        <v>921</v>
      </c>
    </row>
    <row r="468" customHeight="1" spans="1:9">
      <c r="A468" s="6" t="s">
        <v>922</v>
      </c>
      <c r="B468" s="4">
        <f>VLOOKUP($A468,[1]中含分析60315!$A:$M,8,0)</f>
        <v>49</v>
      </c>
      <c r="C468" s="4">
        <f>VLOOKUP($A468,[1]中含分析60315!$A:$M,9,0)</f>
        <v>48</v>
      </c>
      <c r="D468" s="4">
        <f>VLOOKUP($A468,[1]中含分析60315!$A:$M,10,0)</f>
        <v>47</v>
      </c>
      <c r="E468" s="4">
        <f>VLOOKUP($A468,[1]中含分析60315!$A:$M,11,0)</f>
        <v>47</v>
      </c>
      <c r="F468" s="4">
        <f>VLOOKUP($A468,[1]中含分析60315!$A:$M,12,0)</f>
        <v>46</v>
      </c>
      <c r="G468" s="4">
        <f>VLOOKUP($A468,[1]中含分析60315!$A:$M,13,0)</f>
        <v>45</v>
      </c>
      <c r="H468" s="3" t="s">
        <v>39</v>
      </c>
      <c r="I468" s="3" t="s">
        <v>791</v>
      </c>
    </row>
    <row r="469" customHeight="1" spans="1:9">
      <c r="A469" s="2" t="s">
        <v>923</v>
      </c>
      <c r="B469" s="4">
        <f>VLOOKUP($A469,[1]中含分析60315!$A:$M,8,0)</f>
        <v>37</v>
      </c>
      <c r="C469" s="4">
        <f>VLOOKUP($A469,[1]中含分析60315!$A:$M,9,0)</f>
        <v>36</v>
      </c>
      <c r="D469" s="4">
        <f>VLOOKUP($A469,[1]中含分析60315!$A:$M,10,0)</f>
        <v>34</v>
      </c>
      <c r="E469" s="4">
        <f>VLOOKUP($A469,[1]中含分析60315!$A:$M,11,0)</f>
        <v>33</v>
      </c>
      <c r="F469" s="4">
        <f>VLOOKUP($A469,[1]中含分析60315!$A:$M,12,0)</f>
        <v>32</v>
      </c>
      <c r="G469" s="4">
        <f>VLOOKUP($A469,[1]中含分析60315!$A:$M,13,0)</f>
        <v>30</v>
      </c>
      <c r="H469" s="3" t="s">
        <v>10</v>
      </c>
      <c r="I469" s="3" t="s">
        <v>924</v>
      </c>
    </row>
    <row r="470" customHeight="1" spans="1:9">
      <c r="A470" s="2" t="s">
        <v>925</v>
      </c>
      <c r="B470" s="4">
        <f>VLOOKUP($A470,[1]中含分析60315!$A:$M,8,0)</f>
        <v>37</v>
      </c>
      <c r="C470" s="4">
        <f>VLOOKUP($A470,[1]中含分析60315!$A:$M,9,0)</f>
        <v>35</v>
      </c>
      <c r="D470" s="4">
        <f>VLOOKUP($A470,[1]中含分析60315!$A:$M,10,0)</f>
        <v>34</v>
      </c>
      <c r="E470" s="4">
        <f>VLOOKUP($A470,[1]中含分析60315!$A:$M,11,0)</f>
        <v>33</v>
      </c>
      <c r="F470" s="4">
        <f>VLOOKUP($A470,[1]中含分析60315!$A:$M,12,0)</f>
        <v>31</v>
      </c>
      <c r="G470" s="4">
        <f>VLOOKUP($A470,[1]中含分析60315!$A:$M,13,0)</f>
        <v>30</v>
      </c>
      <c r="H470" s="3" t="s">
        <v>10</v>
      </c>
      <c r="I470" s="3" t="s">
        <v>926</v>
      </c>
    </row>
    <row r="471" customHeight="1" spans="1:9">
      <c r="A471" s="7" t="s">
        <v>927</v>
      </c>
      <c r="B471" s="4">
        <f>VLOOKUP($A471,[1]中含分析60315!$A:$M,8,0)</f>
        <v>40</v>
      </c>
      <c r="C471" s="4">
        <f>VLOOKUP($A471,[1]中含分析60315!$A:$M,9,0)</f>
        <v>39</v>
      </c>
      <c r="D471" s="4">
        <f>VLOOKUP($A471,[1]中含分析60315!$A:$M,10,0)</f>
        <v>37</v>
      </c>
      <c r="E471" s="4">
        <f>VLOOKUP($A471,[1]中含分析60315!$A:$M,11,0)</f>
        <v>36</v>
      </c>
      <c r="F471" s="4">
        <f>VLOOKUP($A471,[1]中含分析60315!$A:$M,12,0)</f>
        <v>35</v>
      </c>
      <c r="G471" s="4">
        <f>VLOOKUP($A471,[1]中含分析60315!$A:$M,13,0)</f>
        <v>33</v>
      </c>
      <c r="H471" s="3" t="s">
        <v>10</v>
      </c>
      <c r="I471" s="3" t="s">
        <v>928</v>
      </c>
    </row>
    <row r="472" customHeight="1" spans="1:9">
      <c r="A472" s="7" t="s">
        <v>929</v>
      </c>
      <c r="B472" s="4">
        <f>VLOOKUP($A472,[1]中含分析60315!$A:$M,8,0)</f>
        <v>47</v>
      </c>
      <c r="C472" s="4">
        <f>VLOOKUP($A472,[1]中含分析60315!$A:$M,9,0)</f>
        <v>45</v>
      </c>
      <c r="D472" s="4">
        <f>VLOOKUP($A472,[1]中含分析60315!$A:$M,10,0)</f>
        <v>44</v>
      </c>
      <c r="E472" s="4">
        <f>VLOOKUP($A472,[1]中含分析60315!$A:$M,11,0)</f>
        <v>42</v>
      </c>
      <c r="F472" s="4">
        <f>VLOOKUP($A472,[1]中含分析60315!$A:$M,12,0)</f>
        <v>40</v>
      </c>
      <c r="G472" s="4">
        <f>VLOOKUP($A472,[1]中含分析60315!$A:$M,13,0)</f>
        <v>39</v>
      </c>
      <c r="H472" s="3" t="s">
        <v>10</v>
      </c>
      <c r="I472" s="3" t="s">
        <v>930</v>
      </c>
    </row>
    <row r="473" customHeight="1" spans="1:9">
      <c r="A473" s="2" t="s">
        <v>931</v>
      </c>
      <c r="B473" s="4">
        <f>VLOOKUP($A473,[1]中含分析60315!$A:$M,8,0)</f>
        <v>47</v>
      </c>
      <c r="C473" s="4">
        <f>VLOOKUP($A473,[1]中含分析60315!$A:$M,9,0)</f>
        <v>45</v>
      </c>
      <c r="D473" s="4">
        <f>VLOOKUP($A473,[1]中含分析60315!$A:$M,10,0)</f>
        <v>44</v>
      </c>
      <c r="E473" s="4">
        <f>VLOOKUP($A473,[1]中含分析60315!$A:$M,11,0)</f>
        <v>42</v>
      </c>
      <c r="F473" s="4">
        <f>VLOOKUP($A473,[1]中含分析60315!$A:$M,12,0)</f>
        <v>40</v>
      </c>
      <c r="G473" s="4">
        <f>VLOOKUP($A473,[1]中含分析60315!$A:$M,13,0)</f>
        <v>39</v>
      </c>
      <c r="H473" s="3" t="s">
        <v>10</v>
      </c>
      <c r="I473" s="3" t="s">
        <v>932</v>
      </c>
    </row>
    <row r="474" customHeight="1" spans="1:9">
      <c r="A474" s="6" t="s">
        <v>933</v>
      </c>
      <c r="B474" s="4">
        <f>VLOOKUP($A474,[1]中含分析60315!$A:$M,8,0)</f>
        <v>55</v>
      </c>
      <c r="C474" s="4">
        <f>VLOOKUP($A474,[1]中含分析60315!$A:$M,9,0)</f>
        <v>54</v>
      </c>
      <c r="D474" s="4">
        <f>VLOOKUP($A474,[1]中含分析60315!$A:$M,10,0)</f>
        <v>53</v>
      </c>
      <c r="E474" s="4">
        <f>VLOOKUP($A474,[1]中含分析60315!$A:$M,11,0)</f>
        <v>52</v>
      </c>
      <c r="F474" s="4">
        <f>VLOOKUP($A474,[1]中含分析60315!$A:$M,12,0)</f>
        <v>52</v>
      </c>
      <c r="G474" s="4">
        <f>VLOOKUP($A474,[1]中含分析60315!$A:$M,13,0)</f>
        <v>51</v>
      </c>
      <c r="H474" s="3" t="s">
        <v>39</v>
      </c>
      <c r="I474" s="3">
        <v>0</v>
      </c>
    </row>
    <row r="475" customHeight="1" spans="1:9">
      <c r="A475" s="6" t="s">
        <v>934</v>
      </c>
      <c r="B475" s="4">
        <f>VLOOKUP($A475,[1]中含分析60315!$A:$M,8,0)</f>
        <v>41</v>
      </c>
      <c r="C475" s="4">
        <f>VLOOKUP($A475,[1]中含分析60315!$A:$M,9,0)</f>
        <v>39</v>
      </c>
      <c r="D475" s="4">
        <f>VLOOKUP($A475,[1]中含分析60315!$A:$M,10,0)</f>
        <v>38</v>
      </c>
      <c r="E475" s="4">
        <f>VLOOKUP($A475,[1]中含分析60315!$A:$M,11,0)</f>
        <v>36</v>
      </c>
      <c r="F475" s="4">
        <f>VLOOKUP($A475,[1]中含分析60315!$A:$M,12,0)</f>
        <v>35</v>
      </c>
      <c r="G475" s="4">
        <f>VLOOKUP($A475,[1]中含分析60315!$A:$M,13,0)</f>
        <v>33</v>
      </c>
      <c r="H475" s="3" t="s">
        <v>10</v>
      </c>
      <c r="I475" s="3" t="s">
        <v>31</v>
      </c>
    </row>
    <row r="476" customHeight="1" spans="1:9">
      <c r="A476" s="2" t="s">
        <v>935</v>
      </c>
      <c r="B476" s="4">
        <f>VLOOKUP($A476,[1]中含分析60315!$A:$M,8,0)</f>
        <v>30</v>
      </c>
      <c r="C476" s="4">
        <f>VLOOKUP($A476,[1]中含分析60315!$A:$M,9,0)</f>
        <v>30</v>
      </c>
      <c r="D476" s="4">
        <f>VLOOKUP($A476,[1]中含分析60315!$A:$M,10,0)</f>
        <v>29</v>
      </c>
      <c r="E476" s="4">
        <f>VLOOKUP($A476,[1]中含分析60315!$A:$M,11,0)</f>
        <v>29</v>
      </c>
      <c r="F476" s="4">
        <f>VLOOKUP($A476,[1]中含分析60315!$A:$M,12,0)</f>
        <v>28</v>
      </c>
      <c r="G476" s="4">
        <f>VLOOKUP($A476,[1]中含分析60315!$A:$M,13,0)</f>
        <v>28</v>
      </c>
      <c r="H476" s="3" t="s">
        <v>39</v>
      </c>
      <c r="I476" s="3" t="s">
        <v>936</v>
      </c>
    </row>
    <row r="477" customHeight="1" spans="1:9">
      <c r="A477" s="2" t="s">
        <v>937</v>
      </c>
      <c r="B477" s="4">
        <f>VLOOKUP($A477,[1]中含分析60315!$A:$M,8,0)</f>
        <v>47</v>
      </c>
      <c r="C477" s="4">
        <f>VLOOKUP($A477,[1]中含分析60315!$A:$M,9,0)</f>
        <v>45</v>
      </c>
      <c r="D477" s="4">
        <f>VLOOKUP($A477,[1]中含分析60315!$A:$M,10,0)</f>
        <v>44</v>
      </c>
      <c r="E477" s="4">
        <f>VLOOKUP($A477,[1]中含分析60315!$A:$M,11,0)</f>
        <v>42</v>
      </c>
      <c r="F477" s="4">
        <f>VLOOKUP($A477,[1]中含分析60315!$A:$M,12,0)</f>
        <v>40</v>
      </c>
      <c r="G477" s="4">
        <f>VLOOKUP($A477,[1]中含分析60315!$A:$M,13,0)</f>
        <v>38</v>
      </c>
      <c r="H477" s="3" t="s">
        <v>10</v>
      </c>
      <c r="I477" s="3" t="s">
        <v>938</v>
      </c>
    </row>
    <row r="478" customHeight="1" spans="1:9">
      <c r="A478" s="8" t="s">
        <v>939</v>
      </c>
      <c r="B478" s="4">
        <f>VLOOKUP($A478,[1]中含分析60315!$A:$M,8,0)</f>
        <v>48</v>
      </c>
      <c r="C478" s="4">
        <f>VLOOKUP($A478,[1]中含分析60315!$A:$M,9,0)</f>
        <v>46</v>
      </c>
      <c r="D478" s="4">
        <f>VLOOKUP($A478,[1]中含分析60315!$A:$M,10,0)</f>
        <v>45</v>
      </c>
      <c r="E478" s="4">
        <f>VLOOKUP($A478,[1]中含分析60315!$A:$M,11,0)</f>
        <v>43</v>
      </c>
      <c r="F478" s="4">
        <f>VLOOKUP($A478,[1]中含分析60315!$A:$M,12,0)</f>
        <v>41</v>
      </c>
      <c r="G478" s="4">
        <f>VLOOKUP($A478,[1]中含分析60315!$A:$M,13,0)</f>
        <v>39</v>
      </c>
      <c r="H478" s="3" t="s">
        <v>10</v>
      </c>
      <c r="I478" s="3" t="s">
        <v>940</v>
      </c>
    </row>
    <row r="479" customHeight="1" spans="1:9">
      <c r="A479" s="8" t="s">
        <v>941</v>
      </c>
      <c r="B479" s="4">
        <f>VLOOKUP($A479,[1]中含分析60315!$A:$M,8,0)</f>
        <v>48</v>
      </c>
      <c r="C479" s="4">
        <f>VLOOKUP($A479,[1]中含分析60315!$A:$M,9,0)</f>
        <v>47</v>
      </c>
      <c r="D479" s="4">
        <f>VLOOKUP($A479,[1]中含分析60315!$A:$M,10,0)</f>
        <v>46</v>
      </c>
      <c r="E479" s="4">
        <f>VLOOKUP($A479,[1]中含分析60315!$A:$M,11,0)</f>
        <v>45</v>
      </c>
      <c r="F479" s="4">
        <f>VLOOKUP($A479,[1]中含分析60315!$A:$M,12,0)</f>
        <v>45</v>
      </c>
      <c r="G479" s="4">
        <f>VLOOKUP($A479,[1]中含分析60315!$A:$M,13,0)</f>
        <v>44</v>
      </c>
      <c r="H479" s="3" t="s">
        <v>39</v>
      </c>
      <c r="I479" s="3" t="s">
        <v>942</v>
      </c>
    </row>
    <row r="480" customHeight="1" spans="1:9">
      <c r="A480" s="9" t="s">
        <v>943</v>
      </c>
      <c r="B480" s="4">
        <f>VLOOKUP($A480,[1]中含分析60315!$A:$M,8,0)</f>
        <v>54</v>
      </c>
      <c r="C480" s="4">
        <f>VLOOKUP($A480,[1]中含分析60315!$A:$M,9,0)</f>
        <v>53</v>
      </c>
      <c r="D480" s="4">
        <f>VLOOKUP($A480,[1]中含分析60315!$A:$M,10,0)</f>
        <v>52</v>
      </c>
      <c r="E480" s="4">
        <f>VLOOKUP($A480,[1]中含分析60315!$A:$M,11,0)</f>
        <v>51</v>
      </c>
      <c r="F480" s="4">
        <f>VLOOKUP($A480,[1]中含分析60315!$A:$M,12,0)</f>
        <v>50</v>
      </c>
      <c r="G480" s="4">
        <f>VLOOKUP($A480,[1]中含分析60315!$A:$M,13,0)</f>
        <v>49</v>
      </c>
      <c r="H480" s="3" t="s">
        <v>39</v>
      </c>
      <c r="I480" s="3" t="s">
        <v>944</v>
      </c>
    </row>
    <row r="481" customHeight="1" spans="1:9">
      <c r="A481" s="6" t="s">
        <v>945</v>
      </c>
      <c r="B481" s="4">
        <f>VLOOKUP($A481,[1]中含分析60315!$A:$M,8,0)</f>
        <v>46</v>
      </c>
      <c r="C481" s="4">
        <f>VLOOKUP($A481,[1]中含分析60315!$A:$M,9,0)</f>
        <v>45</v>
      </c>
      <c r="D481" s="4">
        <f>VLOOKUP($A481,[1]中含分析60315!$A:$M,10,0)</f>
        <v>43</v>
      </c>
      <c r="E481" s="4">
        <f>VLOOKUP($A481,[1]中含分析60315!$A:$M,11,0)</f>
        <v>41</v>
      </c>
      <c r="F481" s="4">
        <f>VLOOKUP($A481,[1]中含分析60315!$A:$M,12,0)</f>
        <v>39</v>
      </c>
      <c r="G481" s="4">
        <f>VLOOKUP($A481,[1]中含分析60315!$A:$M,13,0)</f>
        <v>38</v>
      </c>
      <c r="H481" s="3" t="s">
        <v>10</v>
      </c>
      <c r="I481" s="3" t="s">
        <v>946</v>
      </c>
    </row>
    <row r="482" customHeight="1" spans="1:9">
      <c r="A482" s="2" t="s">
        <v>947</v>
      </c>
      <c r="B482" s="4">
        <f>VLOOKUP($A482,[1]中含分析60315!$A:$M,8,0)</f>
        <v>36</v>
      </c>
      <c r="C482" s="4">
        <f>VLOOKUP($A482,[1]中含分析60315!$A:$M,9,0)</f>
        <v>35</v>
      </c>
      <c r="D482" s="4">
        <f>VLOOKUP($A482,[1]中含分析60315!$A:$M,10,0)</f>
        <v>34</v>
      </c>
      <c r="E482" s="4">
        <f>VLOOKUP($A482,[1]中含分析60315!$A:$M,11,0)</f>
        <v>32</v>
      </c>
      <c r="F482" s="4">
        <f>VLOOKUP($A482,[1]中含分析60315!$A:$M,12,0)</f>
        <v>31</v>
      </c>
      <c r="G482" s="4">
        <f>VLOOKUP($A482,[1]中含分析60315!$A:$M,13,0)</f>
        <v>30</v>
      </c>
      <c r="H482" s="3" t="s">
        <v>10</v>
      </c>
      <c r="I482" s="3" t="s">
        <v>948</v>
      </c>
    </row>
    <row r="483" customHeight="1" spans="1:9">
      <c r="A483" s="10" t="s">
        <v>949</v>
      </c>
      <c r="B483" s="4">
        <f>VLOOKUP($A483,[1]中含分析60315!$A:$M,8,0)</f>
        <v>59</v>
      </c>
      <c r="C483" s="4">
        <f>VLOOKUP($A483,[1]中含分析60315!$A:$M,9,0)</f>
        <v>58</v>
      </c>
      <c r="D483" s="4">
        <f>VLOOKUP($A483,[1]中含分析60315!$A:$M,10,0)</f>
        <v>57</v>
      </c>
      <c r="E483" s="4">
        <f>VLOOKUP($A483,[1]中含分析60315!$A:$M,11,0)</f>
        <v>56</v>
      </c>
      <c r="F483" s="4">
        <f>VLOOKUP($A483,[1]中含分析60315!$A:$M,12,0)</f>
        <v>56</v>
      </c>
      <c r="G483" s="4">
        <f>VLOOKUP($A483,[1]中含分析60315!$A:$M,13,0)</f>
        <v>55</v>
      </c>
      <c r="H483" s="3" t="s">
        <v>39</v>
      </c>
      <c r="I483" s="3" t="s">
        <v>950</v>
      </c>
    </row>
    <row r="484" customHeight="1" spans="1:9">
      <c r="A484" s="9" t="s">
        <v>951</v>
      </c>
      <c r="B484" s="4">
        <f>VLOOKUP($A484,[1]中含分析60315!$A:$M,8,0)</f>
        <v>78</v>
      </c>
      <c r="C484" s="4">
        <f>VLOOKUP($A484,[1]中含分析60315!$A:$M,9,0)</f>
        <v>76</v>
      </c>
      <c r="D484" s="4">
        <f>VLOOKUP($A484,[1]中含分析60315!$A:$M,10,0)</f>
        <v>75</v>
      </c>
      <c r="E484" s="4">
        <f>VLOOKUP($A484,[1]中含分析60315!$A:$M,11,0)</f>
        <v>74</v>
      </c>
      <c r="F484" s="4">
        <f>VLOOKUP($A484,[1]中含分析60315!$A:$M,12,0)</f>
        <v>73</v>
      </c>
      <c r="G484" s="4">
        <f>VLOOKUP($A484,[1]中含分析60315!$A:$M,13,0)</f>
        <v>72</v>
      </c>
      <c r="H484" s="3" t="s">
        <v>39</v>
      </c>
      <c r="I484" s="3" t="s">
        <v>952</v>
      </c>
    </row>
    <row r="485" customHeight="1" spans="1:9">
      <c r="A485" s="6" t="s">
        <v>953</v>
      </c>
      <c r="B485" s="4">
        <f>VLOOKUP($A485,[1]中含分析60315!$A:$M,8,0)</f>
        <v>52</v>
      </c>
      <c r="C485" s="4">
        <f>VLOOKUP($A485,[1]中含分析60315!$A:$M,9,0)</f>
        <v>50</v>
      </c>
      <c r="D485" s="4">
        <f>VLOOKUP($A485,[1]中含分析60315!$A:$M,10,0)</f>
        <v>48</v>
      </c>
      <c r="E485" s="4">
        <f>VLOOKUP($A485,[1]中含分析60315!$A:$M,11,0)</f>
        <v>46</v>
      </c>
      <c r="F485" s="4">
        <f>VLOOKUP($A485,[1]中含分析60315!$A:$M,12,0)</f>
        <v>44</v>
      </c>
      <c r="G485" s="4">
        <f>VLOOKUP($A485,[1]中含分析60315!$A:$M,13,0)</f>
        <v>42</v>
      </c>
      <c r="H485" s="3" t="s">
        <v>10</v>
      </c>
      <c r="I485" s="3" t="s">
        <v>954</v>
      </c>
    </row>
    <row r="486" customHeight="1" spans="1:9">
      <c r="A486" s="9" t="s">
        <v>955</v>
      </c>
      <c r="B486" s="4">
        <f>VLOOKUP($A486,[1]中含分析60315!$A:$M,8,0)</f>
        <v>37</v>
      </c>
      <c r="C486" s="4">
        <f>VLOOKUP($A486,[1]中含分析60315!$A:$M,9,0)</f>
        <v>36</v>
      </c>
      <c r="D486" s="4">
        <f>VLOOKUP($A486,[1]中含分析60315!$A:$M,10,0)</f>
        <v>35</v>
      </c>
      <c r="E486" s="4">
        <f>VLOOKUP($A486,[1]中含分析60315!$A:$M,11,0)</f>
        <v>33</v>
      </c>
      <c r="F486" s="4">
        <f>VLOOKUP($A486,[1]中含分析60315!$A:$M,12,0)</f>
        <v>32</v>
      </c>
      <c r="G486" s="4">
        <f>VLOOKUP($A486,[1]中含分析60315!$A:$M,13,0)</f>
        <v>31</v>
      </c>
      <c r="H486" s="3" t="s">
        <v>10</v>
      </c>
      <c r="I486" s="3" t="s">
        <v>956</v>
      </c>
    </row>
    <row r="487" customHeight="1" spans="1:9">
      <c r="A487" s="6" t="s">
        <v>957</v>
      </c>
      <c r="B487" s="4">
        <f>VLOOKUP($A487,[1]中含分析60315!$A:$M,8,0)</f>
        <v>31</v>
      </c>
      <c r="C487" s="4">
        <f>VLOOKUP($A487,[1]中含分析60315!$A:$M,9,0)</f>
        <v>30</v>
      </c>
      <c r="D487" s="4">
        <f>VLOOKUP($A487,[1]中含分析60315!$A:$M,10,0)</f>
        <v>29</v>
      </c>
      <c r="E487" s="4">
        <f>VLOOKUP($A487,[1]中含分析60315!$A:$M,11,0)</f>
        <v>28</v>
      </c>
      <c r="F487" s="4">
        <f>VLOOKUP($A487,[1]中含分析60315!$A:$M,12,0)</f>
        <v>27</v>
      </c>
      <c r="G487" s="4">
        <f>VLOOKUP($A487,[1]中含分析60315!$A:$M,13,0)</f>
        <v>25</v>
      </c>
      <c r="H487" s="3" t="s">
        <v>10</v>
      </c>
      <c r="I487" s="3" t="s">
        <v>958</v>
      </c>
    </row>
    <row r="488" customHeight="1" spans="1:9">
      <c r="A488" s="10" t="s">
        <v>959</v>
      </c>
      <c r="B488" s="4">
        <f>VLOOKUP($A488,[1]中含分析60315!$A:$M,8,0)</f>
        <v>38</v>
      </c>
      <c r="C488" s="4">
        <f>VLOOKUP($A488,[1]中含分析60315!$A:$M,9,0)</f>
        <v>37</v>
      </c>
      <c r="D488" s="4">
        <f>VLOOKUP($A488,[1]中含分析60315!$A:$M,10,0)</f>
        <v>37</v>
      </c>
      <c r="E488" s="4">
        <f>VLOOKUP($A488,[1]中含分析60315!$A:$M,11,0)</f>
        <v>36</v>
      </c>
      <c r="F488" s="4">
        <f>VLOOKUP($A488,[1]中含分析60315!$A:$M,12,0)</f>
        <v>36</v>
      </c>
      <c r="G488" s="4">
        <f>VLOOKUP($A488,[1]中含分析60315!$A:$M,13,0)</f>
        <v>35</v>
      </c>
      <c r="H488" s="3" t="s">
        <v>39</v>
      </c>
      <c r="I488" s="3" t="s">
        <v>960</v>
      </c>
    </row>
    <row r="489" customHeight="1" spans="1:9">
      <c r="A489" s="10" t="s">
        <v>961</v>
      </c>
      <c r="B489" s="4">
        <f>VLOOKUP($A489,[1]中含分析60315!$A:$M,8,0)</f>
        <v>52</v>
      </c>
      <c r="C489" s="4">
        <f>VLOOKUP($A489,[1]中含分析60315!$A:$M,9,0)</f>
        <v>52</v>
      </c>
      <c r="D489" s="4">
        <f>VLOOKUP($A489,[1]中含分析60315!$A:$M,10,0)</f>
        <v>51</v>
      </c>
      <c r="E489" s="4">
        <f>VLOOKUP($A489,[1]中含分析60315!$A:$M,11,0)</f>
        <v>50</v>
      </c>
      <c r="F489" s="4">
        <f>VLOOKUP($A489,[1]中含分析60315!$A:$M,12,0)</f>
        <v>49</v>
      </c>
      <c r="G489" s="4">
        <f>VLOOKUP($A489,[1]中含分析60315!$A:$M,13,0)</f>
        <v>49</v>
      </c>
      <c r="H489" s="3" t="s">
        <v>39</v>
      </c>
      <c r="I489" s="3" t="s">
        <v>962</v>
      </c>
    </row>
    <row r="490" customHeight="1" spans="1:9">
      <c r="A490" s="9" t="s">
        <v>963</v>
      </c>
      <c r="B490" s="4">
        <f>VLOOKUP($A490,[1]中含分析60315!$A:$M,8,0)</f>
        <v>52</v>
      </c>
      <c r="C490" s="4">
        <f>VLOOKUP($A490,[1]中含分析60315!$A:$M,9,0)</f>
        <v>52</v>
      </c>
      <c r="D490" s="4">
        <f>VLOOKUP($A490,[1]中含分析60315!$A:$M,10,0)</f>
        <v>51</v>
      </c>
      <c r="E490" s="4">
        <f>VLOOKUP($A490,[1]中含分析60315!$A:$M,11,0)</f>
        <v>50</v>
      </c>
      <c r="F490" s="4">
        <f>VLOOKUP($A490,[1]中含分析60315!$A:$M,12,0)</f>
        <v>49</v>
      </c>
      <c r="G490" s="4">
        <f>VLOOKUP($A490,[1]中含分析60315!$A:$M,13,0)</f>
        <v>49</v>
      </c>
      <c r="H490" s="3" t="s">
        <v>39</v>
      </c>
      <c r="I490" s="3" t="s">
        <v>964</v>
      </c>
    </row>
    <row r="491" customHeight="1" spans="1:9">
      <c r="A491" s="9" t="s">
        <v>965</v>
      </c>
      <c r="B491" s="4">
        <f>VLOOKUP($A491,[1]中含分析60315!$A:$M,8,0)</f>
        <v>42</v>
      </c>
      <c r="C491" s="4">
        <f>VLOOKUP($A491,[1]中含分析60315!$A:$M,9,0)</f>
        <v>41</v>
      </c>
      <c r="D491" s="4">
        <f>VLOOKUP($A491,[1]中含分析60315!$A:$M,10,0)</f>
        <v>41</v>
      </c>
      <c r="E491" s="4">
        <f>VLOOKUP($A491,[1]中含分析60315!$A:$M,11,0)</f>
        <v>40</v>
      </c>
      <c r="F491" s="4">
        <f>VLOOKUP($A491,[1]中含分析60315!$A:$M,12,0)</f>
        <v>40</v>
      </c>
      <c r="G491" s="4">
        <f>VLOOKUP($A491,[1]中含分析60315!$A:$M,13,0)</f>
        <v>39</v>
      </c>
      <c r="H491" s="3" t="s">
        <v>39</v>
      </c>
      <c r="I491" s="3" t="s">
        <v>966</v>
      </c>
    </row>
    <row r="492" customHeight="1" spans="1:9">
      <c r="A492" s="6" t="s">
        <v>967</v>
      </c>
      <c r="B492" s="4">
        <f>VLOOKUP($A492,[1]中含分析60315!$A:$M,8,0)</f>
        <v>55</v>
      </c>
      <c r="C492" s="4">
        <f>VLOOKUP($A492,[1]中含分析60315!$A:$M,9,0)</f>
        <v>54</v>
      </c>
      <c r="D492" s="4">
        <f>VLOOKUP($A492,[1]中含分析60315!$A:$M,10,0)</f>
        <v>53</v>
      </c>
      <c r="E492" s="4">
        <f>VLOOKUP($A492,[1]中含分析60315!$A:$M,11,0)</f>
        <v>52</v>
      </c>
      <c r="F492" s="4">
        <f>VLOOKUP($A492,[1]中含分析60315!$A:$M,12,0)</f>
        <v>52</v>
      </c>
      <c r="G492" s="4">
        <f>VLOOKUP($A492,[1]中含分析60315!$A:$M,13,0)</f>
        <v>51</v>
      </c>
      <c r="H492" s="3" t="s">
        <v>39</v>
      </c>
      <c r="I492" s="3" t="s">
        <v>968</v>
      </c>
    </row>
    <row r="493" customHeight="1" spans="1:9">
      <c r="A493" s="2" t="s">
        <v>969</v>
      </c>
      <c r="B493" s="4">
        <f>VLOOKUP($A493,[1]中含分析60315!$A:$M,8,0)</f>
        <v>27</v>
      </c>
      <c r="C493" s="4">
        <f>VLOOKUP($A493,[1]中含分析60315!$A:$M,9,0)</f>
        <v>26</v>
      </c>
      <c r="D493" s="4">
        <f>VLOOKUP($A493,[1]中含分析60315!$A:$M,10,0)</f>
        <v>25</v>
      </c>
      <c r="E493" s="4">
        <f>VLOOKUP($A493,[1]中含分析60315!$A:$M,11,0)</f>
        <v>24</v>
      </c>
      <c r="F493" s="4">
        <f>VLOOKUP($A493,[1]中含分析60315!$A:$M,12,0)</f>
        <v>23</v>
      </c>
      <c r="G493" s="4">
        <f>VLOOKUP($A493,[1]中含分析60315!$A:$M,13,0)</f>
        <v>22</v>
      </c>
      <c r="H493" s="3" t="s">
        <v>10</v>
      </c>
      <c r="I493" s="3" t="s">
        <v>970</v>
      </c>
    </row>
    <row r="494" customHeight="1" spans="1:9">
      <c r="A494" s="10" t="s">
        <v>971</v>
      </c>
      <c r="B494" s="4">
        <f>VLOOKUP($A494,[1]中含分析60315!$A:$M,8,0)</f>
        <v>29</v>
      </c>
      <c r="C494" s="4">
        <f>VLOOKUP($A494,[1]中含分析60315!$A:$M,9,0)</f>
        <v>28</v>
      </c>
      <c r="D494" s="4">
        <f>VLOOKUP($A494,[1]中含分析60315!$A:$M,10,0)</f>
        <v>27</v>
      </c>
      <c r="E494" s="4">
        <f>VLOOKUP($A494,[1]中含分析60315!$A:$M,11,0)</f>
        <v>26</v>
      </c>
      <c r="F494" s="4">
        <f>VLOOKUP($A494,[1]中含分析60315!$A:$M,12,0)</f>
        <v>24</v>
      </c>
      <c r="G494" s="4">
        <f>VLOOKUP($A494,[1]中含分析60315!$A:$M,13,0)</f>
        <v>23</v>
      </c>
      <c r="H494" s="3" t="s">
        <v>10</v>
      </c>
      <c r="I494" s="3" t="s">
        <v>972</v>
      </c>
    </row>
    <row r="495" customHeight="1" spans="1:9">
      <c r="A495" s="10" t="s">
        <v>973</v>
      </c>
      <c r="B495" s="4">
        <f>VLOOKUP($A495,[1]中含分析60315!$A:$M,8,0)</f>
        <v>52</v>
      </c>
      <c r="C495" s="4">
        <f>VLOOKUP($A495,[1]中含分析60315!$A:$M,9,0)</f>
        <v>51</v>
      </c>
      <c r="D495" s="4">
        <f>VLOOKUP($A495,[1]中含分析60315!$A:$M,10,0)</f>
        <v>51</v>
      </c>
      <c r="E495" s="4">
        <f>VLOOKUP($A495,[1]中含分析60315!$A:$M,11,0)</f>
        <v>50</v>
      </c>
      <c r="F495" s="4">
        <f>VLOOKUP($A495,[1]中含分析60315!$A:$M,12,0)</f>
        <v>49</v>
      </c>
      <c r="G495" s="4">
        <f>VLOOKUP($A495,[1]中含分析60315!$A:$M,13,0)</f>
        <v>48</v>
      </c>
      <c r="H495" s="3" t="s">
        <v>39</v>
      </c>
      <c r="I495" s="3" t="s">
        <v>974</v>
      </c>
    </row>
    <row r="496" customHeight="1" spans="1:9">
      <c r="A496" s="10" t="s">
        <v>975</v>
      </c>
      <c r="B496" s="4">
        <f>VLOOKUP($A496,[1]中含分析60315!$A:$M,8,0)</f>
        <v>38</v>
      </c>
      <c r="C496" s="4">
        <f>VLOOKUP($A496,[1]中含分析60315!$A:$M,9,0)</f>
        <v>37</v>
      </c>
      <c r="D496" s="4">
        <f>VLOOKUP($A496,[1]中含分析60315!$A:$M,10,0)</f>
        <v>37</v>
      </c>
      <c r="E496" s="4">
        <f>VLOOKUP($A496,[1]中含分析60315!$A:$M,11,0)</f>
        <v>36</v>
      </c>
      <c r="F496" s="4">
        <f>VLOOKUP($A496,[1]中含分析60315!$A:$M,12,0)</f>
        <v>36</v>
      </c>
      <c r="G496" s="4">
        <f>VLOOKUP($A496,[1]中含分析60315!$A:$M,13,0)</f>
        <v>35</v>
      </c>
      <c r="H496" s="3" t="s">
        <v>39</v>
      </c>
      <c r="I496" s="3" t="s">
        <v>976</v>
      </c>
    </row>
    <row r="497" customHeight="1" spans="1:9">
      <c r="A497" s="6" t="s">
        <v>977</v>
      </c>
      <c r="B497" s="4">
        <f>VLOOKUP($A497,[1]中含分析60315!$A:$M,8,0)</f>
        <v>36</v>
      </c>
      <c r="C497" s="4">
        <f>VLOOKUP($A497,[1]中含分析60315!$A:$M,9,0)</f>
        <v>35</v>
      </c>
      <c r="D497" s="4">
        <f>VLOOKUP($A497,[1]中含分析60315!$A:$M,10,0)</f>
        <v>33</v>
      </c>
      <c r="E497" s="4">
        <f>VLOOKUP($A497,[1]中含分析60315!$A:$M,11,0)</f>
        <v>32</v>
      </c>
      <c r="F497" s="4">
        <f>VLOOKUP($A497,[1]中含分析60315!$A:$M,12,0)</f>
        <v>31</v>
      </c>
      <c r="G497" s="4">
        <f>VLOOKUP($A497,[1]中含分析60315!$A:$M,13,0)</f>
        <v>29</v>
      </c>
      <c r="H497" s="3" t="s">
        <v>10</v>
      </c>
      <c r="I497" s="3" t="s">
        <v>978</v>
      </c>
    </row>
    <row r="498" customHeight="1" spans="1:9">
      <c r="A498" s="6" t="s">
        <v>979</v>
      </c>
      <c r="B498" s="4">
        <f>VLOOKUP($A498,[1]中含分析60315!$A:$M,8,0)</f>
        <v>47</v>
      </c>
      <c r="C498" s="4">
        <f>VLOOKUP($A498,[1]中含分析60315!$A:$M,9,0)</f>
        <v>45</v>
      </c>
      <c r="D498" s="4">
        <f>VLOOKUP($A498,[1]中含分析60315!$A:$M,10,0)</f>
        <v>43</v>
      </c>
      <c r="E498" s="4">
        <f>VLOOKUP($A498,[1]中含分析60315!$A:$M,11,0)</f>
        <v>42</v>
      </c>
      <c r="F498" s="4">
        <f>VLOOKUP($A498,[1]中含分析60315!$A:$M,12,0)</f>
        <v>40</v>
      </c>
      <c r="G498" s="4">
        <f>VLOOKUP($A498,[1]中含分析60315!$A:$M,13,0)</f>
        <v>38</v>
      </c>
      <c r="H498" s="3" t="s">
        <v>10</v>
      </c>
      <c r="I498" s="3" t="s">
        <v>980</v>
      </c>
    </row>
    <row r="499" customHeight="1" spans="1:9">
      <c r="A499" s="2" t="s">
        <v>981</v>
      </c>
      <c r="B499" s="4">
        <f>VLOOKUP($A499,[1]中含分析60315!$A:$M,8,0)</f>
        <v>69</v>
      </c>
      <c r="C499" s="4">
        <f>VLOOKUP($A499,[1]中含分析60315!$A:$M,9,0)</f>
        <v>68</v>
      </c>
      <c r="D499" s="4">
        <f>VLOOKUP($A499,[1]中含分析60315!$A:$M,10,0)</f>
        <v>66</v>
      </c>
      <c r="E499" s="4">
        <f>VLOOKUP($A499,[1]中含分析60315!$A:$M,11,0)</f>
        <v>65</v>
      </c>
      <c r="F499" s="4">
        <f>VLOOKUP($A499,[1]中含分析60315!$A:$M,12,0)</f>
        <v>65</v>
      </c>
      <c r="G499" s="4">
        <f>VLOOKUP($A499,[1]中含分析60315!$A:$M,13,0)</f>
        <v>64</v>
      </c>
      <c r="H499" s="3" t="s">
        <v>39</v>
      </c>
      <c r="I499" s="3" t="s">
        <v>982</v>
      </c>
    </row>
    <row r="500" customHeight="1" spans="1:9">
      <c r="A500" s="6" t="s">
        <v>983</v>
      </c>
      <c r="B500" s="4">
        <f>VLOOKUP($A500,[1]中含分析60315!$A:$M,8,0)</f>
        <v>44</v>
      </c>
      <c r="C500" s="4">
        <f>VLOOKUP($A500,[1]中含分析60315!$A:$M,9,0)</f>
        <v>42</v>
      </c>
      <c r="D500" s="4">
        <f>VLOOKUP($A500,[1]中含分析60315!$A:$M,10,0)</f>
        <v>41</v>
      </c>
      <c r="E500" s="4">
        <f>VLOOKUP($A500,[1]中含分析60315!$A:$M,11,0)</f>
        <v>39</v>
      </c>
      <c r="F500" s="4">
        <f>VLOOKUP($A500,[1]中含分析60315!$A:$M,12,0)</f>
        <v>37</v>
      </c>
      <c r="G500" s="4">
        <f>VLOOKUP($A500,[1]中含分析60315!$A:$M,13,0)</f>
        <v>36</v>
      </c>
      <c r="H500" s="3" t="s">
        <v>10</v>
      </c>
      <c r="I500" s="3" t="s">
        <v>984</v>
      </c>
    </row>
    <row r="501" customHeight="1" spans="1:9">
      <c r="A501" s="6" t="s">
        <v>985</v>
      </c>
      <c r="B501" s="4">
        <f>VLOOKUP($A501,[1]中含分析60315!$A:$M,8,0)</f>
        <v>43</v>
      </c>
      <c r="C501" s="4">
        <f>VLOOKUP($A501,[1]中含分析60315!$A:$M,9,0)</f>
        <v>42</v>
      </c>
      <c r="D501" s="4">
        <f>VLOOKUP($A501,[1]中含分析60315!$A:$M,10,0)</f>
        <v>40</v>
      </c>
      <c r="E501" s="4">
        <f>VLOOKUP($A501,[1]中含分析60315!$A:$M,11,0)</f>
        <v>39</v>
      </c>
      <c r="F501" s="4">
        <f>VLOOKUP($A501,[1]中含分析60315!$A:$M,12,0)</f>
        <v>37</v>
      </c>
      <c r="G501" s="4">
        <f>VLOOKUP($A501,[1]中含分析60315!$A:$M,13,0)</f>
        <v>35</v>
      </c>
      <c r="H501" s="3" t="s">
        <v>10</v>
      </c>
      <c r="I501" s="3" t="s">
        <v>986</v>
      </c>
    </row>
    <row r="502" customHeight="1" spans="1:9">
      <c r="A502" s="10" t="s">
        <v>987</v>
      </c>
      <c r="B502" s="4">
        <f>VLOOKUP($A502,[1]中含分析60315!$A:$M,8,0)</f>
        <v>52</v>
      </c>
      <c r="C502" s="4">
        <f>VLOOKUP($A502,[1]中含分析60315!$A:$M,9,0)</f>
        <v>52</v>
      </c>
      <c r="D502" s="4">
        <f>VLOOKUP($A502,[1]中含分析60315!$A:$M,10,0)</f>
        <v>51</v>
      </c>
      <c r="E502" s="4">
        <f>VLOOKUP($A502,[1]中含分析60315!$A:$M,11,0)</f>
        <v>50</v>
      </c>
      <c r="F502" s="4">
        <f>VLOOKUP($A502,[1]中含分析60315!$A:$M,12,0)</f>
        <v>49</v>
      </c>
      <c r="G502" s="4">
        <f>VLOOKUP($A502,[1]中含分析60315!$A:$M,13,0)</f>
        <v>49</v>
      </c>
      <c r="H502" s="3" t="s">
        <v>39</v>
      </c>
      <c r="I502" s="3" t="s">
        <v>988</v>
      </c>
    </row>
    <row r="503" customHeight="1" spans="1:9">
      <c r="A503" s="6" t="s">
        <v>989</v>
      </c>
      <c r="B503" s="4">
        <f>VLOOKUP($A503,[1]中含分析60315!$A:$M,8,0)</f>
        <v>39</v>
      </c>
      <c r="C503" s="4">
        <f>VLOOKUP($A503,[1]中含分析60315!$A:$M,9,0)</f>
        <v>38</v>
      </c>
      <c r="D503" s="4">
        <f>VLOOKUP($A503,[1]中含分析60315!$A:$M,10,0)</f>
        <v>38</v>
      </c>
      <c r="E503" s="4">
        <f>VLOOKUP($A503,[1]中含分析60315!$A:$M,11,0)</f>
        <v>37</v>
      </c>
      <c r="F503" s="4">
        <f>VLOOKUP($A503,[1]中含分析60315!$A:$M,12,0)</f>
        <v>37</v>
      </c>
      <c r="G503" s="4">
        <f>VLOOKUP($A503,[1]中含分析60315!$A:$M,13,0)</f>
        <v>36</v>
      </c>
      <c r="H503" s="3" t="s">
        <v>39</v>
      </c>
      <c r="I503" s="3" t="s">
        <v>990</v>
      </c>
    </row>
    <row r="504" customHeight="1" spans="1:9">
      <c r="A504" s="9" t="s">
        <v>991</v>
      </c>
      <c r="B504" s="4">
        <f>VLOOKUP($A504,[1]中含分析60315!$A:$M,8,0)</f>
        <v>49</v>
      </c>
      <c r="C504" s="4">
        <f>VLOOKUP($A504,[1]中含分析60315!$A:$M,9,0)</f>
        <v>47</v>
      </c>
      <c r="D504" s="4">
        <f>VLOOKUP($A504,[1]中含分析60315!$A:$M,10,0)</f>
        <v>46</v>
      </c>
      <c r="E504" s="4">
        <f>VLOOKUP($A504,[1]中含分析60315!$A:$M,11,0)</f>
        <v>44</v>
      </c>
      <c r="F504" s="4">
        <f>VLOOKUP($A504,[1]中含分析60315!$A:$M,12,0)</f>
        <v>42</v>
      </c>
      <c r="G504" s="4">
        <f>VLOOKUP($A504,[1]中含分析60315!$A:$M,13,0)</f>
        <v>40</v>
      </c>
      <c r="H504" s="3" t="s">
        <v>10</v>
      </c>
      <c r="I504" s="3" t="s">
        <v>992</v>
      </c>
    </row>
    <row r="505" customHeight="1" spans="1:9">
      <c r="A505" s="6" t="s">
        <v>993</v>
      </c>
      <c r="B505" s="4">
        <f>VLOOKUP($A505,[1]中含分析60315!$A:$M,8,0)</f>
        <v>48</v>
      </c>
      <c r="C505" s="4">
        <f>VLOOKUP($A505,[1]中含分析60315!$A:$M,9,0)</f>
        <v>47</v>
      </c>
      <c r="D505" s="4">
        <f>VLOOKUP($A505,[1]中含分析60315!$A:$M,10,0)</f>
        <v>45</v>
      </c>
      <c r="E505" s="4">
        <f>VLOOKUP($A505,[1]中含分析60315!$A:$M,11,0)</f>
        <v>43</v>
      </c>
      <c r="F505" s="4">
        <f>VLOOKUP($A505,[1]中含分析60315!$A:$M,12,0)</f>
        <v>41</v>
      </c>
      <c r="G505" s="4">
        <f>VLOOKUP($A505,[1]中含分析60315!$A:$M,13,0)</f>
        <v>40</v>
      </c>
      <c r="H505" s="3" t="s">
        <v>10</v>
      </c>
      <c r="I505" s="3" t="s">
        <v>718</v>
      </c>
    </row>
    <row r="506" customHeight="1" spans="1:9">
      <c r="A506" s="4" t="s">
        <v>994</v>
      </c>
      <c r="B506" s="4">
        <f>VLOOKUP($A506,[1]中含分析60315!$A:$M,8,0)</f>
        <v>51</v>
      </c>
      <c r="C506" s="4">
        <f>VLOOKUP($A506,[1]中含分析60315!$A:$M,9,0)</f>
        <v>50</v>
      </c>
      <c r="D506" s="4">
        <f>VLOOKUP($A506,[1]中含分析60315!$A:$M,10,0)</f>
        <v>49</v>
      </c>
      <c r="E506" s="4">
        <f>VLOOKUP($A506,[1]中含分析60315!$A:$M,11,0)</f>
        <v>49</v>
      </c>
      <c r="F506" s="4">
        <f>VLOOKUP($A506,[1]中含分析60315!$A:$M,12,0)</f>
        <v>48</v>
      </c>
      <c r="G506" s="4">
        <f>VLOOKUP($A506,[1]中含分析60315!$A:$M,13,0)</f>
        <v>47</v>
      </c>
      <c r="H506" s="3" t="s">
        <v>39</v>
      </c>
      <c r="I506" s="3" t="s">
        <v>791</v>
      </c>
    </row>
    <row r="507" customHeight="1" spans="1:9">
      <c r="A507" s="4" t="s">
        <v>995</v>
      </c>
      <c r="B507" s="4">
        <f>VLOOKUP($A507,[1]中含分析60315!$A:$M,8,0)</f>
        <v>171</v>
      </c>
      <c r="C507" s="4">
        <f>VLOOKUP($A507,[1]中含分析60315!$A:$M,9,0)</f>
        <v>168</v>
      </c>
      <c r="D507" s="4">
        <f>VLOOKUP($A507,[1]中含分析60315!$A:$M,10,0)</f>
        <v>165</v>
      </c>
      <c r="E507" s="4">
        <f>VLOOKUP($A507,[1]中含分析60315!$A:$M,11,0)</f>
        <v>163</v>
      </c>
      <c r="F507" s="4">
        <f>VLOOKUP($A507,[1]中含分析60315!$A:$M,12,0)</f>
        <v>161</v>
      </c>
      <c r="G507" s="4">
        <f>VLOOKUP($A507,[1]中含分析60315!$A:$M,13,0)</f>
        <v>158</v>
      </c>
      <c r="H507" s="3" t="s">
        <v>39</v>
      </c>
      <c r="I507" s="3" t="s">
        <v>996</v>
      </c>
    </row>
    <row r="508" customHeight="1" spans="1:9">
      <c r="A508" s="6" t="s">
        <v>997</v>
      </c>
      <c r="B508" s="4">
        <f>VLOOKUP($A508,[1]中含分析60315!$A:$M,8,0)</f>
        <v>55</v>
      </c>
      <c r="C508" s="4">
        <f>VLOOKUP($A508,[1]中含分析60315!$A:$M,9,0)</f>
        <v>54</v>
      </c>
      <c r="D508" s="4">
        <f>VLOOKUP($A508,[1]中含分析60315!$A:$M,10,0)</f>
        <v>53</v>
      </c>
      <c r="E508" s="4">
        <f>VLOOKUP($A508,[1]中含分析60315!$A:$M,11,0)</f>
        <v>52</v>
      </c>
      <c r="F508" s="4">
        <f>VLOOKUP($A508,[1]中含分析60315!$A:$M,12,0)</f>
        <v>52</v>
      </c>
      <c r="G508" s="4">
        <f>VLOOKUP($A508,[1]中含分析60315!$A:$M,13,0)</f>
        <v>51</v>
      </c>
      <c r="H508" s="3" t="s">
        <v>39</v>
      </c>
      <c r="I508" s="3" t="s">
        <v>863</v>
      </c>
    </row>
    <row r="509" customHeight="1" spans="1:9">
      <c r="A509" s="10" t="s">
        <v>998</v>
      </c>
      <c r="B509" s="4">
        <f>VLOOKUP($A509,[1]中含分析60315!$A:$M,8,0)</f>
        <v>74</v>
      </c>
      <c r="C509" s="4">
        <f>VLOOKUP($A509,[1]中含分析60315!$A:$M,9,0)</f>
        <v>71</v>
      </c>
      <c r="D509" s="4">
        <f>VLOOKUP($A509,[1]中含分析60315!$A:$M,10,0)</f>
        <v>69</v>
      </c>
      <c r="E509" s="4">
        <f>VLOOKUP($A509,[1]中含分析60315!$A:$M,11,0)</f>
        <v>66</v>
      </c>
      <c r="F509" s="4">
        <f>VLOOKUP($A509,[1]中含分析60315!$A:$M,12,0)</f>
        <v>63</v>
      </c>
      <c r="G509" s="4">
        <f>VLOOKUP($A509,[1]中含分析60315!$A:$M,13,0)</f>
        <v>60</v>
      </c>
      <c r="H509" s="3" t="s">
        <v>10</v>
      </c>
      <c r="I509" s="3" t="s">
        <v>999</v>
      </c>
    </row>
    <row r="510" customHeight="1" spans="1:9">
      <c r="A510" s="4" t="s">
        <v>1000</v>
      </c>
      <c r="B510" s="4">
        <f>VLOOKUP($A510,[1]中含分析60315!$A:$M,8,0)</f>
        <v>35</v>
      </c>
      <c r="C510" s="4">
        <f>VLOOKUP($A510,[1]中含分析60315!$A:$M,9,0)</f>
        <v>34</v>
      </c>
      <c r="D510" s="4">
        <f>VLOOKUP($A510,[1]中含分析60315!$A:$M,10,0)</f>
        <v>32</v>
      </c>
      <c r="E510" s="4">
        <f>VLOOKUP($A510,[1]中含分析60315!$A:$M,11,0)</f>
        <v>31</v>
      </c>
      <c r="F510" s="4">
        <f>VLOOKUP($A510,[1]中含分析60315!$A:$M,12,0)</f>
        <v>30</v>
      </c>
      <c r="G510" s="4">
        <f>VLOOKUP($A510,[1]中含分析60315!$A:$M,13,0)</f>
        <v>29</v>
      </c>
      <c r="H510" s="3" t="s">
        <v>10</v>
      </c>
      <c r="I510" s="3" t="s">
        <v>1001</v>
      </c>
    </row>
    <row r="511" customHeight="1" spans="1:9">
      <c r="A511" s="4" t="s">
        <v>1002</v>
      </c>
      <c r="B511" s="4">
        <f>VLOOKUP($A511,[1]中含分析60315!$A:$M,8,0)</f>
        <v>62</v>
      </c>
      <c r="C511" s="4">
        <f>VLOOKUP($A511,[1]中含分析60315!$A:$M,9,0)</f>
        <v>61</v>
      </c>
      <c r="D511" s="4">
        <f>VLOOKUP($A511,[1]中含分析60315!$A:$M,10,0)</f>
        <v>60</v>
      </c>
      <c r="E511" s="4">
        <f>VLOOKUP($A511,[1]中含分析60315!$A:$M,11,0)</f>
        <v>59</v>
      </c>
      <c r="F511" s="4">
        <f>VLOOKUP($A511,[1]中含分析60315!$A:$M,12,0)</f>
        <v>58</v>
      </c>
      <c r="G511" s="4">
        <f>VLOOKUP($A511,[1]中含分析60315!$A:$M,13,0)</f>
        <v>57</v>
      </c>
      <c r="H511" s="3" t="s">
        <v>39</v>
      </c>
      <c r="I511" s="3" t="s">
        <v>1003</v>
      </c>
    </row>
    <row r="512" customHeight="1" spans="1:9">
      <c r="A512" s="4" t="s">
        <v>1004</v>
      </c>
      <c r="B512" s="4">
        <f>VLOOKUP($A512,[1]中含分析60315!$A:$M,8,0)</f>
        <v>71</v>
      </c>
      <c r="C512" s="4">
        <f>VLOOKUP($A512,[1]中含分析60315!$A:$M,9,0)</f>
        <v>70</v>
      </c>
      <c r="D512" s="4">
        <f>VLOOKUP($A512,[1]中含分析60315!$A:$M,10,0)</f>
        <v>69</v>
      </c>
      <c r="E512" s="4">
        <f>VLOOKUP($A512,[1]中含分析60315!$A:$M,11,0)</f>
        <v>67</v>
      </c>
      <c r="F512" s="4">
        <f>VLOOKUP($A512,[1]中含分析60315!$A:$M,12,0)</f>
        <v>67</v>
      </c>
      <c r="G512" s="4">
        <f>VLOOKUP($A512,[1]中含分析60315!$A:$M,13,0)</f>
        <v>66</v>
      </c>
      <c r="H512" s="3" t="s">
        <v>39</v>
      </c>
      <c r="I512" s="3" t="s">
        <v>1005</v>
      </c>
    </row>
    <row r="513" customHeight="1" spans="1:9">
      <c r="A513" s="4" t="s">
        <v>1006</v>
      </c>
      <c r="B513" s="4">
        <f>VLOOKUP($A513,[1]中含分析60315!$A:$M,8,0)</f>
        <v>51</v>
      </c>
      <c r="C513" s="4">
        <f>VLOOKUP($A513,[1]中含分析60315!$A:$M,9,0)</f>
        <v>49</v>
      </c>
      <c r="D513" s="4">
        <f>VLOOKUP($A513,[1]中含分析60315!$A:$M,10,0)</f>
        <v>47</v>
      </c>
      <c r="E513" s="4">
        <f>VLOOKUP($A513,[1]中含分析60315!$A:$M,11,0)</f>
        <v>45</v>
      </c>
      <c r="F513" s="4">
        <f>VLOOKUP($A513,[1]中含分析60315!$A:$M,12,0)</f>
        <v>43</v>
      </c>
      <c r="G513" s="4">
        <f>VLOOKUP($A513,[1]中含分析60315!$A:$M,13,0)</f>
        <v>41</v>
      </c>
      <c r="H513" s="3" t="s">
        <v>10</v>
      </c>
      <c r="I513" s="3" t="s">
        <v>1007</v>
      </c>
    </row>
    <row r="514" customHeight="1" spans="1:9">
      <c r="A514" s="4" t="s">
        <v>1008</v>
      </c>
      <c r="B514" s="4">
        <f>VLOOKUP($A514,[1]中含分析60315!$A:$M,8,0)</f>
        <v>76</v>
      </c>
      <c r="C514" s="4">
        <f>VLOOKUP($A514,[1]中含分析60315!$A:$M,9,0)</f>
        <v>75</v>
      </c>
      <c r="D514" s="4">
        <f>VLOOKUP($A514,[1]中含分析60315!$A:$M,10,0)</f>
        <v>73</v>
      </c>
      <c r="E514" s="4">
        <f>VLOOKUP($A514,[1]中含分析60315!$A:$M,11,0)</f>
        <v>72</v>
      </c>
      <c r="F514" s="4">
        <f>VLOOKUP($A514,[1]中含分析60315!$A:$M,12,0)</f>
        <v>71</v>
      </c>
      <c r="G514" s="4">
        <f>VLOOKUP($A514,[1]中含分析60315!$A:$M,13,0)</f>
        <v>70</v>
      </c>
      <c r="H514" s="3" t="s">
        <v>39</v>
      </c>
      <c r="I514" s="3" t="s">
        <v>1009</v>
      </c>
    </row>
    <row r="515" customHeight="1" spans="1:9">
      <c r="A515" s="4" t="s">
        <v>1010</v>
      </c>
      <c r="B515" s="4">
        <f>VLOOKUP($A515,[1]中含分析60315!$A:$M,8,0)</f>
        <v>89</v>
      </c>
      <c r="C515" s="4">
        <f>VLOOKUP($A515,[1]中含分析60315!$A:$M,9,0)</f>
        <v>87</v>
      </c>
      <c r="D515" s="4">
        <f>VLOOKUP($A515,[1]中含分析60315!$A:$M,10,0)</f>
        <v>86</v>
      </c>
      <c r="E515" s="4">
        <f>VLOOKUP($A515,[1]中含分析60315!$A:$M,11,0)</f>
        <v>84</v>
      </c>
      <c r="F515" s="4">
        <f>VLOOKUP($A515,[1]中含分析60315!$A:$M,12,0)</f>
        <v>84</v>
      </c>
      <c r="G515" s="4">
        <f>VLOOKUP($A515,[1]中含分析60315!$A:$M,13,0)</f>
        <v>82</v>
      </c>
      <c r="H515" s="3" t="s">
        <v>39</v>
      </c>
      <c r="I515" s="3" t="s">
        <v>1011</v>
      </c>
    </row>
    <row r="516" customHeight="1" spans="1:9">
      <c r="A516" s="4" t="s">
        <v>1012</v>
      </c>
      <c r="B516" s="4">
        <f>VLOOKUP($A516,[1]中含分析60315!$A:$M,8,0)</f>
        <v>51</v>
      </c>
      <c r="C516" s="4">
        <f>VLOOKUP($A516,[1]中含分析60315!$A:$M,9,0)</f>
        <v>49</v>
      </c>
      <c r="D516" s="4">
        <f>VLOOKUP($A516,[1]中含分析60315!$A:$M,10,0)</f>
        <v>47</v>
      </c>
      <c r="E516" s="4">
        <f>VLOOKUP($A516,[1]中含分析60315!$A:$M,11,0)</f>
        <v>45</v>
      </c>
      <c r="F516" s="4">
        <f>VLOOKUP($A516,[1]中含分析60315!$A:$M,12,0)</f>
        <v>43</v>
      </c>
      <c r="G516" s="4">
        <f>VLOOKUP($A516,[1]中含分析60315!$A:$M,13,0)</f>
        <v>41</v>
      </c>
      <c r="H516" s="3" t="s">
        <v>10</v>
      </c>
      <c r="I516" s="3" t="s">
        <v>1013</v>
      </c>
    </row>
    <row r="517" customHeight="1" spans="1:9">
      <c r="A517" s="4" t="s">
        <v>1014</v>
      </c>
      <c r="B517" s="4">
        <f>VLOOKUP($A517,[1]中含分析60315!$A:$M,8,0)</f>
        <v>48</v>
      </c>
      <c r="C517" s="4">
        <f>VLOOKUP($A517,[1]中含分析60315!$A:$M,9,0)</f>
        <v>47</v>
      </c>
      <c r="D517" s="4">
        <f>VLOOKUP($A517,[1]中含分析60315!$A:$M,10,0)</f>
        <v>47</v>
      </c>
      <c r="E517" s="4">
        <f>VLOOKUP($A517,[1]中含分析60315!$A:$M,11,0)</f>
        <v>46</v>
      </c>
      <c r="F517" s="4">
        <f>VLOOKUP($A517,[1]中含分析60315!$A:$M,12,0)</f>
        <v>45</v>
      </c>
      <c r="G517" s="4">
        <f>VLOOKUP($A517,[1]中含分析60315!$A:$M,13,0)</f>
        <v>45</v>
      </c>
      <c r="H517" s="3" t="s">
        <v>39</v>
      </c>
      <c r="I517" s="3" t="s">
        <v>1015</v>
      </c>
    </row>
    <row r="518" customHeight="1" spans="1:9">
      <c r="A518" s="11" t="s">
        <v>1016</v>
      </c>
      <c r="B518" s="4">
        <f>VLOOKUP($A518,[1]中含分析60315!$A:$M,8,0)</f>
        <v>27</v>
      </c>
      <c r="C518" s="4">
        <f>VLOOKUP($A518,[1]中含分析60315!$A:$M,9,0)</f>
        <v>26</v>
      </c>
      <c r="D518" s="4">
        <f>VLOOKUP($A518,[1]中含分析60315!$A:$M,10,0)</f>
        <v>25</v>
      </c>
      <c r="E518" s="4">
        <f>VLOOKUP($A518,[1]中含分析60315!$A:$M,11,0)</f>
        <v>24</v>
      </c>
      <c r="F518" s="4">
        <f>VLOOKUP($A518,[1]中含分析60315!$A:$M,12,0)</f>
        <v>23</v>
      </c>
      <c r="G518" s="4">
        <f>VLOOKUP($A518,[1]中含分析60315!$A:$M,13,0)</f>
        <v>22</v>
      </c>
      <c r="H518" s="3" t="s">
        <v>10</v>
      </c>
      <c r="I518" s="3" t="s">
        <v>1017</v>
      </c>
    </row>
    <row r="519" customHeight="1" spans="1:9">
      <c r="A519" s="9" t="s">
        <v>1018</v>
      </c>
      <c r="B519" s="4">
        <f>VLOOKUP($A519,[1]中含分析60315!$A:$M,8,0)</f>
        <v>36</v>
      </c>
      <c r="C519" s="4">
        <f>VLOOKUP($A519,[1]中含分析60315!$A:$M,9,0)</f>
        <v>35</v>
      </c>
      <c r="D519" s="4">
        <f>VLOOKUP($A519,[1]中含分析60315!$A:$M,10,0)</f>
        <v>34</v>
      </c>
      <c r="E519" s="4">
        <f>VLOOKUP($A519,[1]中含分析60315!$A:$M,11,0)</f>
        <v>32</v>
      </c>
      <c r="F519" s="4">
        <f>VLOOKUP($A519,[1]中含分析60315!$A:$M,12,0)</f>
        <v>31</v>
      </c>
      <c r="G519" s="4">
        <f>VLOOKUP($A519,[1]中含分析60315!$A:$M,13,0)</f>
        <v>30</v>
      </c>
      <c r="H519" s="3" t="s">
        <v>10</v>
      </c>
      <c r="I519" s="3" t="s">
        <v>1019</v>
      </c>
    </row>
    <row r="520" customHeight="1" spans="1:9">
      <c r="A520" s="11" t="s">
        <v>1020</v>
      </c>
      <c r="B520" s="4">
        <f>VLOOKUP($A520,[1]中含分析60315!$A:$M,8,0)</f>
        <v>66</v>
      </c>
      <c r="C520" s="4">
        <f>VLOOKUP($A520,[1]中含分析60315!$A:$M,9,0)</f>
        <v>65</v>
      </c>
      <c r="D520" s="4">
        <f>VLOOKUP($A520,[1]中含分析60315!$A:$M,10,0)</f>
        <v>64</v>
      </c>
      <c r="E520" s="4">
        <f>VLOOKUP($A520,[1]中含分析60315!$A:$M,11,0)</f>
        <v>63</v>
      </c>
      <c r="F520" s="4">
        <f>VLOOKUP($A520,[1]中含分析60315!$A:$M,12,0)</f>
        <v>62</v>
      </c>
      <c r="G520" s="4">
        <f>VLOOKUP($A520,[1]中含分析60315!$A:$M,13,0)</f>
        <v>61</v>
      </c>
      <c r="H520" s="3" t="s">
        <v>39</v>
      </c>
      <c r="I520" s="3" t="s">
        <v>996</v>
      </c>
    </row>
    <row r="521" customHeight="1" spans="1:9">
      <c r="A521" s="11" t="s">
        <v>1021</v>
      </c>
      <c r="B521" s="4">
        <f>VLOOKUP($A521,[1]中含分析60315!$A:$M,8,0)</f>
        <v>59</v>
      </c>
      <c r="C521" s="4">
        <f>VLOOKUP($A521,[1]中含分析60315!$A:$M,9,0)</f>
        <v>57</v>
      </c>
      <c r="D521" s="4">
        <f>VLOOKUP($A521,[1]中含分析60315!$A:$M,10,0)</f>
        <v>54</v>
      </c>
      <c r="E521" s="4">
        <f>VLOOKUP($A521,[1]中含分析60315!$A:$M,11,0)</f>
        <v>52</v>
      </c>
      <c r="F521" s="4">
        <f>VLOOKUP($A521,[1]中含分析60315!$A:$M,12,0)</f>
        <v>50</v>
      </c>
      <c r="G521" s="4">
        <f>VLOOKUP($A521,[1]中含分析60315!$A:$M,13,0)</f>
        <v>48</v>
      </c>
      <c r="H521" s="3" t="s">
        <v>10</v>
      </c>
      <c r="I521" s="3" t="s">
        <v>1022</v>
      </c>
    </row>
    <row r="522" customHeight="1" spans="1:9">
      <c r="A522" s="11" t="s">
        <v>1023</v>
      </c>
      <c r="B522" s="4">
        <f>VLOOKUP($A522,[1]中含分析60315!$A:$M,8,0)</f>
        <v>62</v>
      </c>
      <c r="C522" s="4">
        <f>VLOOKUP($A522,[1]中含分析60315!$A:$M,9,0)</f>
        <v>61</v>
      </c>
      <c r="D522" s="4">
        <f>VLOOKUP($A522,[1]中含分析60315!$A:$M,10,0)</f>
        <v>60</v>
      </c>
      <c r="E522" s="4">
        <f>VLOOKUP($A522,[1]中含分析60315!$A:$M,11,0)</f>
        <v>59</v>
      </c>
      <c r="F522" s="4">
        <f>VLOOKUP($A522,[1]中含分析60315!$A:$M,12,0)</f>
        <v>58</v>
      </c>
      <c r="G522" s="4">
        <f>VLOOKUP($A522,[1]中含分析60315!$A:$M,13,0)</f>
        <v>57</v>
      </c>
      <c r="H522" s="3" t="s">
        <v>39</v>
      </c>
      <c r="I522" s="3" t="s">
        <v>1024</v>
      </c>
    </row>
    <row r="523" customHeight="1" spans="1:9">
      <c r="A523" s="11" t="s">
        <v>1025</v>
      </c>
      <c r="B523" s="4">
        <f>VLOOKUP($A523,[1]中含分析60315!$A:$M,8,0)</f>
        <v>105</v>
      </c>
      <c r="C523" s="4">
        <f>VLOOKUP($A523,[1]中含分析60315!$A:$M,9,0)</f>
        <v>103</v>
      </c>
      <c r="D523" s="4">
        <f>VLOOKUP($A523,[1]中含分析60315!$A:$M,10,0)</f>
        <v>101</v>
      </c>
      <c r="E523" s="4">
        <f>VLOOKUP($A523,[1]中含分析60315!$A:$M,11,0)</f>
        <v>99</v>
      </c>
      <c r="F523" s="4">
        <f>VLOOKUP($A523,[1]中含分析60315!$A:$M,12,0)</f>
        <v>99</v>
      </c>
      <c r="G523" s="4">
        <f>VLOOKUP($A523,[1]中含分析60315!$A:$M,13,0)</f>
        <v>97</v>
      </c>
      <c r="H523" s="3" t="s">
        <v>39</v>
      </c>
      <c r="I523" s="3" t="s">
        <v>1026</v>
      </c>
    </row>
    <row r="524" customHeight="1" spans="1:9">
      <c r="A524" s="9" t="s">
        <v>1027</v>
      </c>
      <c r="B524" s="4">
        <f>VLOOKUP($A524,[1]中含分析60315!$A:$M,8,0)</f>
        <v>207</v>
      </c>
      <c r="C524" s="4">
        <f>VLOOKUP($A524,[1]中含分析60315!$A:$M,9,0)</f>
        <v>203</v>
      </c>
      <c r="D524" s="4">
        <f>VLOOKUP($A524,[1]中含分析60315!$A:$M,10,0)</f>
        <v>200</v>
      </c>
      <c r="E524" s="4">
        <f>VLOOKUP($A524,[1]中含分析60315!$A:$M,11,0)</f>
        <v>196</v>
      </c>
      <c r="F524" s="4">
        <f>VLOOKUP($A524,[1]中含分析60315!$A:$M,12,0)</f>
        <v>195</v>
      </c>
      <c r="G524" s="4">
        <f>VLOOKUP($A524,[1]中含分析60315!$A:$M,13,0)</f>
        <v>191</v>
      </c>
      <c r="H524" s="3" t="s">
        <v>39</v>
      </c>
      <c r="I524" s="3" t="s">
        <v>1028</v>
      </c>
    </row>
    <row r="525" customHeight="1" spans="1:9">
      <c r="A525" s="9" t="s">
        <v>1029</v>
      </c>
      <c r="B525" s="4">
        <f>VLOOKUP($A525,[1]中含分析60315!$A:$M,8,0)</f>
        <v>51</v>
      </c>
      <c r="C525" s="4">
        <f>VLOOKUP($A525,[1]中含分析60315!$A:$M,9,0)</f>
        <v>49</v>
      </c>
      <c r="D525" s="4">
        <f>VLOOKUP($A525,[1]中含分析60315!$A:$M,10,0)</f>
        <v>47</v>
      </c>
      <c r="E525" s="4">
        <f>VLOOKUP($A525,[1]中含分析60315!$A:$M,11,0)</f>
        <v>46</v>
      </c>
      <c r="F525" s="4">
        <f>VLOOKUP($A525,[1]中含分析60315!$A:$M,12,0)</f>
        <v>44</v>
      </c>
      <c r="G525" s="4">
        <f>VLOOKUP($A525,[1]中含分析60315!$A:$M,13,0)</f>
        <v>42</v>
      </c>
      <c r="H525" s="3" t="s">
        <v>10</v>
      </c>
      <c r="I525" s="3" t="s">
        <v>1030</v>
      </c>
    </row>
    <row r="526" customHeight="1" spans="1:9">
      <c r="A526" s="11" t="s">
        <v>1031</v>
      </c>
      <c r="B526" s="4">
        <f>VLOOKUP($A526,[1]中含分析60315!$A:$M,8,0)</f>
        <v>49</v>
      </c>
      <c r="C526" s="4">
        <f>VLOOKUP($A526,[1]中含分析60315!$A:$M,9,0)</f>
        <v>47</v>
      </c>
      <c r="D526" s="4">
        <f>VLOOKUP($A526,[1]中含分析60315!$A:$M,10,0)</f>
        <v>46</v>
      </c>
      <c r="E526" s="4">
        <f>VLOOKUP($A526,[1]中含分析60315!$A:$M,11,0)</f>
        <v>44</v>
      </c>
      <c r="F526" s="4">
        <f>VLOOKUP($A526,[1]中含分析60315!$A:$M,12,0)</f>
        <v>42</v>
      </c>
      <c r="G526" s="4">
        <f>VLOOKUP($A526,[1]中含分析60315!$A:$M,13,0)</f>
        <v>40</v>
      </c>
      <c r="H526" s="3" t="s">
        <v>10</v>
      </c>
      <c r="I526" s="3" t="s">
        <v>1032</v>
      </c>
    </row>
    <row r="527" customHeight="1" spans="1:9">
      <c r="A527" s="11" t="s">
        <v>1033</v>
      </c>
      <c r="B527" s="4">
        <f>VLOOKUP($A527,[1]中含分析60315!$A:$M,8,0)</f>
        <v>39</v>
      </c>
      <c r="C527" s="4">
        <f>VLOOKUP($A527,[1]中含分析60315!$A:$M,9,0)</f>
        <v>37</v>
      </c>
      <c r="D527" s="4">
        <f>VLOOKUP($A527,[1]中含分析60315!$A:$M,10,0)</f>
        <v>36</v>
      </c>
      <c r="E527" s="4">
        <f>VLOOKUP($A527,[1]中含分析60315!$A:$M,11,0)</f>
        <v>35</v>
      </c>
      <c r="F527" s="4">
        <f>VLOOKUP($A527,[1]中含分析60315!$A:$M,12,0)</f>
        <v>33</v>
      </c>
      <c r="G527" s="4">
        <f>VLOOKUP($A527,[1]中含分析60315!$A:$M,13,0)</f>
        <v>32</v>
      </c>
      <c r="H527" s="3" t="s">
        <v>10</v>
      </c>
      <c r="I527" s="3" t="s">
        <v>1034</v>
      </c>
    </row>
    <row r="528" customHeight="1" spans="1:9">
      <c r="A528" s="9" t="s">
        <v>1035</v>
      </c>
      <c r="B528" s="4">
        <f>VLOOKUP($A528,[1]中含分析60315!$A:$M,8,0)</f>
        <v>50</v>
      </c>
      <c r="C528" s="4">
        <f>VLOOKUP($A528,[1]中含分析60315!$A:$M,9,0)</f>
        <v>49</v>
      </c>
      <c r="D528" s="4">
        <f>VLOOKUP($A528,[1]中含分析60315!$A:$M,10,0)</f>
        <v>48</v>
      </c>
      <c r="E528" s="4">
        <f>VLOOKUP($A528,[1]中含分析60315!$A:$M,11,0)</f>
        <v>47</v>
      </c>
      <c r="F528" s="4">
        <f>VLOOKUP($A528,[1]中含分析60315!$A:$M,12,0)</f>
        <v>47</v>
      </c>
      <c r="G528" s="4">
        <f>VLOOKUP($A528,[1]中含分析60315!$A:$M,13,0)</f>
        <v>46</v>
      </c>
      <c r="H528" s="3" t="s">
        <v>39</v>
      </c>
      <c r="I528" s="3" t="s">
        <v>748</v>
      </c>
    </row>
    <row r="529" customHeight="1" spans="1:9">
      <c r="A529" s="4" t="s">
        <v>1036</v>
      </c>
      <c r="B529" s="4">
        <f>VLOOKUP($A529,[1]中含分析60315!$A:$M,8,0)</f>
        <v>50</v>
      </c>
      <c r="C529" s="4">
        <f>VLOOKUP($A529,[1]中含分析60315!$A:$M,9,0)</f>
        <v>48</v>
      </c>
      <c r="D529" s="4">
        <f>VLOOKUP($A529,[1]中含分析60315!$A:$M,10,0)</f>
        <v>46</v>
      </c>
      <c r="E529" s="4">
        <f>VLOOKUP($A529,[1]中含分析60315!$A:$M,11,0)</f>
        <v>44</v>
      </c>
      <c r="F529" s="4">
        <f>VLOOKUP($A529,[1]中含分析60315!$A:$M,12,0)</f>
        <v>43</v>
      </c>
      <c r="G529" s="4">
        <f>VLOOKUP($A529,[1]中含分析60315!$A:$M,13,0)</f>
        <v>41</v>
      </c>
      <c r="H529" s="3" t="s">
        <v>10</v>
      </c>
      <c r="I529" s="3" t="s">
        <v>1037</v>
      </c>
    </row>
    <row r="530" customHeight="1" spans="1:9">
      <c r="A530" s="4" t="s">
        <v>1038</v>
      </c>
      <c r="B530" s="4">
        <f>VLOOKUP($A530,[1]中含分析60315!$A:$M,8,0)</f>
        <v>55</v>
      </c>
      <c r="C530" s="4">
        <f>VLOOKUP($A530,[1]中含分析60315!$A:$M,9,0)</f>
        <v>54</v>
      </c>
      <c r="D530" s="4">
        <f>VLOOKUP($A530,[1]中含分析60315!$A:$M,10,0)</f>
        <v>54</v>
      </c>
      <c r="E530" s="4">
        <f>VLOOKUP($A530,[1]中含分析60315!$A:$M,11,0)</f>
        <v>53</v>
      </c>
      <c r="F530" s="4">
        <f>VLOOKUP($A530,[1]中含分析60315!$A:$M,12,0)</f>
        <v>52</v>
      </c>
      <c r="G530" s="4">
        <f>VLOOKUP($A530,[1]中含分析60315!$A:$M,13,0)</f>
        <v>51</v>
      </c>
      <c r="H530" s="3" t="s">
        <v>39</v>
      </c>
      <c r="I530" s="3" t="s">
        <v>1039</v>
      </c>
    </row>
    <row r="531" customHeight="1" spans="1:9">
      <c r="A531" s="11" t="s">
        <v>1040</v>
      </c>
      <c r="B531" s="4">
        <f>VLOOKUP($A531,[1]中含分析60315!$A:$M,8,0)</f>
        <v>45</v>
      </c>
      <c r="C531" s="4">
        <f>VLOOKUP($A531,[1]中含分析60315!$A:$M,9,0)</f>
        <v>44</v>
      </c>
      <c r="D531" s="4">
        <f>VLOOKUP($A531,[1]中含分析60315!$A:$M,10,0)</f>
        <v>42</v>
      </c>
      <c r="E531" s="4">
        <f>VLOOKUP($A531,[1]中含分析60315!$A:$M,11,0)</f>
        <v>40</v>
      </c>
      <c r="F531" s="4">
        <f>VLOOKUP($A531,[1]中含分析60315!$A:$M,12,0)</f>
        <v>39</v>
      </c>
      <c r="G531" s="4">
        <f>VLOOKUP($A531,[1]中含分析60315!$A:$M,13,0)</f>
        <v>37</v>
      </c>
      <c r="H531" s="3" t="s">
        <v>10</v>
      </c>
      <c r="I531" s="3" t="s">
        <v>1041</v>
      </c>
    </row>
    <row r="532" customHeight="1" spans="1:9">
      <c r="A532" s="11" t="s">
        <v>1042</v>
      </c>
      <c r="B532" s="4">
        <f>VLOOKUP($A532,[1]中含分析60315!$A:$M,8,0)</f>
        <v>55</v>
      </c>
      <c r="C532" s="4">
        <f>VLOOKUP($A532,[1]中含分析60315!$A:$M,9,0)</f>
        <v>54</v>
      </c>
      <c r="D532" s="4">
        <f>VLOOKUP($A532,[1]中含分析60315!$A:$M,10,0)</f>
        <v>54</v>
      </c>
      <c r="E532" s="4">
        <f>VLOOKUP($A532,[1]中含分析60315!$A:$M,11,0)</f>
        <v>53</v>
      </c>
      <c r="F532" s="4">
        <f>VLOOKUP($A532,[1]中含分析60315!$A:$M,12,0)</f>
        <v>52</v>
      </c>
      <c r="G532" s="4">
        <f>VLOOKUP($A532,[1]中含分析60315!$A:$M,13,0)</f>
        <v>51</v>
      </c>
      <c r="H532" s="3" t="s">
        <v>39</v>
      </c>
      <c r="I532" s="3" t="s">
        <v>1043</v>
      </c>
    </row>
    <row r="533" customHeight="1" spans="1:9">
      <c r="A533" s="5" t="s">
        <v>1044</v>
      </c>
      <c r="B533" s="4">
        <f>VLOOKUP($A533,[1]中含分析60315!$A:$M,8,0)</f>
        <v>84</v>
      </c>
      <c r="C533" s="4">
        <f>VLOOKUP($A533,[1]中含分析60315!$A:$M,9,0)</f>
        <v>82</v>
      </c>
      <c r="D533" s="4">
        <f>VLOOKUP($A533,[1]中含分析60315!$A:$M,10,0)</f>
        <v>81</v>
      </c>
      <c r="E533" s="4">
        <f>VLOOKUP($A533,[1]中含分析60315!$A:$M,11,0)</f>
        <v>79</v>
      </c>
      <c r="F533" s="4">
        <f>VLOOKUP($A533,[1]中含分析60315!$A:$M,12,0)</f>
        <v>79</v>
      </c>
      <c r="G533" s="4">
        <f>VLOOKUP($A533,[1]中含分析60315!$A:$M,13,0)</f>
        <v>77</v>
      </c>
      <c r="H533" s="3" t="s">
        <v>39</v>
      </c>
      <c r="I533" s="3" t="s">
        <v>1045</v>
      </c>
    </row>
    <row r="534" customHeight="1" spans="1:9">
      <c r="A534" s="11" t="s">
        <v>1046</v>
      </c>
      <c r="B534" s="4">
        <f>VLOOKUP($A534,[1]中含分析60315!$A:$M,8,0)</f>
        <v>84</v>
      </c>
      <c r="C534" s="4">
        <f>VLOOKUP($A534,[1]中含分析60315!$A:$M,9,0)</f>
        <v>82</v>
      </c>
      <c r="D534" s="4">
        <f>VLOOKUP($A534,[1]中含分析60315!$A:$M,10,0)</f>
        <v>81</v>
      </c>
      <c r="E534" s="4">
        <f>VLOOKUP($A534,[1]中含分析60315!$A:$M,11,0)</f>
        <v>79</v>
      </c>
      <c r="F534" s="4">
        <f>VLOOKUP($A534,[1]中含分析60315!$A:$M,12,0)</f>
        <v>79</v>
      </c>
      <c r="G534" s="4">
        <f>VLOOKUP($A534,[1]中含分析60315!$A:$M,13,0)</f>
        <v>77</v>
      </c>
      <c r="H534" s="3" t="s">
        <v>39</v>
      </c>
      <c r="I534" s="3" t="s">
        <v>1047</v>
      </c>
    </row>
    <row r="535" customHeight="1" spans="1:9">
      <c r="A535" s="11" t="s">
        <v>1048</v>
      </c>
      <c r="B535" s="4">
        <f>VLOOKUP($A535,[1]中含分析60315!$A:$M,8,0)</f>
        <v>45</v>
      </c>
      <c r="C535" s="4">
        <f>VLOOKUP($A535,[1]中含分析60315!$A:$M,9,0)</f>
        <v>43</v>
      </c>
      <c r="D535" s="4">
        <f>VLOOKUP($A535,[1]中含分析60315!$A:$M,10,0)</f>
        <v>42</v>
      </c>
      <c r="E535" s="4">
        <f>VLOOKUP($A535,[1]中含分析60315!$A:$M,11,0)</f>
        <v>40</v>
      </c>
      <c r="F535" s="4">
        <f>VLOOKUP($A535,[1]中含分析60315!$A:$M,12,0)</f>
        <v>38</v>
      </c>
      <c r="G535" s="4">
        <f>VLOOKUP($A535,[1]中含分析60315!$A:$M,13,0)</f>
        <v>37</v>
      </c>
      <c r="H535" s="3" t="s">
        <v>10</v>
      </c>
      <c r="I535" s="3" t="s">
        <v>1049</v>
      </c>
    </row>
    <row r="536" customHeight="1" spans="1:9">
      <c r="A536" s="11" t="s">
        <v>1050</v>
      </c>
      <c r="B536" s="4">
        <f>VLOOKUP($A536,[1]中含分析60315!$A:$M,8,0)</f>
        <v>31</v>
      </c>
      <c r="C536" s="4">
        <f>VLOOKUP($A536,[1]中含分析60315!$A:$M,9,0)</f>
        <v>30</v>
      </c>
      <c r="D536" s="4">
        <f>VLOOKUP($A536,[1]中含分析60315!$A:$M,10,0)</f>
        <v>29</v>
      </c>
      <c r="E536" s="4">
        <f>VLOOKUP($A536,[1]中含分析60315!$A:$M,11,0)</f>
        <v>28</v>
      </c>
      <c r="F536" s="4">
        <f>VLOOKUP($A536,[1]中含分析60315!$A:$M,12,0)</f>
        <v>26</v>
      </c>
      <c r="G536" s="4">
        <f>VLOOKUP($A536,[1]中含分析60315!$A:$M,13,0)</f>
        <v>25</v>
      </c>
      <c r="H536" s="3" t="s">
        <v>10</v>
      </c>
      <c r="I536" s="3" t="s">
        <v>1051</v>
      </c>
    </row>
    <row r="537" customHeight="1" spans="1:9">
      <c r="A537" s="11" t="s">
        <v>1052</v>
      </c>
      <c r="B537" s="4">
        <f>VLOOKUP($A537,[1]中含分析60315!$A:$M,8,0)</f>
        <v>47</v>
      </c>
      <c r="C537" s="4">
        <f>VLOOKUP($A537,[1]中含分析60315!$A:$M,9,0)</f>
        <v>45</v>
      </c>
      <c r="D537" s="4">
        <f>VLOOKUP($A537,[1]中含分析60315!$A:$M,10,0)</f>
        <v>44</v>
      </c>
      <c r="E537" s="4">
        <f>VLOOKUP($A537,[1]中含分析60315!$A:$M,11,0)</f>
        <v>42</v>
      </c>
      <c r="F537" s="4">
        <f>VLOOKUP($A537,[1]中含分析60315!$A:$M,12,0)</f>
        <v>40</v>
      </c>
      <c r="G537" s="4">
        <f>VLOOKUP($A537,[1]中含分析60315!$A:$M,13,0)</f>
        <v>38</v>
      </c>
      <c r="H537" s="3" t="s">
        <v>10</v>
      </c>
      <c r="I537" s="3" t="s">
        <v>1053</v>
      </c>
    </row>
    <row r="538" customHeight="1" spans="1:9">
      <c r="A538" s="11" t="s">
        <v>1054</v>
      </c>
      <c r="B538" s="4">
        <f>VLOOKUP($A538,[1]中含分析60315!$A:$M,8,0)</f>
        <v>34</v>
      </c>
      <c r="C538" s="4">
        <f>VLOOKUP($A538,[1]中含分析60315!$A:$M,9,0)</f>
        <v>32</v>
      </c>
      <c r="D538" s="4">
        <f>VLOOKUP($A538,[1]中含分析60315!$A:$M,10,0)</f>
        <v>31</v>
      </c>
      <c r="E538" s="4">
        <f>VLOOKUP($A538,[1]中含分析60315!$A:$M,11,0)</f>
        <v>30</v>
      </c>
      <c r="F538" s="4">
        <f>VLOOKUP($A538,[1]中含分析60315!$A:$M,12,0)</f>
        <v>29</v>
      </c>
      <c r="G538" s="4">
        <f>VLOOKUP($A538,[1]中含分析60315!$A:$M,13,0)</f>
        <v>28</v>
      </c>
      <c r="H538" s="3" t="s">
        <v>10</v>
      </c>
      <c r="I538" s="3" t="s">
        <v>1055</v>
      </c>
    </row>
    <row r="539" customHeight="1" spans="1:9">
      <c r="A539" s="11" t="s">
        <v>1056</v>
      </c>
      <c r="B539" s="4">
        <f>VLOOKUP($A539,[1]中含分析60315!$A:$M,8,0)</f>
        <v>45</v>
      </c>
      <c r="C539" s="4">
        <f>VLOOKUP($A539,[1]中含分析60315!$A:$M,9,0)</f>
        <v>44</v>
      </c>
      <c r="D539" s="4">
        <f>VLOOKUP($A539,[1]中含分析60315!$A:$M,10,0)</f>
        <v>42</v>
      </c>
      <c r="E539" s="4">
        <f>VLOOKUP($A539,[1]中含分析60315!$A:$M,11,0)</f>
        <v>40</v>
      </c>
      <c r="F539" s="4">
        <f>VLOOKUP($A539,[1]中含分析60315!$A:$M,12,0)</f>
        <v>39</v>
      </c>
      <c r="G539" s="4">
        <f>VLOOKUP($A539,[1]中含分析60315!$A:$M,13,0)</f>
        <v>37</v>
      </c>
      <c r="H539" s="3" t="s">
        <v>10</v>
      </c>
      <c r="I539" s="3" t="s">
        <v>1057</v>
      </c>
    </row>
    <row r="540" customHeight="1" spans="1:9">
      <c r="A540" s="11" t="s">
        <v>1058</v>
      </c>
      <c r="B540" s="4">
        <f>VLOOKUP($A540,[1]中含分析60315!$A:$M,8,0)</f>
        <v>63</v>
      </c>
      <c r="C540" s="4">
        <f>VLOOKUP($A540,[1]中含分析60315!$A:$M,9,0)</f>
        <v>62</v>
      </c>
      <c r="D540" s="4">
        <f>VLOOKUP($A540,[1]中含分析60315!$A:$M,10,0)</f>
        <v>61</v>
      </c>
      <c r="E540" s="4">
        <f>VLOOKUP($A540,[1]中含分析60315!$A:$M,11,0)</f>
        <v>60</v>
      </c>
      <c r="F540" s="4">
        <f>VLOOKUP($A540,[1]中含分析60315!$A:$M,12,0)</f>
        <v>60</v>
      </c>
      <c r="G540" s="4">
        <f>VLOOKUP($A540,[1]中含分析60315!$A:$M,13,0)</f>
        <v>59</v>
      </c>
      <c r="H540" s="3" t="s">
        <v>39</v>
      </c>
      <c r="I540" s="3" t="s">
        <v>1059</v>
      </c>
    </row>
    <row r="541" customHeight="1" spans="1:9">
      <c r="A541" s="11" t="s">
        <v>1060</v>
      </c>
      <c r="B541" s="4">
        <f>VLOOKUP($A541,[1]中含分析60315!$A:$M,8,0)</f>
        <v>49</v>
      </c>
      <c r="C541" s="4">
        <f>VLOOKUP($A541,[1]中含分析60315!$A:$M,9,0)</f>
        <v>48</v>
      </c>
      <c r="D541" s="4">
        <f>VLOOKUP($A541,[1]中含分析60315!$A:$M,10,0)</f>
        <v>47</v>
      </c>
      <c r="E541" s="4">
        <f>VLOOKUP($A541,[1]中含分析60315!$A:$M,11,0)</f>
        <v>46</v>
      </c>
      <c r="F541" s="4">
        <f>VLOOKUP($A541,[1]中含分析60315!$A:$M,12,0)</f>
        <v>46</v>
      </c>
      <c r="G541" s="4">
        <f>VLOOKUP($A541,[1]中含分析60315!$A:$M,13,0)</f>
        <v>45</v>
      </c>
      <c r="H541" s="3" t="s">
        <v>39</v>
      </c>
      <c r="I541" s="3" t="s">
        <v>1061</v>
      </c>
    </row>
    <row r="542" customHeight="1" spans="1:9">
      <c r="A542" s="11" t="s">
        <v>1062</v>
      </c>
      <c r="B542" s="4">
        <f>VLOOKUP($A542,[1]中含分析60315!$A:$M,8,0)</f>
        <v>52</v>
      </c>
      <c r="C542" s="4">
        <f>VLOOKUP($A542,[1]中含分析60315!$A:$M,9,0)</f>
        <v>52</v>
      </c>
      <c r="D542" s="4">
        <f>VLOOKUP($A542,[1]中含分析60315!$A:$M,10,0)</f>
        <v>51</v>
      </c>
      <c r="E542" s="4">
        <f>VLOOKUP($A542,[1]中含分析60315!$A:$M,11,0)</f>
        <v>50</v>
      </c>
      <c r="F542" s="4">
        <f>VLOOKUP($A542,[1]中含分析60315!$A:$M,12,0)</f>
        <v>49</v>
      </c>
      <c r="G542" s="4">
        <f>VLOOKUP($A542,[1]中含分析60315!$A:$M,13,0)</f>
        <v>49</v>
      </c>
      <c r="H542" s="3" t="s">
        <v>39</v>
      </c>
      <c r="I542" s="3" t="s">
        <v>1063</v>
      </c>
    </row>
    <row r="543" customHeight="1" spans="1:9">
      <c r="A543" s="11" t="s">
        <v>1064</v>
      </c>
      <c r="B543" s="4">
        <f>VLOOKUP($A543,[1]中含分析60315!$A:$M,8,0)</f>
        <v>59</v>
      </c>
      <c r="C543" s="4">
        <f>VLOOKUP($A543,[1]中含分析60315!$A:$M,9,0)</f>
        <v>57</v>
      </c>
      <c r="D543" s="4">
        <f>VLOOKUP($A543,[1]中含分析60315!$A:$M,10,0)</f>
        <v>54</v>
      </c>
      <c r="E543" s="4">
        <f>VLOOKUP($A543,[1]中含分析60315!$A:$M,11,0)</f>
        <v>52</v>
      </c>
      <c r="F543" s="4">
        <f>VLOOKUP($A543,[1]中含分析60315!$A:$M,12,0)</f>
        <v>50</v>
      </c>
      <c r="G543" s="4">
        <f>VLOOKUP($A543,[1]中含分析60315!$A:$M,13,0)</f>
        <v>48</v>
      </c>
      <c r="H543" s="3" t="s">
        <v>10</v>
      </c>
      <c r="I543" s="3" t="s">
        <v>1065</v>
      </c>
    </row>
    <row r="544" customHeight="1" spans="1:9">
      <c r="A544" s="11" t="s">
        <v>1066</v>
      </c>
      <c r="B544" s="4">
        <f>VLOOKUP($A544,[1]中含分析60315!$A:$M,8,0)</f>
        <v>39</v>
      </c>
      <c r="C544" s="4">
        <f>VLOOKUP($A544,[1]中含分析60315!$A:$M,9,0)</f>
        <v>39</v>
      </c>
      <c r="D544" s="4">
        <f>VLOOKUP($A544,[1]中含分析60315!$A:$M,10,0)</f>
        <v>38</v>
      </c>
      <c r="E544" s="4">
        <f>VLOOKUP($A544,[1]中含分析60315!$A:$M,11,0)</f>
        <v>37</v>
      </c>
      <c r="F544" s="4">
        <f>VLOOKUP($A544,[1]中含分析60315!$A:$M,12,0)</f>
        <v>37</v>
      </c>
      <c r="G544" s="4">
        <f>VLOOKUP($A544,[1]中含分析60315!$A:$M,13,0)</f>
        <v>36</v>
      </c>
      <c r="H544" s="3" t="s">
        <v>39</v>
      </c>
      <c r="I544" s="3" t="s">
        <v>1067</v>
      </c>
    </row>
    <row r="545" customHeight="1" spans="1:9">
      <c r="A545" s="11" t="s">
        <v>1068</v>
      </c>
      <c r="B545" s="4">
        <f>VLOOKUP($A545,[1]中含分析60315!$A:$M,8,0)</f>
        <v>49</v>
      </c>
      <c r="C545" s="4">
        <f>VLOOKUP($A545,[1]中含分析60315!$A:$M,9,0)</f>
        <v>48</v>
      </c>
      <c r="D545" s="4">
        <f>VLOOKUP($A545,[1]中含分析60315!$A:$M,10,0)</f>
        <v>47</v>
      </c>
      <c r="E545" s="4">
        <f>VLOOKUP($A545,[1]中含分析60315!$A:$M,11,0)</f>
        <v>46</v>
      </c>
      <c r="F545" s="4">
        <f>VLOOKUP($A545,[1]中含分析60315!$A:$M,12,0)</f>
        <v>46</v>
      </c>
      <c r="G545" s="4">
        <f>VLOOKUP($A545,[1]中含分析60315!$A:$M,13,0)</f>
        <v>45</v>
      </c>
      <c r="H545" s="3" t="s">
        <v>39</v>
      </c>
      <c r="I545" s="3" t="s">
        <v>1069</v>
      </c>
    </row>
    <row r="546" customHeight="1" spans="1:9">
      <c r="A546" s="11" t="s">
        <v>1070</v>
      </c>
      <c r="B546" s="4">
        <f>VLOOKUP($A546,[1]中含分析60315!$A:$M,8,0)</f>
        <v>50</v>
      </c>
      <c r="C546" s="4">
        <f>VLOOKUP($A546,[1]中含分析60315!$A:$M,9,0)</f>
        <v>49</v>
      </c>
      <c r="D546" s="4">
        <f>VLOOKUP($A546,[1]中含分析60315!$A:$M,10,0)</f>
        <v>48</v>
      </c>
      <c r="E546" s="4">
        <f>VLOOKUP($A546,[1]中含分析60315!$A:$M,11,0)</f>
        <v>47</v>
      </c>
      <c r="F546" s="4">
        <f>VLOOKUP($A546,[1]中含分析60315!$A:$M,12,0)</f>
        <v>47</v>
      </c>
      <c r="G546" s="4">
        <f>VLOOKUP($A546,[1]中含分析60315!$A:$M,13,0)</f>
        <v>46</v>
      </c>
      <c r="H546" s="3" t="s">
        <v>39</v>
      </c>
      <c r="I546" s="3" t="s">
        <v>1071</v>
      </c>
    </row>
    <row r="547" customHeight="1" spans="1:9">
      <c r="A547" s="4" t="s">
        <v>1072</v>
      </c>
      <c r="B547" s="4">
        <f>VLOOKUP($A547,[1]中含分析60315!$A:$M,8,0)</f>
        <v>67</v>
      </c>
      <c r="C547" s="4">
        <f>VLOOKUP($A547,[1]中含分析60315!$A:$M,9,0)</f>
        <v>65</v>
      </c>
      <c r="D547" s="4">
        <f>VLOOKUP($A547,[1]中含分析60315!$A:$M,10,0)</f>
        <v>64</v>
      </c>
      <c r="E547" s="4">
        <f>VLOOKUP($A547,[1]中含分析60315!$A:$M,11,0)</f>
        <v>63</v>
      </c>
      <c r="F547" s="4">
        <f>VLOOKUP($A547,[1]中含分析60315!$A:$M,12,0)</f>
        <v>63</v>
      </c>
      <c r="G547" s="4">
        <f>VLOOKUP($A547,[1]中含分析60315!$A:$M,13,0)</f>
        <v>62</v>
      </c>
      <c r="H547" s="3" t="s">
        <v>39</v>
      </c>
      <c r="I547" s="3" t="s">
        <v>1073</v>
      </c>
    </row>
    <row r="548" customHeight="1" spans="1:9">
      <c r="A548" s="4" t="s">
        <v>1074</v>
      </c>
      <c r="B548" s="4">
        <f>VLOOKUP($A548,[1]中含分析60315!$A:$M,8,0)</f>
        <v>63</v>
      </c>
      <c r="C548" s="4">
        <f>VLOOKUP($A548,[1]中含分析60315!$A:$M,9,0)</f>
        <v>62</v>
      </c>
      <c r="D548" s="4">
        <f>VLOOKUP($A548,[1]中含分析60315!$A:$M,10,0)</f>
        <v>61</v>
      </c>
      <c r="E548" s="4">
        <f>VLOOKUP($A548,[1]中含分析60315!$A:$M,11,0)</f>
        <v>60</v>
      </c>
      <c r="F548" s="4">
        <f>VLOOKUP($A548,[1]中含分析60315!$A:$M,12,0)</f>
        <v>59</v>
      </c>
      <c r="G548" s="4">
        <f>VLOOKUP($A548,[1]中含分析60315!$A:$M,13,0)</f>
        <v>58</v>
      </c>
      <c r="H548" s="3" t="s">
        <v>39</v>
      </c>
      <c r="I548" s="3" t="s">
        <v>1075</v>
      </c>
    </row>
    <row r="549" customHeight="1" spans="1:9">
      <c r="A549" s="12" t="s">
        <v>1076</v>
      </c>
      <c r="B549" s="4">
        <f>VLOOKUP($A549,[1]中含分析60315!$A:$M,8,0)</f>
        <v>47</v>
      </c>
      <c r="C549" s="4">
        <f>VLOOKUP($A549,[1]中含分析60315!$A:$M,9,0)</f>
        <v>46</v>
      </c>
      <c r="D549" s="4">
        <f>VLOOKUP($A549,[1]中含分析60315!$A:$M,10,0)</f>
        <v>44</v>
      </c>
      <c r="E549" s="4">
        <f>VLOOKUP($A549,[1]中含分析60315!$A:$M,11,0)</f>
        <v>42</v>
      </c>
      <c r="F549" s="4">
        <f>VLOOKUP($A549,[1]中含分析60315!$A:$M,12,0)</f>
        <v>40</v>
      </c>
      <c r="G549" s="4">
        <f>VLOOKUP($A549,[1]中含分析60315!$A:$M,13,0)</f>
        <v>39</v>
      </c>
      <c r="H549" s="3" t="s">
        <v>10</v>
      </c>
      <c r="I549" s="3">
        <v>12713668</v>
      </c>
    </row>
    <row r="550" customHeight="1" spans="1:9">
      <c r="A550" s="13" t="s">
        <v>1077</v>
      </c>
      <c r="B550" s="4">
        <f>VLOOKUP($A550,[1]中含分析60315!$A:$M,8,0)</f>
        <v>41</v>
      </c>
      <c r="C550" s="4">
        <f>VLOOKUP($A550,[1]中含分析60315!$A:$M,9,0)</f>
        <v>41</v>
      </c>
      <c r="D550" s="4">
        <f>VLOOKUP($A550,[1]中含分析60315!$A:$M,10,0)</f>
        <v>40</v>
      </c>
      <c r="E550" s="4">
        <f>VLOOKUP($A550,[1]中含分析60315!$A:$M,11,0)</f>
        <v>39</v>
      </c>
      <c r="F550" s="4">
        <f>VLOOKUP($A550,[1]中含分析60315!$A:$M,12,0)</f>
        <v>39</v>
      </c>
      <c r="G550" s="4">
        <f>VLOOKUP($A550,[1]中含分析60315!$A:$M,13,0)</f>
        <v>38</v>
      </c>
      <c r="H550" s="3" t="s">
        <v>39</v>
      </c>
      <c r="I550" s="3" t="s">
        <v>1078</v>
      </c>
    </row>
    <row r="551" customHeight="1" spans="1:9">
      <c r="A551" s="13" t="s">
        <v>1079</v>
      </c>
      <c r="B551" s="4">
        <f>VLOOKUP($A551,[1]中含分析60315!$A:$M,8,0)</f>
        <v>42</v>
      </c>
      <c r="C551" s="4">
        <f>VLOOKUP($A551,[1]中含分析60315!$A:$M,9,0)</f>
        <v>41</v>
      </c>
      <c r="D551" s="4">
        <f>VLOOKUP($A551,[1]中含分析60315!$A:$M,10,0)</f>
        <v>40</v>
      </c>
      <c r="E551" s="4">
        <f>VLOOKUP($A551,[1]中含分析60315!$A:$M,11,0)</f>
        <v>40</v>
      </c>
      <c r="F551" s="4">
        <f>VLOOKUP($A551,[1]中含分析60315!$A:$M,12,0)</f>
        <v>39</v>
      </c>
      <c r="G551" s="4">
        <f>VLOOKUP($A551,[1]中含分析60315!$A:$M,13,0)</f>
        <v>39</v>
      </c>
      <c r="H551" s="3" t="s">
        <v>39</v>
      </c>
      <c r="I551" s="3" t="s">
        <v>1080</v>
      </c>
    </row>
    <row r="552" customHeight="1" spans="1:9">
      <c r="A552" s="13" t="s">
        <v>1081</v>
      </c>
      <c r="B552" s="4">
        <f>VLOOKUP($A552,[1]中含分析60315!$A:$M,8,0)</f>
        <v>62</v>
      </c>
      <c r="C552" s="4">
        <f>VLOOKUP($A552,[1]中含分析60315!$A:$M,9,0)</f>
        <v>61</v>
      </c>
      <c r="D552" s="4">
        <f>VLOOKUP($A552,[1]中含分析60315!$A:$M,10,0)</f>
        <v>59</v>
      </c>
      <c r="E552" s="4">
        <f>VLOOKUP($A552,[1]中含分析60315!$A:$M,11,0)</f>
        <v>58</v>
      </c>
      <c r="F552" s="4">
        <f>VLOOKUP($A552,[1]中含分析60315!$A:$M,12,0)</f>
        <v>58</v>
      </c>
      <c r="G552" s="4">
        <f>VLOOKUP($A552,[1]中含分析60315!$A:$M,13,0)</f>
        <v>57</v>
      </c>
      <c r="H552" s="3" t="s">
        <v>39</v>
      </c>
      <c r="I552" s="3" t="s">
        <v>1082</v>
      </c>
    </row>
    <row r="553" customHeight="1" spans="1:9">
      <c r="A553" s="14" t="s">
        <v>1083</v>
      </c>
      <c r="B553" s="4">
        <f>VLOOKUP($A553,[1]中含分析60315!$A:$M,8,0)</f>
        <v>83</v>
      </c>
      <c r="C553" s="4">
        <f>VLOOKUP($A553,[1]中含分析60315!$A:$M,9,0)</f>
        <v>82</v>
      </c>
      <c r="D553" s="4">
        <f>VLOOKUP($A553,[1]中含分析60315!$A:$M,10,0)</f>
        <v>80</v>
      </c>
      <c r="E553" s="4">
        <f>VLOOKUP($A553,[1]中含分析60315!$A:$M,11,0)</f>
        <v>79</v>
      </c>
      <c r="F553" s="4">
        <f>VLOOKUP($A553,[1]中含分析60315!$A:$M,12,0)</f>
        <v>78</v>
      </c>
      <c r="G553" s="4">
        <f>VLOOKUP($A553,[1]中含分析60315!$A:$M,13,0)</f>
        <v>77</v>
      </c>
      <c r="H553" s="3" t="s">
        <v>39</v>
      </c>
      <c r="I553" s="3" t="s">
        <v>1084</v>
      </c>
    </row>
    <row r="554" customHeight="1" spans="1:9">
      <c r="A554" s="13" t="s">
        <v>1085</v>
      </c>
      <c r="B554" s="4">
        <f>VLOOKUP($A554,[1]中含分析60315!$A:$M,8,0)</f>
        <v>49</v>
      </c>
      <c r="C554" s="4">
        <f>VLOOKUP($A554,[1]中含分析60315!$A:$M,9,0)</f>
        <v>48</v>
      </c>
      <c r="D554" s="4">
        <f>VLOOKUP($A554,[1]中含分析60315!$A:$M,10,0)</f>
        <v>47</v>
      </c>
      <c r="E554" s="4">
        <f>VLOOKUP($A554,[1]中含分析60315!$A:$M,11,0)</f>
        <v>46</v>
      </c>
      <c r="F554" s="4">
        <f>VLOOKUP($A554,[1]中含分析60315!$A:$M,12,0)</f>
        <v>46</v>
      </c>
      <c r="G554" s="4">
        <f>VLOOKUP($A554,[1]中含分析60315!$A:$M,13,0)</f>
        <v>45</v>
      </c>
      <c r="H554" s="3" t="s">
        <v>39</v>
      </c>
      <c r="I554" s="3" t="s">
        <v>1086</v>
      </c>
    </row>
    <row r="555" customHeight="1" spans="1:9">
      <c r="A555" s="15" t="s">
        <v>1087</v>
      </c>
      <c r="B555" s="4">
        <f>VLOOKUP($A555,[1]中含分析60315!$A:$M,8,0)</f>
        <v>48</v>
      </c>
      <c r="C555" s="4">
        <f>VLOOKUP($A555,[1]中含分析60315!$A:$M,9,0)</f>
        <v>46</v>
      </c>
      <c r="D555" s="4">
        <f>VLOOKUP($A555,[1]中含分析60315!$A:$M,10,0)</f>
        <v>44</v>
      </c>
      <c r="E555" s="4">
        <f>VLOOKUP($A555,[1]中含分析60315!$A:$M,11,0)</f>
        <v>43</v>
      </c>
      <c r="F555" s="4">
        <f>VLOOKUP($A555,[1]中含分析60315!$A:$M,12,0)</f>
        <v>41</v>
      </c>
      <c r="G555" s="4">
        <f>VLOOKUP($A555,[1]中含分析60315!$A:$M,13,0)</f>
        <v>39</v>
      </c>
      <c r="H555" s="3" t="s">
        <v>10</v>
      </c>
      <c r="I555" s="3" t="s">
        <v>1088</v>
      </c>
    </row>
    <row r="556" customHeight="1" spans="1:9">
      <c r="A556" s="16" t="s">
        <v>1089</v>
      </c>
      <c r="B556" s="4">
        <f>VLOOKUP($A556,[1]中含分析60315!$A:$M,8,0)</f>
        <v>51</v>
      </c>
      <c r="C556" s="4">
        <f>VLOOKUP($A556,[1]中含分析60315!$A:$M,9,0)</f>
        <v>49</v>
      </c>
      <c r="D556" s="4">
        <f>VLOOKUP($A556,[1]中含分析60315!$A:$M,10,0)</f>
        <v>47</v>
      </c>
      <c r="E556" s="4">
        <f>VLOOKUP($A556,[1]中含分析60315!$A:$M,11,0)</f>
        <v>45</v>
      </c>
      <c r="F556" s="4">
        <f>VLOOKUP($A556,[1]中含分析60315!$A:$M,12,0)</f>
        <v>43</v>
      </c>
      <c r="G556" s="4">
        <f>VLOOKUP($A556,[1]中含分析60315!$A:$M,13,0)</f>
        <v>42</v>
      </c>
      <c r="H556" s="3" t="s">
        <v>10</v>
      </c>
      <c r="I556" s="3" t="s">
        <v>1090</v>
      </c>
    </row>
    <row r="557" customHeight="1" spans="1:9">
      <c r="A557" s="16" t="s">
        <v>1091</v>
      </c>
      <c r="B557" s="4">
        <f>VLOOKUP($A557,[1]中含分析60315!$A:$M,8,0)</f>
        <v>49</v>
      </c>
      <c r="C557" s="4">
        <f>VLOOKUP($A557,[1]中含分析60315!$A:$M,9,0)</f>
        <v>47</v>
      </c>
      <c r="D557" s="4">
        <f>VLOOKUP($A557,[1]中含分析60315!$A:$M,10,0)</f>
        <v>45</v>
      </c>
      <c r="E557" s="4">
        <f>VLOOKUP($A557,[1]中含分析60315!$A:$M,11,0)</f>
        <v>44</v>
      </c>
      <c r="F557" s="4">
        <f>VLOOKUP($A557,[1]中含分析60315!$A:$M,12,0)</f>
        <v>42</v>
      </c>
      <c r="G557" s="4">
        <f>VLOOKUP($A557,[1]中含分析60315!$A:$M,13,0)</f>
        <v>40</v>
      </c>
      <c r="H557" s="3" t="s">
        <v>10</v>
      </c>
      <c r="I557" s="3" t="s">
        <v>1088</v>
      </c>
    </row>
    <row r="558" customHeight="1" spans="1:9">
      <c r="A558" s="13" t="s">
        <v>1092</v>
      </c>
      <c r="B558" s="4">
        <f>VLOOKUP($A558,[1]中含分析60315!$A:$M,8,0)</f>
        <v>59</v>
      </c>
      <c r="C558" s="4">
        <f>VLOOKUP($A558,[1]中含分析60315!$A:$M,9,0)</f>
        <v>58</v>
      </c>
      <c r="D558" s="4">
        <f>VLOOKUP($A558,[1]中含分析60315!$A:$M,10,0)</f>
        <v>57</v>
      </c>
      <c r="E558" s="4">
        <f>VLOOKUP($A558,[1]中含分析60315!$A:$M,11,0)</f>
        <v>56</v>
      </c>
      <c r="F558" s="4">
        <f>VLOOKUP($A558,[1]中含分析60315!$A:$M,12,0)</f>
        <v>56</v>
      </c>
      <c r="G558" s="4">
        <f>VLOOKUP($A558,[1]中含分析60315!$A:$M,13,0)</f>
        <v>55</v>
      </c>
      <c r="H558" s="3" t="s">
        <v>39</v>
      </c>
      <c r="I558" s="3" t="s">
        <v>1093</v>
      </c>
    </row>
    <row r="559" customHeight="1" spans="1:9">
      <c r="A559" s="13" t="s">
        <v>1094</v>
      </c>
      <c r="B559" s="4">
        <f>VLOOKUP($A559,[1]中含分析60315!$A:$M,8,0)</f>
        <v>50</v>
      </c>
      <c r="C559" s="4">
        <f>VLOOKUP($A559,[1]中含分析60315!$A:$M,9,0)</f>
        <v>48</v>
      </c>
      <c r="D559" s="4">
        <f>VLOOKUP($A559,[1]中含分析60315!$A:$M,10,0)</f>
        <v>46</v>
      </c>
      <c r="E559" s="4">
        <f>VLOOKUP($A559,[1]中含分析60315!$A:$M,11,0)</f>
        <v>44</v>
      </c>
      <c r="F559" s="4">
        <f>VLOOKUP($A559,[1]中含分析60315!$A:$M,12,0)</f>
        <v>42</v>
      </c>
      <c r="G559" s="4">
        <f>VLOOKUP($A559,[1]中含分析60315!$A:$M,13,0)</f>
        <v>41</v>
      </c>
      <c r="H559" s="3" t="s">
        <v>10</v>
      </c>
      <c r="I559" s="3" t="s">
        <v>1095</v>
      </c>
    </row>
    <row r="560" customHeight="1" spans="1:9">
      <c r="A560" s="5" t="s">
        <v>1096</v>
      </c>
      <c r="B560" s="4">
        <f>VLOOKUP($A560,[1]中含分析60315!$A:$M,8,0)</f>
        <v>54</v>
      </c>
      <c r="C560" s="4">
        <f>VLOOKUP($A560,[1]中含分析60315!$A:$M,9,0)</f>
        <v>52</v>
      </c>
      <c r="D560" s="4">
        <f>VLOOKUP($A560,[1]中含分析60315!$A:$M,10,0)</f>
        <v>50</v>
      </c>
      <c r="E560" s="4">
        <f>VLOOKUP($A560,[1]中含分析60315!$A:$M,11,0)</f>
        <v>48</v>
      </c>
      <c r="F560" s="4">
        <f>VLOOKUP($A560,[1]中含分析60315!$A:$M,12,0)</f>
        <v>46</v>
      </c>
      <c r="G560" s="4">
        <f>VLOOKUP($A560,[1]中含分析60315!$A:$M,13,0)</f>
        <v>44</v>
      </c>
      <c r="H560" s="3" t="s">
        <v>10</v>
      </c>
      <c r="I560" s="3" t="s">
        <v>1097</v>
      </c>
    </row>
    <row r="561" customHeight="1" spans="1:9">
      <c r="A561" s="13" t="s">
        <v>1098</v>
      </c>
      <c r="B561" s="4">
        <f>VLOOKUP($A561,[1]中含分析60315!$A:$M,8,0)</f>
        <v>41</v>
      </c>
      <c r="C561" s="4">
        <f>VLOOKUP($A561,[1]中含分析60315!$A:$M,9,0)</f>
        <v>40</v>
      </c>
      <c r="D561" s="4">
        <f>VLOOKUP($A561,[1]中含分析60315!$A:$M,10,0)</f>
        <v>38</v>
      </c>
      <c r="E561" s="4">
        <f>VLOOKUP($A561,[1]中含分析60315!$A:$M,11,0)</f>
        <v>37</v>
      </c>
      <c r="F561" s="4">
        <f>VLOOKUP($A561,[1]中含分析60315!$A:$M,12,0)</f>
        <v>35</v>
      </c>
      <c r="G561" s="4">
        <f>VLOOKUP($A561,[1]中含分析60315!$A:$M,13,0)</f>
        <v>34</v>
      </c>
      <c r="H561" s="3" t="s">
        <v>10</v>
      </c>
      <c r="I561" s="3" t="s">
        <v>1099</v>
      </c>
    </row>
    <row r="562" customHeight="1" spans="1:9">
      <c r="A562" s="14" t="s">
        <v>1100</v>
      </c>
      <c r="B562" s="4">
        <f>VLOOKUP($A562,[1]中含分析60315!$A:$M,8,0)</f>
        <v>37</v>
      </c>
      <c r="C562" s="4">
        <f>VLOOKUP($A562,[1]中含分析60315!$A:$M,9,0)</f>
        <v>36</v>
      </c>
      <c r="D562" s="4">
        <f>VLOOKUP($A562,[1]中含分析60315!$A:$M,10,0)</f>
        <v>34</v>
      </c>
      <c r="E562" s="4">
        <f>VLOOKUP($A562,[1]中含分析60315!$A:$M,11,0)</f>
        <v>33</v>
      </c>
      <c r="F562" s="4">
        <f>VLOOKUP($A562,[1]中含分析60315!$A:$M,12,0)</f>
        <v>32</v>
      </c>
      <c r="G562" s="4">
        <f>VLOOKUP($A562,[1]中含分析60315!$A:$M,13,0)</f>
        <v>30</v>
      </c>
      <c r="H562" s="3" t="s">
        <v>10</v>
      </c>
      <c r="I562" s="3" t="s">
        <v>1101</v>
      </c>
    </row>
    <row r="563" customHeight="1" spans="1:9">
      <c r="A563" s="17" t="s">
        <v>1102</v>
      </c>
      <c r="B563" s="4">
        <f>VLOOKUP($A563,[1]中含分析60315!$A:$M,8,0)</f>
        <v>43</v>
      </c>
      <c r="C563" s="4">
        <f>VLOOKUP($A563,[1]中含分析60315!$A:$M,9,0)</f>
        <v>41</v>
      </c>
      <c r="D563" s="4">
        <f>VLOOKUP($A563,[1]中含分析60315!$A:$M,10,0)</f>
        <v>39</v>
      </c>
      <c r="E563" s="4">
        <f>VLOOKUP($A563,[1]中含分析60315!$A:$M,11,0)</f>
        <v>38</v>
      </c>
      <c r="F563" s="4">
        <f>VLOOKUP($A563,[1]中含分析60315!$A:$M,12,0)</f>
        <v>36</v>
      </c>
      <c r="G563" s="4">
        <f>VLOOKUP($A563,[1]中含分析60315!$A:$M,13,0)</f>
        <v>35</v>
      </c>
      <c r="H563" s="3" t="s">
        <v>10</v>
      </c>
      <c r="I563" s="3" t="s">
        <v>1103</v>
      </c>
    </row>
    <row r="564" customHeight="1" spans="1:9">
      <c r="A564" s="14" t="s">
        <v>1104</v>
      </c>
      <c r="B564" s="4">
        <f>VLOOKUP($A564,[1]中含分析60315!$A:$M,8,0)</f>
        <v>59</v>
      </c>
      <c r="C564" s="4">
        <f>VLOOKUP($A564,[1]中含分析60315!$A:$M,9,0)</f>
        <v>58</v>
      </c>
      <c r="D564" s="4">
        <f>VLOOKUP($A564,[1]中含分析60315!$A:$M,10,0)</f>
        <v>57</v>
      </c>
      <c r="E564" s="4">
        <f>VLOOKUP($A564,[1]中含分析60315!$A:$M,11,0)</f>
        <v>56</v>
      </c>
      <c r="F564" s="4">
        <f>VLOOKUP($A564,[1]中含分析60315!$A:$M,12,0)</f>
        <v>55</v>
      </c>
      <c r="G564" s="4">
        <f>VLOOKUP($A564,[1]中含分析60315!$A:$M,13,0)</f>
        <v>54</v>
      </c>
      <c r="H564" s="3" t="s">
        <v>39</v>
      </c>
      <c r="I564" s="3" t="s">
        <v>1105</v>
      </c>
    </row>
    <row r="565" customHeight="1" spans="1:9">
      <c r="A565" s="14" t="s">
        <v>1106</v>
      </c>
      <c r="B565" s="4">
        <f>VLOOKUP($A565,[1]中含分析60315!$A:$M,8,0)</f>
        <v>44</v>
      </c>
      <c r="C565" s="4">
        <f>VLOOKUP($A565,[1]中含分析60315!$A:$M,9,0)</f>
        <v>44</v>
      </c>
      <c r="D565" s="4">
        <f>VLOOKUP($A565,[1]中含分析60315!$A:$M,10,0)</f>
        <v>43</v>
      </c>
      <c r="E565" s="4">
        <f>VLOOKUP($A565,[1]中含分析60315!$A:$M,11,0)</f>
        <v>42</v>
      </c>
      <c r="F565" s="4">
        <f>VLOOKUP($A565,[1]中含分析60315!$A:$M,12,0)</f>
        <v>42</v>
      </c>
      <c r="G565" s="4">
        <f>VLOOKUP($A565,[1]中含分析60315!$A:$M,13,0)</f>
        <v>41</v>
      </c>
      <c r="H565" s="3" t="s">
        <v>39</v>
      </c>
      <c r="I565" s="3" t="s">
        <v>1107</v>
      </c>
    </row>
    <row r="566" customHeight="1" spans="1:9">
      <c r="A566" s="14" t="s">
        <v>1108</v>
      </c>
      <c r="B566" s="4">
        <f>VLOOKUP($A566,[1]中含分析60315!$A:$M,8,0)</f>
        <v>48</v>
      </c>
      <c r="C566" s="4">
        <f>VLOOKUP($A566,[1]中含分析60315!$A:$M,9,0)</f>
        <v>48</v>
      </c>
      <c r="D566" s="4">
        <f>VLOOKUP($A566,[1]中含分析60315!$A:$M,10,0)</f>
        <v>47</v>
      </c>
      <c r="E566" s="4">
        <f>VLOOKUP($A566,[1]中含分析60315!$A:$M,11,0)</f>
        <v>46</v>
      </c>
      <c r="F566" s="4">
        <f>VLOOKUP($A566,[1]中含分析60315!$A:$M,12,0)</f>
        <v>46</v>
      </c>
      <c r="G566" s="4">
        <f>VLOOKUP($A566,[1]中含分析60315!$A:$M,13,0)</f>
        <v>45</v>
      </c>
      <c r="H566" s="3" t="s">
        <v>39</v>
      </c>
      <c r="I566" s="3" t="s">
        <v>1109</v>
      </c>
    </row>
    <row r="567" customHeight="1" spans="1:9">
      <c r="A567" s="14" t="s">
        <v>1110</v>
      </c>
      <c r="B567" s="4">
        <f>VLOOKUP($A567,[1]中含分析60315!$A:$M,8,0)</f>
        <v>59</v>
      </c>
      <c r="C567" s="4">
        <f>VLOOKUP($A567,[1]中含分析60315!$A:$M,9,0)</f>
        <v>58</v>
      </c>
      <c r="D567" s="4">
        <f>VLOOKUP($A567,[1]中含分析60315!$A:$M,10,0)</f>
        <v>57</v>
      </c>
      <c r="E567" s="4">
        <f>VLOOKUP($A567,[1]中含分析60315!$A:$M,11,0)</f>
        <v>56</v>
      </c>
      <c r="F567" s="4">
        <f>VLOOKUP($A567,[1]中含分析60315!$A:$M,12,0)</f>
        <v>55</v>
      </c>
      <c r="G567" s="4">
        <f>VLOOKUP($A567,[1]中含分析60315!$A:$M,13,0)</f>
        <v>54</v>
      </c>
      <c r="H567" s="3" t="s">
        <v>39</v>
      </c>
      <c r="I567" s="3" t="s">
        <v>1111</v>
      </c>
    </row>
    <row r="568" customHeight="1" spans="1:9">
      <c r="A568" s="14" t="s">
        <v>1112</v>
      </c>
      <c r="B568" s="4">
        <f>VLOOKUP($A568,[1]中含分析60315!$A:$M,8,0)</f>
        <v>55</v>
      </c>
      <c r="C568" s="4">
        <f>VLOOKUP($A568,[1]中含分析60315!$A:$M,9,0)</f>
        <v>54</v>
      </c>
      <c r="D568" s="4">
        <f>VLOOKUP($A568,[1]中含分析60315!$A:$M,10,0)</f>
        <v>53</v>
      </c>
      <c r="E568" s="4">
        <f>VLOOKUP($A568,[1]中含分析60315!$A:$M,11,0)</f>
        <v>52</v>
      </c>
      <c r="F568" s="4">
        <f>VLOOKUP($A568,[1]中含分析60315!$A:$M,12,0)</f>
        <v>52</v>
      </c>
      <c r="G568" s="4">
        <f>VLOOKUP($A568,[1]中含分析60315!$A:$M,13,0)</f>
        <v>51</v>
      </c>
      <c r="H568" s="3" t="s">
        <v>39</v>
      </c>
      <c r="I568" s="3" t="s">
        <v>1113</v>
      </c>
    </row>
    <row r="569" customHeight="1" spans="1:9">
      <c r="A569" s="17" t="s">
        <v>1114</v>
      </c>
      <c r="B569" s="4">
        <f>VLOOKUP($A569,[1]中含分析60315!$A:$M,8,0)</f>
        <v>31</v>
      </c>
      <c r="C569" s="4">
        <f>VLOOKUP($A569,[1]中含分析60315!$A:$M,9,0)</f>
        <v>29</v>
      </c>
      <c r="D569" s="4">
        <f>VLOOKUP($A569,[1]中含分析60315!$A:$M,10,0)</f>
        <v>28</v>
      </c>
      <c r="E569" s="4">
        <f>VLOOKUP($A569,[1]中含分析60315!$A:$M,11,0)</f>
        <v>27</v>
      </c>
      <c r="F569" s="4">
        <f>VLOOKUP($A569,[1]中含分析60315!$A:$M,12,0)</f>
        <v>26</v>
      </c>
      <c r="G569" s="4">
        <f>VLOOKUP($A569,[1]中含分析60315!$A:$M,13,0)</f>
        <v>25</v>
      </c>
      <c r="H569" s="3" t="s">
        <v>10</v>
      </c>
      <c r="I569" s="3" t="s">
        <v>1115</v>
      </c>
    </row>
    <row r="570" customHeight="1" spans="1:9">
      <c r="A570" s="17" t="s">
        <v>1116</v>
      </c>
      <c r="B570" s="4">
        <f>VLOOKUP($A570,[1]中含分析60315!$A:$M,8,0)</f>
        <v>51</v>
      </c>
      <c r="C570" s="4">
        <f>VLOOKUP($A570,[1]中含分析60315!$A:$M,9,0)</f>
        <v>49</v>
      </c>
      <c r="D570" s="4">
        <f>VLOOKUP($A570,[1]中含分析60315!$A:$M,10,0)</f>
        <v>47</v>
      </c>
      <c r="E570" s="4">
        <f>VLOOKUP($A570,[1]中含分析60315!$A:$M,11,0)</f>
        <v>45</v>
      </c>
      <c r="F570" s="4">
        <f>VLOOKUP($A570,[1]中含分析60315!$A:$M,12,0)</f>
        <v>43</v>
      </c>
      <c r="G570" s="4">
        <f>VLOOKUP($A570,[1]中含分析60315!$A:$M,13,0)</f>
        <v>42</v>
      </c>
      <c r="H570" s="3" t="s">
        <v>10</v>
      </c>
      <c r="I570" s="3" t="s">
        <v>1117</v>
      </c>
    </row>
    <row r="571" customHeight="1" spans="1:9">
      <c r="A571" s="13" t="s">
        <v>1118</v>
      </c>
      <c r="B571" s="4">
        <f>VLOOKUP($A571,[1]中含分析60315!$A:$M,8,0)</f>
        <v>68</v>
      </c>
      <c r="C571" s="4">
        <f>VLOOKUP($A571,[1]中含分析60315!$A:$M,9,0)</f>
        <v>67</v>
      </c>
      <c r="D571" s="4">
        <f>VLOOKUP($A571,[1]中含分析60315!$A:$M,10,0)</f>
        <v>66</v>
      </c>
      <c r="E571" s="4">
        <f>VLOOKUP($A571,[1]中含分析60315!$A:$M,11,0)</f>
        <v>65</v>
      </c>
      <c r="F571" s="4">
        <f>VLOOKUP($A571,[1]中含分析60315!$A:$M,12,0)</f>
        <v>64</v>
      </c>
      <c r="G571" s="4">
        <f>VLOOKUP($A571,[1]中含分析60315!$A:$M,13,0)</f>
        <v>63</v>
      </c>
      <c r="H571" s="3" t="s">
        <v>39</v>
      </c>
      <c r="I571" s="3" t="s">
        <v>1119</v>
      </c>
    </row>
    <row r="572" customHeight="1" spans="1:9">
      <c r="A572" s="4" t="s">
        <v>1120</v>
      </c>
      <c r="B572" s="4">
        <f>VLOOKUP($A572,[1]中含分析60315!$A:$M,8,0)</f>
        <v>45</v>
      </c>
      <c r="C572" s="4">
        <f>VLOOKUP($A572,[1]中含分析60315!$A:$M,9,0)</f>
        <v>44</v>
      </c>
      <c r="D572" s="4">
        <f>VLOOKUP($A572,[1]中含分析60315!$A:$M,10,0)</f>
        <v>42</v>
      </c>
      <c r="E572" s="4">
        <f>VLOOKUP($A572,[1]中含分析60315!$A:$M,11,0)</f>
        <v>40</v>
      </c>
      <c r="F572" s="4">
        <f>VLOOKUP($A572,[1]中含分析60315!$A:$M,12,0)</f>
        <v>39</v>
      </c>
      <c r="G572" s="4">
        <f>VLOOKUP($A572,[1]中含分析60315!$A:$M,13,0)</f>
        <v>37</v>
      </c>
      <c r="H572" s="3" t="s">
        <v>10</v>
      </c>
      <c r="I572" s="3" t="s">
        <v>1121</v>
      </c>
    </row>
    <row r="573" customHeight="1" spans="1:9">
      <c r="A573" s="4" t="s">
        <v>1122</v>
      </c>
      <c r="B573" s="4">
        <f>VLOOKUP($A573,[1]中含分析60315!$A:$M,8,0)</f>
        <v>43</v>
      </c>
      <c r="C573" s="4">
        <f>VLOOKUP($A573,[1]中含分析60315!$A:$M,9,0)</f>
        <v>42</v>
      </c>
      <c r="D573" s="4">
        <f>VLOOKUP($A573,[1]中含分析60315!$A:$M,10,0)</f>
        <v>42</v>
      </c>
      <c r="E573" s="4">
        <f>VLOOKUP($A573,[1]中含分析60315!$A:$M,11,0)</f>
        <v>41</v>
      </c>
      <c r="F573" s="4">
        <f>VLOOKUP($A573,[1]中含分析60315!$A:$M,12,0)</f>
        <v>41</v>
      </c>
      <c r="G573" s="4">
        <f>VLOOKUP($A573,[1]中含分析60315!$A:$M,13,0)</f>
        <v>40</v>
      </c>
      <c r="H573" s="3" t="s">
        <v>39</v>
      </c>
      <c r="I573" s="3" t="s">
        <v>1123</v>
      </c>
    </row>
    <row r="574" customHeight="1" spans="1:9">
      <c r="A574" s="11" t="s">
        <v>1124</v>
      </c>
      <c r="B574" s="4">
        <f>VLOOKUP($A574,[1]中含分析60315!$A:$M,8,0)</f>
        <v>59</v>
      </c>
      <c r="C574" s="4">
        <f>VLOOKUP($A574,[1]中含分析60315!$A:$M,9,0)</f>
        <v>58</v>
      </c>
      <c r="D574" s="4">
        <f>VLOOKUP($A574,[1]中含分析60315!$A:$M,10,0)</f>
        <v>57</v>
      </c>
      <c r="E574" s="4">
        <f>VLOOKUP($A574,[1]中含分析60315!$A:$M,11,0)</f>
        <v>56</v>
      </c>
      <c r="F574" s="4">
        <f>VLOOKUP($A574,[1]中含分析60315!$A:$M,12,0)</f>
        <v>55</v>
      </c>
      <c r="G574" s="4">
        <f>VLOOKUP($A574,[1]中含分析60315!$A:$M,13,0)</f>
        <v>54</v>
      </c>
      <c r="H574" s="3" t="s">
        <v>39</v>
      </c>
      <c r="I574" s="3" t="s">
        <v>1125</v>
      </c>
    </row>
    <row r="575" customHeight="1" spans="1:9">
      <c r="A575" s="11" t="s">
        <v>1126</v>
      </c>
      <c r="B575" s="4">
        <f>VLOOKUP($A575,[1]中含分析60315!$A:$M,8,0)</f>
        <v>65</v>
      </c>
      <c r="C575" s="4">
        <f>VLOOKUP($A575,[1]中含分析60315!$A:$M,9,0)</f>
        <v>64</v>
      </c>
      <c r="D575" s="4">
        <f>VLOOKUP($A575,[1]中含分析60315!$A:$M,10,0)</f>
        <v>63</v>
      </c>
      <c r="E575" s="4">
        <f>VLOOKUP($A575,[1]中含分析60315!$A:$M,11,0)</f>
        <v>62</v>
      </c>
      <c r="F575" s="4">
        <f>VLOOKUP($A575,[1]中含分析60315!$A:$M,12,0)</f>
        <v>62</v>
      </c>
      <c r="G575" s="4">
        <f>VLOOKUP($A575,[1]中含分析60315!$A:$M,13,0)</f>
        <v>61</v>
      </c>
      <c r="H575" s="3" t="s">
        <v>39</v>
      </c>
      <c r="I575" s="3" t="s">
        <v>1127</v>
      </c>
    </row>
    <row r="576" customHeight="1" spans="1:9">
      <c r="A576" s="4" t="s">
        <v>1128</v>
      </c>
      <c r="B576" s="4">
        <f>VLOOKUP($A576,[1]中含分析60315!$A:$M,8,0)</f>
        <v>35</v>
      </c>
      <c r="C576" s="4">
        <f>VLOOKUP($A576,[1]中含分析60315!$A:$M,9,0)</f>
        <v>34</v>
      </c>
      <c r="D576" s="4">
        <f>VLOOKUP($A576,[1]中含分析60315!$A:$M,10,0)</f>
        <v>33</v>
      </c>
      <c r="E576" s="4">
        <f>VLOOKUP($A576,[1]中含分析60315!$A:$M,11,0)</f>
        <v>31</v>
      </c>
      <c r="F576" s="4">
        <f>VLOOKUP($A576,[1]中含分析60315!$A:$M,12,0)</f>
        <v>30</v>
      </c>
      <c r="G576" s="4">
        <f>VLOOKUP($A576,[1]中含分析60315!$A:$M,13,0)</f>
        <v>29</v>
      </c>
      <c r="H576" s="3" t="s">
        <v>10</v>
      </c>
      <c r="I576" s="3" t="s">
        <v>1129</v>
      </c>
    </row>
    <row r="577" customHeight="1" spans="1:9">
      <c r="A577" s="4" t="s">
        <v>1130</v>
      </c>
      <c r="B577" s="4">
        <f>VLOOKUP($A577,[1]中含分析60315!$A:$M,8,0)</f>
        <v>51</v>
      </c>
      <c r="C577" s="4">
        <f>VLOOKUP($A577,[1]中含分析60315!$A:$M,9,0)</f>
        <v>49</v>
      </c>
      <c r="D577" s="4">
        <f>VLOOKUP($A577,[1]中含分析60315!$A:$M,10,0)</f>
        <v>48</v>
      </c>
      <c r="E577" s="4">
        <f>VLOOKUP($A577,[1]中含分析60315!$A:$M,11,0)</f>
        <v>46</v>
      </c>
      <c r="F577" s="4">
        <f>VLOOKUP($A577,[1]中含分析60315!$A:$M,12,0)</f>
        <v>44</v>
      </c>
      <c r="G577" s="4">
        <f>VLOOKUP($A577,[1]中含分析60315!$A:$M,13,0)</f>
        <v>42</v>
      </c>
      <c r="H577" s="3" t="s">
        <v>10</v>
      </c>
      <c r="I577" s="3" t="s">
        <v>1131</v>
      </c>
    </row>
  </sheetData>
  <autoFilter xmlns:etc="http://www.wps.cn/officeDocument/2017/etCustomData" ref="A1:A577" etc:filterBottomFollowUsedRange="0">
    <extLst/>
  </autoFilter>
  <conditionalFormatting sqref="A552">
    <cfRule type="duplicateValues" dxfId="0" priority="5"/>
  </conditionalFormatting>
  <conditionalFormatting sqref="B552">
    <cfRule type="duplicateValues" dxfId="0" priority="20"/>
  </conditionalFormatting>
  <conditionalFormatting sqref="C552">
    <cfRule type="duplicateValues" dxfId="0" priority="19"/>
  </conditionalFormatting>
  <conditionalFormatting sqref="D552">
    <cfRule type="duplicateValues" dxfId="0" priority="18"/>
  </conditionalFormatting>
  <conditionalFormatting sqref="E552">
    <cfRule type="duplicateValues" dxfId="0" priority="35"/>
  </conditionalFormatting>
  <conditionalFormatting sqref="F552">
    <cfRule type="duplicateValues" dxfId="0" priority="34"/>
  </conditionalFormatting>
  <conditionalFormatting sqref="G552">
    <cfRule type="duplicateValues" dxfId="0" priority="33"/>
  </conditionalFormatting>
  <conditionalFormatting sqref="A572">
    <cfRule type="duplicateValues" dxfId="0" priority="4"/>
  </conditionalFormatting>
  <conditionalFormatting sqref="B572">
    <cfRule type="duplicateValues" dxfId="0" priority="17"/>
  </conditionalFormatting>
  <conditionalFormatting sqref="C572">
    <cfRule type="duplicateValues" dxfId="0" priority="16"/>
  </conditionalFormatting>
  <conditionalFormatting sqref="D572">
    <cfRule type="duplicateValues" dxfId="0" priority="15"/>
  </conditionalFormatting>
  <conditionalFormatting sqref="E572">
    <cfRule type="duplicateValues" dxfId="0" priority="32"/>
  </conditionalFormatting>
  <conditionalFormatting sqref="F572">
    <cfRule type="duplicateValues" dxfId="0" priority="31"/>
  </conditionalFormatting>
  <conditionalFormatting sqref="G572">
    <cfRule type="duplicateValues" dxfId="0" priority="30"/>
  </conditionalFormatting>
  <conditionalFormatting sqref="A573">
    <cfRule type="duplicateValues" dxfId="0" priority="3"/>
  </conditionalFormatting>
  <conditionalFormatting sqref="B573">
    <cfRule type="duplicateValues" dxfId="0" priority="14"/>
  </conditionalFormatting>
  <conditionalFormatting sqref="C573">
    <cfRule type="duplicateValues" dxfId="0" priority="13"/>
  </conditionalFormatting>
  <conditionalFormatting sqref="D573">
    <cfRule type="duplicateValues" dxfId="0" priority="12"/>
  </conditionalFormatting>
  <conditionalFormatting sqref="E573">
    <cfRule type="duplicateValues" dxfId="0" priority="29"/>
  </conditionalFormatting>
  <conditionalFormatting sqref="F573">
    <cfRule type="duplicateValues" dxfId="0" priority="28"/>
  </conditionalFormatting>
  <conditionalFormatting sqref="G573">
    <cfRule type="duplicateValues" dxfId="0" priority="27"/>
  </conditionalFormatting>
  <conditionalFormatting sqref="A574:A575">
    <cfRule type="duplicateValues" dxfId="1" priority="2"/>
    <cfRule type="duplicateValues" dxfId="0" priority="1"/>
  </conditionalFormatting>
  <conditionalFormatting sqref="B574:B575">
    <cfRule type="duplicateValues" dxfId="0" priority="8"/>
    <cfRule type="duplicateValues" dxfId="1" priority="11"/>
  </conditionalFormatting>
  <conditionalFormatting sqref="C574:C575">
    <cfRule type="duplicateValues" dxfId="0" priority="7"/>
    <cfRule type="duplicateValues" dxfId="1" priority="10"/>
  </conditionalFormatting>
  <conditionalFormatting sqref="D574:D575">
    <cfRule type="duplicateValues" dxfId="0" priority="6"/>
    <cfRule type="duplicateValues" dxfId="1" priority="9"/>
  </conditionalFormatting>
  <conditionalFormatting sqref="E574:E575">
    <cfRule type="duplicateValues" dxfId="0" priority="23"/>
    <cfRule type="duplicateValues" dxfId="1" priority="26"/>
  </conditionalFormatting>
  <conditionalFormatting sqref="F574:F575">
    <cfRule type="duplicateValues" dxfId="0" priority="22"/>
    <cfRule type="duplicateValues" dxfId="1" priority="25"/>
  </conditionalFormatting>
  <conditionalFormatting sqref="G574:G575">
    <cfRule type="duplicateValues" dxfId="0" priority="21"/>
    <cfRule type="duplicateValues" dxfId="1" priority="24"/>
  </conditionalFormatting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7"/>
  <sheetViews>
    <sheetView tabSelected="1" workbookViewId="0">
      <pane ySplit="1" topLeftCell="A2" activePane="bottomLeft" state="frozen"/>
      <selection/>
      <selection pane="bottomLeft" activeCell="A1" sqref="$A1:$XFD1"/>
    </sheetView>
  </sheetViews>
  <sheetFormatPr defaultColWidth="8.89423076923077" defaultRowHeight="18" customHeight="1"/>
  <cols>
    <col min="1" max="1" width="10.3942307692308" style="1" customWidth="1"/>
    <col min="2" max="2" width="9.14423076923077" style="1" customWidth="1"/>
    <col min="3" max="3" width="9.61538461538461" style="1" customWidth="1"/>
    <col min="4" max="4" width="10.3942307692308" style="1" customWidth="1"/>
    <col min="5" max="5" width="9.38461538461539" style="1" customWidth="1"/>
    <col min="6" max="6" width="8.54807692307692" style="1" customWidth="1"/>
    <col min="7" max="7" width="8.375" style="1" customWidth="1"/>
    <col min="9" max="9" width="47.375" customWidth="1"/>
  </cols>
  <sheetData>
    <row r="1" ht="35" customHeight="1" spans="1:9">
      <c r="A1" s="2" t="s">
        <v>0</v>
      </c>
      <c r="B1" s="2" t="s">
        <v>1144</v>
      </c>
      <c r="C1" s="2" t="s">
        <v>1145</v>
      </c>
      <c r="D1" s="2" t="s">
        <v>1146</v>
      </c>
      <c r="E1" s="2" t="s">
        <v>1147</v>
      </c>
      <c r="F1" s="2" t="s">
        <v>1148</v>
      </c>
      <c r="G1" s="2" t="s">
        <v>1149</v>
      </c>
      <c r="H1" s="3" t="s">
        <v>7</v>
      </c>
      <c r="I1" s="3" t="s">
        <v>8</v>
      </c>
    </row>
    <row r="2" customHeight="1" spans="1:9">
      <c r="A2" s="4" t="s">
        <v>9</v>
      </c>
      <c r="B2" s="4">
        <f>VLOOKUP($A2,[1]中未分析60315!$A:$M,8,0)</f>
        <v>35</v>
      </c>
      <c r="C2" s="4">
        <f>VLOOKUP($A2,[1]中未分析60315!$A:$M,9,0)</f>
        <v>33</v>
      </c>
      <c r="D2" s="4">
        <f>VLOOKUP($A2,[1]中未分析60315!$A:$M,10,0)</f>
        <v>32</v>
      </c>
      <c r="E2" s="4">
        <f>VLOOKUP($A2,[1]中未分析60315!$A:$M,11,0)</f>
        <v>31</v>
      </c>
      <c r="F2" s="4">
        <f>VLOOKUP($A2,[1]中未分析60315!$A:$M,12,0)</f>
        <v>30</v>
      </c>
      <c r="G2" s="4">
        <f>VLOOKUP($A2,[1]中未分析60315!$A:$M,13,0)</f>
        <v>28</v>
      </c>
      <c r="H2" s="3" t="s">
        <v>10</v>
      </c>
      <c r="I2" s="3" t="s">
        <v>11</v>
      </c>
    </row>
    <row r="3" customHeight="1" spans="1:9">
      <c r="A3" s="4" t="s">
        <v>12</v>
      </c>
      <c r="B3" s="4">
        <f>VLOOKUP($A3,[1]中未分析60315!$A:$M,8,0)</f>
        <v>22</v>
      </c>
      <c r="C3" s="4">
        <f>VLOOKUP($A3,[1]中未分析60315!$A:$M,9,0)</f>
        <v>21</v>
      </c>
      <c r="D3" s="4">
        <f>VLOOKUP($A3,[1]中未分析60315!$A:$M,10,0)</f>
        <v>20</v>
      </c>
      <c r="E3" s="4">
        <f>VLOOKUP($A3,[1]中未分析60315!$A:$M,11,0)</f>
        <v>19</v>
      </c>
      <c r="F3" s="4">
        <f>VLOOKUP($A3,[1]中未分析60315!$A:$M,12,0)</f>
        <v>18</v>
      </c>
      <c r="G3" s="4">
        <f>VLOOKUP($A3,[1]中未分析60315!$A:$M,13,0)</f>
        <v>18</v>
      </c>
      <c r="H3" s="3" t="s">
        <v>10</v>
      </c>
      <c r="I3" s="3" t="s">
        <v>13</v>
      </c>
    </row>
    <row r="4" customHeight="1" spans="1:9">
      <c r="A4" s="4" t="s">
        <v>14</v>
      </c>
      <c r="B4" s="4">
        <f>VLOOKUP($A4,[1]中未分析60315!$A:$M,8,0)</f>
        <v>37</v>
      </c>
      <c r="C4" s="4">
        <f>VLOOKUP($A4,[1]中未分析60315!$A:$M,9,0)</f>
        <v>36</v>
      </c>
      <c r="D4" s="4">
        <f>VLOOKUP($A4,[1]中未分析60315!$A:$M,10,0)</f>
        <v>35</v>
      </c>
      <c r="E4" s="4">
        <f>VLOOKUP($A4,[1]中未分析60315!$A:$M,11,0)</f>
        <v>33</v>
      </c>
      <c r="F4" s="4">
        <f>VLOOKUP($A4,[1]中未分析60315!$A:$M,12,0)</f>
        <v>32</v>
      </c>
      <c r="G4" s="4">
        <f>VLOOKUP($A4,[1]中未分析60315!$A:$M,13,0)</f>
        <v>30</v>
      </c>
      <c r="H4" s="3" t="s">
        <v>10</v>
      </c>
      <c r="I4" s="3" t="s">
        <v>15</v>
      </c>
    </row>
    <row r="5" customHeight="1" spans="1:9">
      <c r="A5" s="4" t="s">
        <v>16</v>
      </c>
      <c r="B5" s="4">
        <f>VLOOKUP($A5,[1]中未分析60315!$A:$M,8,0)</f>
        <v>40</v>
      </c>
      <c r="C5" s="4">
        <f>VLOOKUP($A5,[1]中未分析60315!$A:$M,9,0)</f>
        <v>38</v>
      </c>
      <c r="D5" s="4">
        <f>VLOOKUP($A5,[1]中未分析60315!$A:$M,10,0)</f>
        <v>37</v>
      </c>
      <c r="E5" s="4">
        <f>VLOOKUP($A5,[1]中未分析60315!$A:$M,11,0)</f>
        <v>35</v>
      </c>
      <c r="F5" s="4">
        <f>VLOOKUP($A5,[1]中未分析60315!$A:$M,12,0)</f>
        <v>34</v>
      </c>
      <c r="G5" s="4">
        <f>VLOOKUP($A5,[1]中未分析60315!$A:$M,13,0)</f>
        <v>32</v>
      </c>
      <c r="H5" s="3" t="s">
        <v>10</v>
      </c>
      <c r="I5" s="3" t="s">
        <v>17</v>
      </c>
    </row>
    <row r="6" customHeight="1" spans="1:9">
      <c r="A6" s="4" t="s">
        <v>18</v>
      </c>
      <c r="B6" s="4">
        <f>VLOOKUP($A6,[1]中未分析60315!$A:$M,8,0)</f>
        <v>22</v>
      </c>
      <c r="C6" s="4">
        <f>VLOOKUP($A6,[1]中未分析60315!$A:$M,9,0)</f>
        <v>21</v>
      </c>
      <c r="D6" s="4">
        <f>VLOOKUP($A6,[1]中未分析60315!$A:$M,10,0)</f>
        <v>20</v>
      </c>
      <c r="E6" s="4">
        <f>VLOOKUP($A6,[1]中未分析60315!$A:$M,11,0)</f>
        <v>19</v>
      </c>
      <c r="F6" s="4">
        <f>VLOOKUP($A6,[1]中未分析60315!$A:$M,12,0)</f>
        <v>19</v>
      </c>
      <c r="G6" s="4">
        <f>VLOOKUP($A6,[1]中未分析60315!$A:$M,13,0)</f>
        <v>18</v>
      </c>
      <c r="H6" s="3" t="s">
        <v>10</v>
      </c>
      <c r="I6" s="3" t="s">
        <v>19</v>
      </c>
    </row>
    <row r="7" customHeight="1" spans="1:9">
      <c r="A7" s="4" t="s">
        <v>20</v>
      </c>
      <c r="B7" s="4">
        <f>VLOOKUP($A7,[1]中未分析60315!$A:$M,8,0)</f>
        <v>23</v>
      </c>
      <c r="C7" s="4">
        <f>VLOOKUP($A7,[1]中未分析60315!$A:$M,9,0)</f>
        <v>22</v>
      </c>
      <c r="D7" s="4">
        <f>VLOOKUP($A7,[1]中未分析60315!$A:$M,10,0)</f>
        <v>21</v>
      </c>
      <c r="E7" s="4">
        <f>VLOOKUP($A7,[1]中未分析60315!$A:$M,11,0)</f>
        <v>20</v>
      </c>
      <c r="F7" s="4">
        <f>VLOOKUP($A7,[1]中未分析60315!$A:$M,12,0)</f>
        <v>19</v>
      </c>
      <c r="G7" s="4">
        <f>VLOOKUP($A7,[1]中未分析60315!$A:$M,13,0)</f>
        <v>19</v>
      </c>
      <c r="H7" s="3" t="s">
        <v>10</v>
      </c>
      <c r="I7" s="3" t="s">
        <v>21</v>
      </c>
    </row>
    <row r="8" customHeight="1" spans="1:9">
      <c r="A8" s="4" t="s">
        <v>22</v>
      </c>
      <c r="B8" s="4">
        <f>VLOOKUP($A8,[1]中未分析60315!$A:$M,8,0)</f>
        <v>40</v>
      </c>
      <c r="C8" s="4">
        <f>VLOOKUP($A8,[1]中未分析60315!$A:$M,9,0)</f>
        <v>38</v>
      </c>
      <c r="D8" s="4">
        <f>VLOOKUP($A8,[1]中未分析60315!$A:$M,10,0)</f>
        <v>37</v>
      </c>
      <c r="E8" s="4">
        <f>VLOOKUP($A8,[1]中未分析60315!$A:$M,11,0)</f>
        <v>35</v>
      </c>
      <c r="F8" s="4">
        <f>VLOOKUP($A8,[1]中未分析60315!$A:$M,12,0)</f>
        <v>34</v>
      </c>
      <c r="G8" s="4">
        <f>VLOOKUP($A8,[1]中未分析60315!$A:$M,13,0)</f>
        <v>32</v>
      </c>
      <c r="H8" s="3" t="s">
        <v>10</v>
      </c>
      <c r="I8" s="3" t="s">
        <v>23</v>
      </c>
    </row>
    <row r="9" customHeight="1" spans="1:9">
      <c r="A9" s="4" t="s">
        <v>24</v>
      </c>
      <c r="B9" s="4">
        <f>VLOOKUP($A9,[1]中未分析60315!$A:$M,8,0)</f>
        <v>27</v>
      </c>
      <c r="C9" s="4">
        <f>VLOOKUP($A9,[1]中未分析60315!$A:$M,9,0)</f>
        <v>26</v>
      </c>
      <c r="D9" s="4">
        <f>VLOOKUP($A9,[1]中未分析60315!$A:$M,10,0)</f>
        <v>25</v>
      </c>
      <c r="E9" s="4">
        <f>VLOOKUP($A9,[1]中未分析60315!$A:$M,11,0)</f>
        <v>24</v>
      </c>
      <c r="F9" s="4">
        <f>VLOOKUP($A9,[1]中未分析60315!$A:$M,12,0)</f>
        <v>23</v>
      </c>
      <c r="G9" s="4">
        <f>VLOOKUP($A9,[1]中未分析60315!$A:$M,13,0)</f>
        <v>22</v>
      </c>
      <c r="H9" s="3" t="s">
        <v>10</v>
      </c>
      <c r="I9" s="3" t="s">
        <v>25</v>
      </c>
    </row>
    <row r="10" customHeight="1" spans="1:9">
      <c r="A10" s="4" t="s">
        <v>26</v>
      </c>
      <c r="B10" s="4">
        <f>VLOOKUP($A10,[1]中未分析60315!$A:$M,8,0)</f>
        <v>39</v>
      </c>
      <c r="C10" s="4">
        <f>VLOOKUP($A10,[1]中未分析60315!$A:$M,9,0)</f>
        <v>38</v>
      </c>
      <c r="D10" s="4">
        <f>VLOOKUP($A10,[1]中未分析60315!$A:$M,10,0)</f>
        <v>36</v>
      </c>
      <c r="E10" s="4">
        <f>VLOOKUP($A10,[1]中未分析60315!$A:$M,11,0)</f>
        <v>35</v>
      </c>
      <c r="F10" s="4">
        <f>VLOOKUP($A10,[1]中未分析60315!$A:$M,12,0)</f>
        <v>34</v>
      </c>
      <c r="G10" s="4">
        <f>VLOOKUP($A10,[1]中未分析60315!$A:$M,13,0)</f>
        <v>32</v>
      </c>
      <c r="H10" s="3" t="s">
        <v>10</v>
      </c>
      <c r="I10" s="3" t="s">
        <v>27</v>
      </c>
    </row>
    <row r="11" customHeight="1" spans="1:9">
      <c r="A11" s="4" t="s">
        <v>28</v>
      </c>
      <c r="B11" s="4">
        <f>VLOOKUP($A11,[1]中未分析60315!$A:$M,8,0)</f>
        <v>33</v>
      </c>
      <c r="C11" s="4">
        <f>VLOOKUP($A11,[1]中未分析60315!$A:$M,9,0)</f>
        <v>32</v>
      </c>
      <c r="D11" s="4">
        <f>VLOOKUP($A11,[1]中未分析60315!$A:$M,10,0)</f>
        <v>31</v>
      </c>
      <c r="E11" s="4">
        <f>VLOOKUP($A11,[1]中未分析60315!$A:$M,11,0)</f>
        <v>29</v>
      </c>
      <c r="F11" s="4">
        <f>VLOOKUP($A11,[1]中未分析60315!$A:$M,12,0)</f>
        <v>28</v>
      </c>
      <c r="G11" s="4">
        <f>VLOOKUP($A11,[1]中未分析60315!$A:$M,13,0)</f>
        <v>27</v>
      </c>
      <c r="H11" s="3" t="s">
        <v>10</v>
      </c>
      <c r="I11" s="3" t="s">
        <v>29</v>
      </c>
    </row>
    <row r="12" customHeight="1" spans="1:9">
      <c r="A12" s="4" t="s">
        <v>30</v>
      </c>
      <c r="B12" s="4">
        <f>VLOOKUP($A12,[1]中未分析60315!$A:$M,8,0)</f>
        <v>33</v>
      </c>
      <c r="C12" s="4">
        <f>VLOOKUP($A12,[1]中未分析60315!$A:$M,9,0)</f>
        <v>32</v>
      </c>
      <c r="D12" s="4">
        <f>VLOOKUP($A12,[1]中未分析60315!$A:$M,10,0)</f>
        <v>30</v>
      </c>
      <c r="E12" s="4">
        <f>VLOOKUP($A12,[1]中未分析60315!$A:$M,11,0)</f>
        <v>29</v>
      </c>
      <c r="F12" s="4">
        <f>VLOOKUP($A12,[1]中未分析60315!$A:$M,12,0)</f>
        <v>28</v>
      </c>
      <c r="G12" s="4">
        <f>VLOOKUP($A12,[1]中未分析60315!$A:$M,13,0)</f>
        <v>27</v>
      </c>
      <c r="H12" s="3" t="s">
        <v>10</v>
      </c>
      <c r="I12" s="3" t="s">
        <v>31</v>
      </c>
    </row>
    <row r="13" customHeight="1" spans="1:9">
      <c r="A13" s="4" t="s">
        <v>32</v>
      </c>
      <c r="B13" s="4">
        <f>VLOOKUP($A13,[1]中未分析60315!$A:$M,8,0)</f>
        <v>39</v>
      </c>
      <c r="C13" s="4">
        <f>VLOOKUP($A13,[1]中未分析60315!$A:$M,9,0)</f>
        <v>38</v>
      </c>
      <c r="D13" s="4">
        <f>VLOOKUP($A13,[1]中未分析60315!$A:$M,10,0)</f>
        <v>36</v>
      </c>
      <c r="E13" s="4">
        <f>VLOOKUP($A13,[1]中未分析60315!$A:$M,11,0)</f>
        <v>35</v>
      </c>
      <c r="F13" s="4">
        <f>VLOOKUP($A13,[1]中未分析60315!$A:$M,12,0)</f>
        <v>33</v>
      </c>
      <c r="G13" s="4">
        <f>VLOOKUP($A13,[1]中未分析60315!$A:$M,13,0)</f>
        <v>32</v>
      </c>
      <c r="H13" s="3" t="s">
        <v>10</v>
      </c>
      <c r="I13" s="3" t="s">
        <v>33</v>
      </c>
    </row>
    <row r="14" customHeight="1" spans="1:9">
      <c r="A14" s="4" t="s">
        <v>34</v>
      </c>
      <c r="B14" s="4">
        <f>VLOOKUP($A14,[1]中未分析60315!$A:$M,8,0)</f>
        <v>40</v>
      </c>
      <c r="C14" s="4">
        <f>VLOOKUP($A14,[1]中未分析60315!$A:$M,9,0)</f>
        <v>38</v>
      </c>
      <c r="D14" s="4">
        <f>VLOOKUP($A14,[1]中未分析60315!$A:$M,10,0)</f>
        <v>37</v>
      </c>
      <c r="E14" s="4">
        <f>VLOOKUP($A14,[1]中未分析60315!$A:$M,11,0)</f>
        <v>35</v>
      </c>
      <c r="F14" s="4">
        <f>VLOOKUP($A14,[1]中未分析60315!$A:$M,12,0)</f>
        <v>34</v>
      </c>
      <c r="G14" s="4">
        <f>VLOOKUP($A14,[1]中未分析60315!$A:$M,13,0)</f>
        <v>32</v>
      </c>
      <c r="H14" s="3" t="s">
        <v>10</v>
      </c>
      <c r="I14" s="3" t="s">
        <v>35</v>
      </c>
    </row>
    <row r="15" customHeight="1" spans="1:9">
      <c r="A15" s="4" t="s">
        <v>36</v>
      </c>
      <c r="B15" s="4">
        <f>VLOOKUP($A15,[1]中未分析60315!$A:$M,8,0)</f>
        <v>24</v>
      </c>
      <c r="C15" s="4">
        <f>VLOOKUP($A15,[1]中未分析60315!$A:$M,9,0)</f>
        <v>23</v>
      </c>
      <c r="D15" s="4">
        <f>VLOOKUP($A15,[1]中未分析60315!$A:$M,10,0)</f>
        <v>23</v>
      </c>
      <c r="E15" s="4">
        <f>VLOOKUP($A15,[1]中未分析60315!$A:$M,11,0)</f>
        <v>22</v>
      </c>
      <c r="F15" s="4">
        <f>VLOOKUP($A15,[1]中未分析60315!$A:$M,12,0)</f>
        <v>21</v>
      </c>
      <c r="G15" s="4">
        <f>VLOOKUP($A15,[1]中未分析60315!$A:$M,13,0)</f>
        <v>20</v>
      </c>
      <c r="H15" s="3" t="s">
        <v>10</v>
      </c>
      <c r="I15" s="3" t="s">
        <v>37</v>
      </c>
    </row>
    <row r="16" customHeight="1" spans="1:9">
      <c r="A16" s="4" t="s">
        <v>38</v>
      </c>
      <c r="B16" s="4">
        <f>VLOOKUP($A16,[1]中未分析60315!$A:$M,8,0)</f>
        <v>126</v>
      </c>
      <c r="C16" s="4">
        <f>VLOOKUP($A16,[1]中未分析60315!$A:$M,9,0)</f>
        <v>123</v>
      </c>
      <c r="D16" s="4">
        <f>VLOOKUP($A16,[1]中未分析60315!$A:$M,10,0)</f>
        <v>121</v>
      </c>
      <c r="E16" s="4">
        <f>VLOOKUP($A16,[1]中未分析60315!$A:$M,11,0)</f>
        <v>119</v>
      </c>
      <c r="F16" s="4">
        <f>VLOOKUP($A16,[1]中未分析60315!$A:$M,12,0)</f>
        <v>118</v>
      </c>
      <c r="G16" s="4">
        <f>VLOOKUP($A16,[1]中未分析60315!$A:$M,13,0)</f>
        <v>116</v>
      </c>
      <c r="H16" s="3" t="s">
        <v>39</v>
      </c>
      <c r="I16" s="3" t="s">
        <v>40</v>
      </c>
    </row>
    <row r="17" customHeight="1" spans="1:9">
      <c r="A17" s="4" t="s">
        <v>41</v>
      </c>
      <c r="B17" s="4">
        <f>VLOOKUP($A17,[1]中未分析60315!$A:$M,8,0)</f>
        <v>36</v>
      </c>
      <c r="C17" s="4">
        <f>VLOOKUP($A17,[1]中未分析60315!$A:$M,9,0)</f>
        <v>35</v>
      </c>
      <c r="D17" s="4">
        <f>VLOOKUP($A17,[1]中未分析60315!$A:$M,10,0)</f>
        <v>34</v>
      </c>
      <c r="E17" s="4">
        <f>VLOOKUP($A17,[1]中未分析60315!$A:$M,11,0)</f>
        <v>32</v>
      </c>
      <c r="F17" s="4">
        <f>VLOOKUP($A17,[1]中未分析60315!$A:$M,12,0)</f>
        <v>31</v>
      </c>
      <c r="G17" s="4">
        <f>VLOOKUP($A17,[1]中未分析60315!$A:$M,13,0)</f>
        <v>30</v>
      </c>
      <c r="H17" s="3" t="s">
        <v>10</v>
      </c>
      <c r="I17" s="3" t="s">
        <v>42</v>
      </c>
    </row>
    <row r="18" customHeight="1" spans="1:9">
      <c r="A18" s="4" t="s">
        <v>43</v>
      </c>
      <c r="B18" s="4">
        <f>VLOOKUP($A18,[1]中未分析60315!$A:$M,8,0)</f>
        <v>35</v>
      </c>
      <c r="C18" s="4">
        <f>VLOOKUP($A18,[1]中未分析60315!$A:$M,9,0)</f>
        <v>34</v>
      </c>
      <c r="D18" s="4">
        <f>VLOOKUP($A18,[1]中未分析60315!$A:$M,10,0)</f>
        <v>33</v>
      </c>
      <c r="E18" s="4">
        <f>VLOOKUP($A18,[1]中未分析60315!$A:$M,11,0)</f>
        <v>31</v>
      </c>
      <c r="F18" s="4">
        <f>VLOOKUP($A18,[1]中未分析60315!$A:$M,12,0)</f>
        <v>30</v>
      </c>
      <c r="G18" s="4">
        <f>VLOOKUP($A18,[1]中未分析60315!$A:$M,13,0)</f>
        <v>29</v>
      </c>
      <c r="H18" s="3" t="s">
        <v>10</v>
      </c>
      <c r="I18" s="3" t="s">
        <v>44</v>
      </c>
    </row>
    <row r="19" customHeight="1" spans="1:9">
      <c r="A19" s="4" t="s">
        <v>45</v>
      </c>
      <c r="B19" s="4">
        <f>VLOOKUP($A19,[1]中未分析60315!$A:$M,8,0)</f>
        <v>29</v>
      </c>
      <c r="C19" s="4">
        <f>VLOOKUP($A19,[1]中未分析60315!$A:$M,9,0)</f>
        <v>28</v>
      </c>
      <c r="D19" s="4">
        <f>VLOOKUP($A19,[1]中未分析60315!$A:$M,10,0)</f>
        <v>27</v>
      </c>
      <c r="E19" s="4">
        <f>VLOOKUP($A19,[1]中未分析60315!$A:$M,11,0)</f>
        <v>26</v>
      </c>
      <c r="F19" s="4">
        <f>VLOOKUP($A19,[1]中未分析60315!$A:$M,12,0)</f>
        <v>25</v>
      </c>
      <c r="G19" s="4">
        <f>VLOOKUP($A19,[1]中未分析60315!$A:$M,13,0)</f>
        <v>23</v>
      </c>
      <c r="H19" s="3" t="s">
        <v>10</v>
      </c>
      <c r="I19" s="3" t="s">
        <v>46</v>
      </c>
    </row>
    <row r="20" customHeight="1" spans="1:9">
      <c r="A20" s="4" t="s">
        <v>47</v>
      </c>
      <c r="B20" s="4">
        <f>VLOOKUP($A20,[1]中未分析60315!$A:$M,8,0)</f>
        <v>30</v>
      </c>
      <c r="C20" s="4">
        <f>VLOOKUP($A20,[1]中未分析60315!$A:$M,9,0)</f>
        <v>29</v>
      </c>
      <c r="D20" s="4">
        <f>VLOOKUP($A20,[1]中未分析60315!$A:$M,10,0)</f>
        <v>28</v>
      </c>
      <c r="E20" s="4">
        <f>VLOOKUP($A20,[1]中未分析60315!$A:$M,11,0)</f>
        <v>27</v>
      </c>
      <c r="F20" s="4">
        <f>VLOOKUP($A20,[1]中未分析60315!$A:$M,12,0)</f>
        <v>26</v>
      </c>
      <c r="G20" s="4">
        <f>VLOOKUP($A20,[1]中未分析60315!$A:$M,13,0)</f>
        <v>25</v>
      </c>
      <c r="H20" s="3" t="s">
        <v>10</v>
      </c>
      <c r="I20" s="3" t="s">
        <v>48</v>
      </c>
    </row>
    <row r="21" customHeight="1" spans="1:9">
      <c r="A21" s="4" t="s">
        <v>49</v>
      </c>
      <c r="B21" s="4">
        <f>VLOOKUP($A21,[1]中未分析60315!$A:$M,8,0)</f>
        <v>34</v>
      </c>
      <c r="C21" s="4">
        <f>VLOOKUP($A21,[1]中未分析60315!$A:$M,9,0)</f>
        <v>33</v>
      </c>
      <c r="D21" s="4">
        <f>VLOOKUP($A21,[1]中未分析60315!$A:$M,10,0)</f>
        <v>31</v>
      </c>
      <c r="E21" s="4">
        <f>VLOOKUP($A21,[1]中未分析60315!$A:$M,11,0)</f>
        <v>30</v>
      </c>
      <c r="F21" s="4">
        <f>VLOOKUP($A21,[1]中未分析60315!$A:$M,12,0)</f>
        <v>29</v>
      </c>
      <c r="G21" s="4">
        <f>VLOOKUP($A21,[1]中未分析60315!$A:$M,13,0)</f>
        <v>28</v>
      </c>
      <c r="H21" s="3" t="s">
        <v>10</v>
      </c>
      <c r="I21" s="3" t="s">
        <v>31</v>
      </c>
    </row>
    <row r="22" customHeight="1" spans="1:9">
      <c r="A22" s="4" t="s">
        <v>50</v>
      </c>
      <c r="B22" s="4">
        <f>VLOOKUP($A22,[1]中未分析60315!$A:$M,8,0)</f>
        <v>89</v>
      </c>
      <c r="C22" s="4">
        <f>VLOOKUP($A22,[1]中未分析60315!$A:$M,9,0)</f>
        <v>86</v>
      </c>
      <c r="D22" s="4">
        <f>VLOOKUP($A22,[1]中未分析60315!$A:$M,10,0)</f>
        <v>82</v>
      </c>
      <c r="E22" s="4">
        <f>VLOOKUP($A22,[1]中未分析60315!$A:$M,11,0)</f>
        <v>79</v>
      </c>
      <c r="F22" s="4">
        <f>VLOOKUP($A22,[1]中未分析60315!$A:$M,12,0)</f>
        <v>76</v>
      </c>
      <c r="G22" s="4">
        <f>VLOOKUP($A22,[1]中未分析60315!$A:$M,13,0)</f>
        <v>73</v>
      </c>
      <c r="H22" s="3" t="s">
        <v>10</v>
      </c>
      <c r="I22" s="3" t="s">
        <v>51</v>
      </c>
    </row>
    <row r="23" customHeight="1" spans="1:9">
      <c r="A23" s="4" t="s">
        <v>52</v>
      </c>
      <c r="B23" s="4">
        <f>VLOOKUP($A23,[1]中未分析60315!$A:$M,8,0)</f>
        <v>55</v>
      </c>
      <c r="C23" s="4">
        <f>VLOOKUP($A23,[1]中未分析60315!$A:$M,9,0)</f>
        <v>53</v>
      </c>
      <c r="D23" s="4">
        <f>VLOOKUP($A23,[1]中未分析60315!$A:$M,10,0)</f>
        <v>51</v>
      </c>
      <c r="E23" s="4">
        <f>VLOOKUP($A23,[1]中未分析60315!$A:$M,11,0)</f>
        <v>49</v>
      </c>
      <c r="F23" s="4">
        <f>VLOOKUP($A23,[1]中未分析60315!$A:$M,12,0)</f>
        <v>47</v>
      </c>
      <c r="G23" s="4">
        <f>VLOOKUP($A23,[1]中未分析60315!$A:$M,13,0)</f>
        <v>45</v>
      </c>
      <c r="H23" s="3" t="s">
        <v>10</v>
      </c>
      <c r="I23" s="3" t="s">
        <v>53</v>
      </c>
    </row>
    <row r="24" customHeight="1" spans="1:9">
      <c r="A24" s="4" t="s">
        <v>54</v>
      </c>
      <c r="B24" s="4">
        <f>VLOOKUP($A24,[1]中未分析60315!$A:$M,8,0)</f>
        <v>33</v>
      </c>
      <c r="C24" s="4">
        <f>VLOOKUP($A24,[1]中未分析60315!$A:$M,9,0)</f>
        <v>32</v>
      </c>
      <c r="D24" s="4">
        <f>VLOOKUP($A24,[1]中未分析60315!$A:$M,10,0)</f>
        <v>31</v>
      </c>
      <c r="E24" s="4">
        <f>VLOOKUP($A24,[1]中未分析60315!$A:$M,11,0)</f>
        <v>30</v>
      </c>
      <c r="F24" s="4">
        <f>VLOOKUP($A24,[1]中未分析60315!$A:$M,12,0)</f>
        <v>28</v>
      </c>
      <c r="G24" s="4">
        <f>VLOOKUP($A24,[1]中未分析60315!$A:$M,13,0)</f>
        <v>27</v>
      </c>
      <c r="H24" s="3" t="s">
        <v>10</v>
      </c>
      <c r="I24" s="3" t="s">
        <v>55</v>
      </c>
    </row>
    <row r="25" customHeight="1" spans="1:9">
      <c r="A25" s="4" t="s">
        <v>56</v>
      </c>
      <c r="B25" s="4">
        <f>VLOOKUP($A25,[1]中未分析60315!$A:$M,8,0)</f>
        <v>25</v>
      </c>
      <c r="C25" s="4">
        <f>VLOOKUP($A25,[1]中未分析60315!$A:$M,9,0)</f>
        <v>24</v>
      </c>
      <c r="D25" s="4">
        <f>VLOOKUP($A25,[1]中未分析60315!$A:$M,10,0)</f>
        <v>23</v>
      </c>
      <c r="E25" s="4">
        <f>VLOOKUP($A25,[1]中未分析60315!$A:$M,11,0)</f>
        <v>22</v>
      </c>
      <c r="F25" s="4">
        <f>VLOOKUP($A25,[1]中未分析60315!$A:$M,12,0)</f>
        <v>21</v>
      </c>
      <c r="G25" s="4">
        <f>VLOOKUP($A25,[1]中未分析60315!$A:$M,13,0)</f>
        <v>20</v>
      </c>
      <c r="H25" s="3" t="s">
        <v>10</v>
      </c>
      <c r="I25" s="3" t="s">
        <v>57</v>
      </c>
    </row>
    <row r="26" customHeight="1" spans="1:9">
      <c r="A26" s="4" t="s">
        <v>58</v>
      </c>
      <c r="B26" s="4">
        <f>VLOOKUP($A26,[1]中未分析60315!$A:$M,8,0)</f>
        <v>30</v>
      </c>
      <c r="C26" s="4">
        <f>VLOOKUP($A26,[1]中未分析60315!$A:$M,9,0)</f>
        <v>29</v>
      </c>
      <c r="D26" s="4">
        <f>VLOOKUP($A26,[1]中未分析60315!$A:$M,10,0)</f>
        <v>28</v>
      </c>
      <c r="E26" s="4">
        <f>VLOOKUP($A26,[1]中未分析60315!$A:$M,11,0)</f>
        <v>27</v>
      </c>
      <c r="F26" s="4">
        <f>VLOOKUP($A26,[1]中未分析60315!$A:$M,12,0)</f>
        <v>26</v>
      </c>
      <c r="G26" s="4">
        <f>VLOOKUP($A26,[1]中未分析60315!$A:$M,13,0)</f>
        <v>25</v>
      </c>
      <c r="H26" s="3" t="s">
        <v>10</v>
      </c>
      <c r="I26" s="3" t="s">
        <v>59</v>
      </c>
    </row>
    <row r="27" customHeight="1" spans="1:9">
      <c r="A27" s="4" t="s">
        <v>60</v>
      </c>
      <c r="B27" s="4">
        <f>VLOOKUP($A27,[1]中未分析60315!$A:$M,8,0)</f>
        <v>44</v>
      </c>
      <c r="C27" s="4">
        <f>VLOOKUP($A27,[1]中未分析60315!$A:$M,9,0)</f>
        <v>42</v>
      </c>
      <c r="D27" s="4">
        <f>VLOOKUP($A27,[1]中未分析60315!$A:$M,10,0)</f>
        <v>41</v>
      </c>
      <c r="E27" s="4">
        <f>VLOOKUP($A27,[1]中未分析60315!$A:$M,11,0)</f>
        <v>39</v>
      </c>
      <c r="F27" s="4">
        <f>VLOOKUP($A27,[1]中未分析60315!$A:$M,12,0)</f>
        <v>38</v>
      </c>
      <c r="G27" s="4">
        <f>VLOOKUP($A27,[1]中未分析60315!$A:$M,13,0)</f>
        <v>36</v>
      </c>
      <c r="H27" s="3" t="s">
        <v>10</v>
      </c>
      <c r="I27" s="3" t="s">
        <v>61</v>
      </c>
    </row>
    <row r="28" customHeight="1" spans="1:9">
      <c r="A28" s="4" t="s">
        <v>62</v>
      </c>
      <c r="B28" s="4">
        <f>VLOOKUP($A28,[1]中未分析60315!$A:$M,8,0)</f>
        <v>21</v>
      </c>
      <c r="C28" s="4">
        <f>VLOOKUP($A28,[1]中未分析60315!$A:$M,9,0)</f>
        <v>20</v>
      </c>
      <c r="D28" s="4">
        <f>VLOOKUP($A28,[1]中未分析60315!$A:$M,10,0)</f>
        <v>19</v>
      </c>
      <c r="E28" s="4">
        <f>VLOOKUP($A28,[1]中未分析60315!$A:$M,11,0)</f>
        <v>19</v>
      </c>
      <c r="F28" s="4">
        <f>VLOOKUP($A28,[1]中未分析60315!$A:$M,12,0)</f>
        <v>18</v>
      </c>
      <c r="G28" s="4">
        <f>VLOOKUP($A28,[1]中未分析60315!$A:$M,13,0)</f>
        <v>17</v>
      </c>
      <c r="H28" s="3" t="s">
        <v>10</v>
      </c>
      <c r="I28" s="3" t="s">
        <v>63</v>
      </c>
    </row>
    <row r="29" customHeight="1" spans="1:9">
      <c r="A29" s="4" t="s">
        <v>64</v>
      </c>
      <c r="B29" s="4">
        <f>VLOOKUP($A29,[1]中未分析60315!$A:$M,8,0)</f>
        <v>29</v>
      </c>
      <c r="C29" s="4">
        <f>VLOOKUP($A29,[1]中未分析60315!$A:$M,9,0)</f>
        <v>28</v>
      </c>
      <c r="D29" s="4">
        <f>VLOOKUP($A29,[1]中未分析60315!$A:$M,10,0)</f>
        <v>27</v>
      </c>
      <c r="E29" s="4">
        <f>VLOOKUP($A29,[1]中未分析60315!$A:$M,11,0)</f>
        <v>26</v>
      </c>
      <c r="F29" s="4">
        <f>VLOOKUP($A29,[1]中未分析60315!$A:$M,12,0)</f>
        <v>25</v>
      </c>
      <c r="G29" s="4">
        <f>VLOOKUP($A29,[1]中未分析60315!$A:$M,13,0)</f>
        <v>24</v>
      </c>
      <c r="H29" s="3" t="s">
        <v>10</v>
      </c>
      <c r="I29" s="3" t="s">
        <v>65</v>
      </c>
    </row>
    <row r="30" customHeight="1" spans="1:9">
      <c r="A30" s="4" t="s">
        <v>66</v>
      </c>
      <c r="B30" s="4">
        <f>VLOOKUP($A30,[1]中未分析60315!$A:$M,8,0)</f>
        <v>102</v>
      </c>
      <c r="C30" s="4">
        <f>VLOOKUP($A30,[1]中未分析60315!$A:$M,9,0)</f>
        <v>99</v>
      </c>
      <c r="D30" s="4">
        <f>VLOOKUP($A30,[1]中未分析60315!$A:$M,10,0)</f>
        <v>95</v>
      </c>
      <c r="E30" s="4">
        <f>VLOOKUP($A30,[1]中未分析60315!$A:$M,11,0)</f>
        <v>91</v>
      </c>
      <c r="F30" s="4">
        <f>VLOOKUP($A30,[1]中未分析60315!$A:$M,12,0)</f>
        <v>87</v>
      </c>
      <c r="G30" s="4">
        <f>VLOOKUP($A30,[1]中未分析60315!$A:$M,13,0)</f>
        <v>84</v>
      </c>
      <c r="H30" s="3" t="s">
        <v>10</v>
      </c>
      <c r="I30" s="3" t="s">
        <v>67</v>
      </c>
    </row>
    <row r="31" customHeight="1" spans="1:9">
      <c r="A31" s="4" t="s">
        <v>68</v>
      </c>
      <c r="B31" s="4">
        <f>VLOOKUP($A31,[1]中未分析60315!$A:$M,8,0)</f>
        <v>34</v>
      </c>
      <c r="C31" s="4">
        <f>VLOOKUP($A31,[1]中未分析60315!$A:$M,9,0)</f>
        <v>32</v>
      </c>
      <c r="D31" s="4">
        <f>VLOOKUP($A31,[1]中未分析60315!$A:$M,10,0)</f>
        <v>31</v>
      </c>
      <c r="E31" s="4">
        <f>VLOOKUP($A31,[1]中未分析60315!$A:$M,11,0)</f>
        <v>30</v>
      </c>
      <c r="F31" s="4">
        <f>VLOOKUP($A31,[1]中未分析60315!$A:$M,12,0)</f>
        <v>29</v>
      </c>
      <c r="G31" s="4">
        <f>VLOOKUP($A31,[1]中未分析60315!$A:$M,13,0)</f>
        <v>27</v>
      </c>
      <c r="H31" s="3" t="s">
        <v>10</v>
      </c>
      <c r="I31" s="3" t="s">
        <v>69</v>
      </c>
    </row>
    <row r="32" customHeight="1" spans="1:9">
      <c r="A32" s="4" t="s">
        <v>70</v>
      </c>
      <c r="B32" s="4">
        <f>VLOOKUP($A32,[1]中未分析60315!$A:$M,8,0)</f>
        <v>41</v>
      </c>
      <c r="C32" s="4">
        <f>VLOOKUP($A32,[1]中未分析60315!$A:$M,9,0)</f>
        <v>40</v>
      </c>
      <c r="D32" s="4">
        <f>VLOOKUP($A32,[1]中未分析60315!$A:$M,10,0)</f>
        <v>38</v>
      </c>
      <c r="E32" s="4">
        <f>VLOOKUP($A32,[1]中未分析60315!$A:$M,11,0)</f>
        <v>37</v>
      </c>
      <c r="F32" s="4">
        <f>VLOOKUP($A32,[1]中未分析60315!$A:$M,12,0)</f>
        <v>35</v>
      </c>
      <c r="G32" s="4">
        <f>VLOOKUP($A32,[1]中未分析60315!$A:$M,13,0)</f>
        <v>34</v>
      </c>
      <c r="H32" s="3" t="s">
        <v>10</v>
      </c>
      <c r="I32" s="3" t="s">
        <v>71</v>
      </c>
    </row>
    <row r="33" customHeight="1" spans="1:9">
      <c r="A33" s="4" t="s">
        <v>72</v>
      </c>
      <c r="B33" s="4">
        <f>VLOOKUP($A33,[1]中未分析60315!$A:$M,8,0)</f>
        <v>29</v>
      </c>
      <c r="C33" s="4">
        <f>VLOOKUP($A33,[1]中未分析60315!$A:$M,9,0)</f>
        <v>28</v>
      </c>
      <c r="D33" s="4">
        <f>VLOOKUP($A33,[1]中未分析60315!$A:$M,10,0)</f>
        <v>27</v>
      </c>
      <c r="E33" s="4">
        <f>VLOOKUP($A33,[1]中未分析60315!$A:$M,11,0)</f>
        <v>26</v>
      </c>
      <c r="F33" s="4">
        <f>VLOOKUP($A33,[1]中未分析60315!$A:$M,12,0)</f>
        <v>25</v>
      </c>
      <c r="G33" s="4">
        <f>VLOOKUP($A33,[1]中未分析60315!$A:$M,13,0)</f>
        <v>24</v>
      </c>
      <c r="H33" s="3" t="s">
        <v>10</v>
      </c>
      <c r="I33" s="3" t="s">
        <v>73</v>
      </c>
    </row>
    <row r="34" customHeight="1" spans="1:9">
      <c r="A34" s="4" t="s">
        <v>74</v>
      </c>
      <c r="B34" s="4">
        <f>VLOOKUP($A34,[1]中未分析60315!$A:$M,8,0)</f>
        <v>30</v>
      </c>
      <c r="C34" s="4">
        <f>VLOOKUP($A34,[1]中未分析60315!$A:$M,9,0)</f>
        <v>29</v>
      </c>
      <c r="D34" s="4">
        <f>VLOOKUP($A34,[1]中未分析60315!$A:$M,10,0)</f>
        <v>28</v>
      </c>
      <c r="E34" s="4">
        <f>VLOOKUP($A34,[1]中未分析60315!$A:$M,11,0)</f>
        <v>27</v>
      </c>
      <c r="F34" s="4">
        <f>VLOOKUP($A34,[1]中未分析60315!$A:$M,12,0)</f>
        <v>26</v>
      </c>
      <c r="G34" s="4">
        <f>VLOOKUP($A34,[1]中未分析60315!$A:$M,13,0)</f>
        <v>25</v>
      </c>
      <c r="H34" s="3" t="s">
        <v>10</v>
      </c>
      <c r="I34" s="3" t="s">
        <v>75</v>
      </c>
    </row>
    <row r="35" customHeight="1" spans="1:9">
      <c r="A35" s="4" t="s">
        <v>76</v>
      </c>
      <c r="B35" s="4">
        <f>VLOOKUP($A35,[1]中未分析60315!$A:$M,8,0)</f>
        <v>37</v>
      </c>
      <c r="C35" s="4">
        <f>VLOOKUP($A35,[1]中未分析60315!$A:$M,9,0)</f>
        <v>35</v>
      </c>
      <c r="D35" s="4">
        <f>VLOOKUP($A35,[1]中未分析60315!$A:$M,10,0)</f>
        <v>34</v>
      </c>
      <c r="E35" s="4">
        <f>VLOOKUP($A35,[1]中未分析60315!$A:$M,11,0)</f>
        <v>33</v>
      </c>
      <c r="F35" s="4">
        <f>VLOOKUP($A35,[1]中未分析60315!$A:$M,12,0)</f>
        <v>31</v>
      </c>
      <c r="G35" s="4">
        <f>VLOOKUP($A35,[1]中未分析60315!$A:$M,13,0)</f>
        <v>30</v>
      </c>
      <c r="H35" s="3" t="s">
        <v>10</v>
      </c>
      <c r="I35" s="3" t="s">
        <v>77</v>
      </c>
    </row>
    <row r="36" customHeight="1" spans="1:9">
      <c r="A36" s="4" t="s">
        <v>78</v>
      </c>
      <c r="B36" s="4">
        <f>VLOOKUP($A36,[1]中未分析60315!$A:$M,8,0)</f>
        <v>34</v>
      </c>
      <c r="C36" s="4">
        <f>VLOOKUP($A36,[1]中未分析60315!$A:$M,9,0)</f>
        <v>32</v>
      </c>
      <c r="D36" s="4">
        <f>VLOOKUP($A36,[1]中未分析60315!$A:$M,10,0)</f>
        <v>31</v>
      </c>
      <c r="E36" s="4">
        <f>VLOOKUP($A36,[1]中未分析60315!$A:$M,11,0)</f>
        <v>30</v>
      </c>
      <c r="F36" s="4">
        <f>VLOOKUP($A36,[1]中未分析60315!$A:$M,12,0)</f>
        <v>29</v>
      </c>
      <c r="G36" s="4">
        <f>VLOOKUP($A36,[1]中未分析60315!$A:$M,13,0)</f>
        <v>28</v>
      </c>
      <c r="H36" s="3" t="s">
        <v>10</v>
      </c>
      <c r="I36" s="3" t="s">
        <v>79</v>
      </c>
    </row>
    <row r="37" customHeight="1" spans="1:9">
      <c r="A37" s="4" t="s">
        <v>80</v>
      </c>
      <c r="B37" s="4">
        <f>VLOOKUP($A37,[1]中未分析60315!$A:$M,8,0)</f>
        <v>24</v>
      </c>
      <c r="C37" s="4">
        <f>VLOOKUP($A37,[1]中未分析60315!$A:$M,9,0)</f>
        <v>23</v>
      </c>
      <c r="D37" s="4">
        <f>VLOOKUP($A37,[1]中未分析60315!$A:$M,10,0)</f>
        <v>22</v>
      </c>
      <c r="E37" s="4">
        <f>VLOOKUP($A37,[1]中未分析60315!$A:$M,11,0)</f>
        <v>22</v>
      </c>
      <c r="F37" s="4">
        <f>VLOOKUP($A37,[1]中未分析60315!$A:$M,12,0)</f>
        <v>21</v>
      </c>
      <c r="G37" s="4">
        <f>VLOOKUP($A37,[1]中未分析60315!$A:$M,13,0)</f>
        <v>20</v>
      </c>
      <c r="H37" s="3" t="s">
        <v>10</v>
      </c>
      <c r="I37" s="3" t="s">
        <v>81</v>
      </c>
    </row>
    <row r="38" customHeight="1" spans="1:9">
      <c r="A38" s="4" t="s">
        <v>82</v>
      </c>
      <c r="B38" s="4">
        <f>VLOOKUP($A38,[1]中未分析60315!$A:$M,8,0)</f>
        <v>27</v>
      </c>
      <c r="C38" s="4">
        <f>VLOOKUP($A38,[1]中未分析60315!$A:$M,9,0)</f>
        <v>26</v>
      </c>
      <c r="D38" s="4">
        <f>VLOOKUP($A38,[1]中未分析60315!$A:$M,10,0)</f>
        <v>25</v>
      </c>
      <c r="E38" s="4">
        <f>VLOOKUP($A38,[1]中未分析60315!$A:$M,11,0)</f>
        <v>24</v>
      </c>
      <c r="F38" s="4">
        <f>VLOOKUP($A38,[1]中未分析60315!$A:$M,12,0)</f>
        <v>23</v>
      </c>
      <c r="G38" s="4">
        <f>VLOOKUP($A38,[1]中未分析60315!$A:$M,13,0)</f>
        <v>22</v>
      </c>
      <c r="H38" s="3" t="s">
        <v>10</v>
      </c>
      <c r="I38" s="3" t="s">
        <v>83</v>
      </c>
    </row>
    <row r="39" customHeight="1" spans="1:9">
      <c r="A39" s="4" t="s">
        <v>84</v>
      </c>
      <c r="B39" s="4">
        <f>VLOOKUP($A39,[1]中未分析60315!$A:$M,8,0)</f>
        <v>29</v>
      </c>
      <c r="C39" s="4">
        <f>VLOOKUP($A39,[1]中未分析60315!$A:$M,9,0)</f>
        <v>28</v>
      </c>
      <c r="D39" s="4">
        <f>VLOOKUP($A39,[1]中未分析60315!$A:$M,10,0)</f>
        <v>27</v>
      </c>
      <c r="E39" s="4">
        <f>VLOOKUP($A39,[1]中未分析60315!$A:$M,11,0)</f>
        <v>25</v>
      </c>
      <c r="F39" s="4">
        <f>VLOOKUP($A39,[1]中未分析60315!$A:$M,12,0)</f>
        <v>24</v>
      </c>
      <c r="G39" s="4">
        <f>VLOOKUP($A39,[1]中未分析60315!$A:$M,13,0)</f>
        <v>23</v>
      </c>
      <c r="H39" s="3" t="s">
        <v>10</v>
      </c>
      <c r="I39" s="3" t="s">
        <v>85</v>
      </c>
    </row>
    <row r="40" customHeight="1" spans="1:9">
      <c r="A40" s="4" t="s">
        <v>86</v>
      </c>
      <c r="B40" s="4">
        <f>VLOOKUP($A40,[1]中未分析60315!$A:$M,8,0)</f>
        <v>28</v>
      </c>
      <c r="C40" s="4">
        <f>VLOOKUP($A40,[1]中未分析60315!$A:$M,9,0)</f>
        <v>27</v>
      </c>
      <c r="D40" s="4">
        <f>VLOOKUP($A40,[1]中未分析60315!$A:$M,10,0)</f>
        <v>26</v>
      </c>
      <c r="E40" s="4">
        <f>VLOOKUP($A40,[1]中未分析60315!$A:$M,11,0)</f>
        <v>25</v>
      </c>
      <c r="F40" s="4">
        <f>VLOOKUP($A40,[1]中未分析60315!$A:$M,12,0)</f>
        <v>24</v>
      </c>
      <c r="G40" s="4">
        <f>VLOOKUP($A40,[1]中未分析60315!$A:$M,13,0)</f>
        <v>23</v>
      </c>
      <c r="H40" s="3" t="s">
        <v>10</v>
      </c>
      <c r="I40" s="3" t="s">
        <v>87</v>
      </c>
    </row>
    <row r="41" customHeight="1" spans="1:9">
      <c r="A41" s="4" t="s">
        <v>88</v>
      </c>
      <c r="B41" s="4">
        <f>VLOOKUP($A41,[1]中未分析60315!$A:$M,8,0)</f>
        <v>41</v>
      </c>
      <c r="C41" s="4">
        <f>VLOOKUP($A41,[1]中未分析60315!$A:$M,9,0)</f>
        <v>39</v>
      </c>
      <c r="D41" s="4">
        <f>VLOOKUP($A41,[1]中未分析60315!$A:$M,10,0)</f>
        <v>38</v>
      </c>
      <c r="E41" s="4">
        <f>VLOOKUP($A41,[1]中未分析60315!$A:$M,11,0)</f>
        <v>36</v>
      </c>
      <c r="F41" s="4">
        <f>VLOOKUP($A41,[1]中未分析60315!$A:$M,12,0)</f>
        <v>35</v>
      </c>
      <c r="G41" s="4">
        <f>VLOOKUP($A41,[1]中未分析60315!$A:$M,13,0)</f>
        <v>33</v>
      </c>
      <c r="H41" s="3" t="s">
        <v>10</v>
      </c>
      <c r="I41" s="3" t="s">
        <v>89</v>
      </c>
    </row>
    <row r="42" customHeight="1" spans="1:9">
      <c r="A42" s="4" t="s">
        <v>90</v>
      </c>
      <c r="B42" s="4">
        <f>VLOOKUP($A42,[1]中未分析60315!$A:$M,8,0)</f>
        <v>33</v>
      </c>
      <c r="C42" s="4">
        <f>VLOOKUP($A42,[1]中未分析60315!$A:$M,9,0)</f>
        <v>32</v>
      </c>
      <c r="D42" s="4">
        <f>VLOOKUP($A42,[1]中未分析60315!$A:$M,10,0)</f>
        <v>30</v>
      </c>
      <c r="E42" s="4">
        <f>VLOOKUP($A42,[1]中未分析60315!$A:$M,11,0)</f>
        <v>29</v>
      </c>
      <c r="F42" s="4">
        <f>VLOOKUP($A42,[1]中未分析60315!$A:$M,12,0)</f>
        <v>28</v>
      </c>
      <c r="G42" s="4">
        <f>VLOOKUP($A42,[1]中未分析60315!$A:$M,13,0)</f>
        <v>27</v>
      </c>
      <c r="H42" s="3" t="s">
        <v>10</v>
      </c>
      <c r="I42" s="3" t="s">
        <v>91</v>
      </c>
    </row>
    <row r="43" customHeight="1" spans="1:9">
      <c r="A43" s="4" t="s">
        <v>92</v>
      </c>
      <c r="B43" s="4">
        <f>VLOOKUP($A43,[1]中未分析60315!$A:$M,8,0)</f>
        <v>36</v>
      </c>
      <c r="C43" s="4">
        <f>VLOOKUP($A43,[1]中未分析60315!$A:$M,9,0)</f>
        <v>35</v>
      </c>
      <c r="D43" s="4">
        <f>VLOOKUP($A43,[1]中未分析60315!$A:$M,10,0)</f>
        <v>33</v>
      </c>
      <c r="E43" s="4">
        <f>VLOOKUP($A43,[1]中未分析60315!$A:$M,11,0)</f>
        <v>32</v>
      </c>
      <c r="F43" s="4">
        <f>VLOOKUP($A43,[1]中未分析60315!$A:$M,12,0)</f>
        <v>31</v>
      </c>
      <c r="G43" s="4">
        <f>VLOOKUP($A43,[1]中未分析60315!$A:$M,13,0)</f>
        <v>29</v>
      </c>
      <c r="H43" s="3" t="s">
        <v>10</v>
      </c>
      <c r="I43" s="3" t="s">
        <v>93</v>
      </c>
    </row>
    <row r="44" customHeight="1" spans="1:9">
      <c r="A44" s="4" t="s">
        <v>94</v>
      </c>
      <c r="B44" s="4">
        <f>VLOOKUP($A44,[1]中未分析60315!$A:$M,8,0)</f>
        <v>31</v>
      </c>
      <c r="C44" s="4">
        <f>VLOOKUP($A44,[1]中未分析60315!$A:$M,9,0)</f>
        <v>30</v>
      </c>
      <c r="D44" s="4">
        <f>VLOOKUP($A44,[1]中未分析60315!$A:$M,10,0)</f>
        <v>28</v>
      </c>
      <c r="E44" s="4">
        <f>VLOOKUP($A44,[1]中未分析60315!$A:$M,11,0)</f>
        <v>27</v>
      </c>
      <c r="F44" s="4">
        <f>VLOOKUP($A44,[1]中未分析60315!$A:$M,12,0)</f>
        <v>26</v>
      </c>
      <c r="G44" s="4">
        <f>VLOOKUP($A44,[1]中未分析60315!$A:$M,13,0)</f>
        <v>25</v>
      </c>
      <c r="H44" s="3" t="s">
        <v>10</v>
      </c>
      <c r="I44" s="3" t="s">
        <v>95</v>
      </c>
    </row>
    <row r="45" customHeight="1" spans="1:9">
      <c r="A45" s="4" t="s">
        <v>96</v>
      </c>
      <c r="B45" s="4">
        <f>VLOOKUP($A45,[1]中未分析60315!$A:$M,8,0)</f>
        <v>42</v>
      </c>
      <c r="C45" s="4">
        <f>VLOOKUP($A45,[1]中未分析60315!$A:$M,9,0)</f>
        <v>40</v>
      </c>
      <c r="D45" s="4">
        <f>VLOOKUP($A45,[1]中未分析60315!$A:$M,10,0)</f>
        <v>39</v>
      </c>
      <c r="E45" s="4">
        <f>VLOOKUP($A45,[1]中未分析60315!$A:$M,11,0)</f>
        <v>37</v>
      </c>
      <c r="F45" s="4">
        <f>VLOOKUP($A45,[1]中未分析60315!$A:$M,12,0)</f>
        <v>36</v>
      </c>
      <c r="G45" s="4">
        <f>VLOOKUP($A45,[1]中未分析60315!$A:$M,13,0)</f>
        <v>34</v>
      </c>
      <c r="H45" s="3" t="s">
        <v>10</v>
      </c>
      <c r="I45" s="3" t="s">
        <v>97</v>
      </c>
    </row>
    <row r="46" customHeight="1" spans="1:9">
      <c r="A46" s="4" t="s">
        <v>98</v>
      </c>
      <c r="B46" s="4">
        <f>VLOOKUP($A46,[1]中未分析60315!$A:$M,8,0)</f>
        <v>40</v>
      </c>
      <c r="C46" s="4">
        <f>VLOOKUP($A46,[1]中未分析60315!$A:$M,9,0)</f>
        <v>39</v>
      </c>
      <c r="D46" s="4">
        <f>VLOOKUP($A46,[1]中未分析60315!$A:$M,10,0)</f>
        <v>37</v>
      </c>
      <c r="E46" s="4">
        <f>VLOOKUP($A46,[1]中未分析60315!$A:$M,11,0)</f>
        <v>36</v>
      </c>
      <c r="F46" s="4">
        <f>VLOOKUP($A46,[1]中未分析60315!$A:$M,12,0)</f>
        <v>34</v>
      </c>
      <c r="G46" s="4">
        <f>VLOOKUP($A46,[1]中未分析60315!$A:$M,13,0)</f>
        <v>33</v>
      </c>
      <c r="H46" s="3" t="s">
        <v>10</v>
      </c>
      <c r="I46" s="3" t="s">
        <v>99</v>
      </c>
    </row>
    <row r="47" customHeight="1" spans="1:9">
      <c r="A47" s="4" t="s">
        <v>100</v>
      </c>
      <c r="B47" s="4">
        <f>VLOOKUP($A47,[1]中未分析60315!$A:$M,8,0)</f>
        <v>93</v>
      </c>
      <c r="C47" s="4">
        <f>VLOOKUP($A47,[1]中未分析60315!$A:$M,9,0)</f>
        <v>92</v>
      </c>
      <c r="D47" s="4">
        <f>VLOOKUP($A47,[1]中未分析60315!$A:$M,10,0)</f>
        <v>90</v>
      </c>
      <c r="E47" s="4">
        <f>VLOOKUP($A47,[1]中未分析60315!$A:$M,11,0)</f>
        <v>89</v>
      </c>
      <c r="F47" s="4">
        <f>VLOOKUP($A47,[1]中未分析60315!$A:$M,12,0)</f>
        <v>88</v>
      </c>
      <c r="G47" s="4">
        <f>VLOOKUP($A47,[1]中未分析60315!$A:$M,13,0)</f>
        <v>86</v>
      </c>
      <c r="H47" s="3" t="s">
        <v>39</v>
      </c>
      <c r="I47" s="3" t="s">
        <v>101</v>
      </c>
    </row>
    <row r="48" customHeight="1" spans="1:9">
      <c r="A48" s="4" t="s">
        <v>102</v>
      </c>
      <c r="B48" s="4">
        <f>VLOOKUP($A48,[1]中未分析60315!$A:$M,8,0)</f>
        <v>41</v>
      </c>
      <c r="C48" s="4">
        <f>VLOOKUP($A48,[1]中未分析60315!$A:$M,9,0)</f>
        <v>40</v>
      </c>
      <c r="D48" s="4">
        <f>VLOOKUP($A48,[1]中未分析60315!$A:$M,10,0)</f>
        <v>38</v>
      </c>
      <c r="E48" s="4">
        <f>VLOOKUP($A48,[1]中未分析60315!$A:$M,11,0)</f>
        <v>37</v>
      </c>
      <c r="F48" s="4">
        <f>VLOOKUP($A48,[1]中未分析60315!$A:$M,12,0)</f>
        <v>35</v>
      </c>
      <c r="G48" s="4">
        <f>VLOOKUP($A48,[1]中未分析60315!$A:$M,13,0)</f>
        <v>34</v>
      </c>
      <c r="H48" s="3" t="s">
        <v>10</v>
      </c>
      <c r="I48" s="3" t="s">
        <v>103</v>
      </c>
    </row>
    <row r="49" customHeight="1" spans="1:9">
      <c r="A49" s="4" t="s">
        <v>104</v>
      </c>
      <c r="B49" s="4">
        <f>VLOOKUP($A49,[1]中未分析60315!$A:$M,8,0)</f>
        <v>46</v>
      </c>
      <c r="C49" s="4">
        <f>VLOOKUP($A49,[1]中未分析60315!$A:$M,9,0)</f>
        <v>44</v>
      </c>
      <c r="D49" s="4">
        <f>VLOOKUP($A49,[1]中未分析60315!$A:$M,10,0)</f>
        <v>43</v>
      </c>
      <c r="E49" s="4">
        <f>VLOOKUP($A49,[1]中未分析60315!$A:$M,11,0)</f>
        <v>41</v>
      </c>
      <c r="F49" s="4">
        <f>VLOOKUP($A49,[1]中未分析60315!$A:$M,12,0)</f>
        <v>39</v>
      </c>
      <c r="G49" s="4">
        <f>VLOOKUP($A49,[1]中未分析60315!$A:$M,13,0)</f>
        <v>38</v>
      </c>
      <c r="H49" s="3" t="s">
        <v>10</v>
      </c>
      <c r="I49" s="3" t="s">
        <v>105</v>
      </c>
    </row>
    <row r="50" customHeight="1" spans="1:9">
      <c r="A50" s="4" t="s">
        <v>106</v>
      </c>
      <c r="B50" s="4">
        <f>VLOOKUP($A50,[1]中未分析60315!$A:$M,8,0)</f>
        <v>39</v>
      </c>
      <c r="C50" s="4">
        <f>VLOOKUP($A50,[1]中未分析60315!$A:$M,9,0)</f>
        <v>38</v>
      </c>
      <c r="D50" s="4">
        <f>VLOOKUP($A50,[1]中未分析60315!$A:$M,10,0)</f>
        <v>38</v>
      </c>
      <c r="E50" s="4">
        <f>VLOOKUP($A50,[1]中未分析60315!$A:$M,11,0)</f>
        <v>37</v>
      </c>
      <c r="F50" s="4">
        <f>VLOOKUP($A50,[1]中未分析60315!$A:$M,12,0)</f>
        <v>37</v>
      </c>
      <c r="G50" s="4">
        <f>VLOOKUP($A50,[1]中未分析60315!$A:$M,13,0)</f>
        <v>36</v>
      </c>
      <c r="H50" s="3" t="s">
        <v>39</v>
      </c>
      <c r="I50" s="3" t="s">
        <v>107</v>
      </c>
    </row>
    <row r="51" customHeight="1" spans="1:9">
      <c r="A51" s="4" t="s">
        <v>108</v>
      </c>
      <c r="B51" s="4">
        <f>VLOOKUP($A51,[1]中未分析60315!$A:$M,8,0)</f>
        <v>33</v>
      </c>
      <c r="C51" s="4">
        <f>VLOOKUP($A51,[1]中未分析60315!$A:$M,9,0)</f>
        <v>32</v>
      </c>
      <c r="D51" s="4">
        <f>VLOOKUP($A51,[1]中未分析60315!$A:$M,10,0)</f>
        <v>31</v>
      </c>
      <c r="E51" s="4">
        <f>VLOOKUP($A51,[1]中未分析60315!$A:$M,11,0)</f>
        <v>30</v>
      </c>
      <c r="F51" s="4">
        <f>VLOOKUP($A51,[1]中未分析60315!$A:$M,12,0)</f>
        <v>28</v>
      </c>
      <c r="G51" s="4">
        <f>VLOOKUP($A51,[1]中未分析60315!$A:$M,13,0)</f>
        <v>27</v>
      </c>
      <c r="H51" s="3" t="s">
        <v>10</v>
      </c>
      <c r="I51" s="3" t="s">
        <v>109</v>
      </c>
    </row>
    <row r="52" customHeight="1" spans="1:9">
      <c r="A52" s="4" t="s">
        <v>110</v>
      </c>
      <c r="B52" s="4">
        <f>VLOOKUP($A52,[1]中未分析60315!$A:$M,8,0)</f>
        <v>29</v>
      </c>
      <c r="C52" s="4">
        <f>VLOOKUP($A52,[1]中未分析60315!$A:$M,9,0)</f>
        <v>28</v>
      </c>
      <c r="D52" s="4">
        <f>VLOOKUP($A52,[1]中未分析60315!$A:$M,10,0)</f>
        <v>27</v>
      </c>
      <c r="E52" s="4">
        <f>VLOOKUP($A52,[1]中未分析60315!$A:$M,11,0)</f>
        <v>26</v>
      </c>
      <c r="F52" s="4">
        <f>VLOOKUP($A52,[1]中未分析60315!$A:$M,12,0)</f>
        <v>25</v>
      </c>
      <c r="G52" s="4">
        <f>VLOOKUP($A52,[1]中未分析60315!$A:$M,13,0)</f>
        <v>24</v>
      </c>
      <c r="H52" s="3" t="s">
        <v>10</v>
      </c>
      <c r="I52" s="3" t="s">
        <v>111</v>
      </c>
    </row>
    <row r="53" customHeight="1" spans="1:9">
      <c r="A53" s="4" t="s">
        <v>112</v>
      </c>
      <c r="B53" s="4">
        <f>VLOOKUP($A53,[1]中未分析60315!$A:$M,8,0)</f>
        <v>23</v>
      </c>
      <c r="C53" s="4">
        <f>VLOOKUP($A53,[1]中未分析60315!$A:$M,9,0)</f>
        <v>22</v>
      </c>
      <c r="D53" s="4">
        <f>VLOOKUP($A53,[1]中未分析60315!$A:$M,10,0)</f>
        <v>21</v>
      </c>
      <c r="E53" s="4">
        <f>VLOOKUP($A53,[1]中未分析60315!$A:$M,11,0)</f>
        <v>20</v>
      </c>
      <c r="F53" s="4">
        <f>VLOOKUP($A53,[1]中未分析60315!$A:$M,12,0)</f>
        <v>20</v>
      </c>
      <c r="G53" s="4">
        <f>VLOOKUP($A53,[1]中未分析60315!$A:$M,13,0)</f>
        <v>19</v>
      </c>
      <c r="H53" s="3" t="s">
        <v>10</v>
      </c>
      <c r="I53" s="3" t="s">
        <v>113</v>
      </c>
    </row>
    <row r="54" customHeight="1" spans="1:9">
      <c r="A54" s="4" t="s">
        <v>114</v>
      </c>
      <c r="B54" s="4">
        <f>VLOOKUP($A54,[1]中未分析60315!$A:$M,8,0)</f>
        <v>23</v>
      </c>
      <c r="C54" s="4">
        <f>VLOOKUP($A54,[1]中未分析60315!$A:$M,9,0)</f>
        <v>23</v>
      </c>
      <c r="D54" s="4">
        <f>VLOOKUP($A54,[1]中未分析60315!$A:$M,10,0)</f>
        <v>22</v>
      </c>
      <c r="E54" s="4">
        <f>VLOOKUP($A54,[1]中未分析60315!$A:$M,11,0)</f>
        <v>21</v>
      </c>
      <c r="F54" s="4">
        <f>VLOOKUP($A54,[1]中未分析60315!$A:$M,12,0)</f>
        <v>20</v>
      </c>
      <c r="G54" s="4">
        <f>VLOOKUP($A54,[1]中未分析60315!$A:$M,13,0)</f>
        <v>19</v>
      </c>
      <c r="H54" s="3" t="s">
        <v>10</v>
      </c>
      <c r="I54" s="3" t="s">
        <v>115</v>
      </c>
    </row>
    <row r="55" customHeight="1" spans="1:9">
      <c r="A55" s="4" t="s">
        <v>116</v>
      </c>
      <c r="B55" s="4">
        <f>VLOOKUP($A55,[1]中未分析60315!$A:$M,8,0)</f>
        <v>33</v>
      </c>
      <c r="C55" s="4">
        <f>VLOOKUP($A55,[1]中未分析60315!$A:$M,9,0)</f>
        <v>32</v>
      </c>
      <c r="D55" s="4">
        <f>VLOOKUP($A55,[1]中未分析60315!$A:$M,10,0)</f>
        <v>31</v>
      </c>
      <c r="E55" s="4">
        <f>VLOOKUP($A55,[1]中未分析60315!$A:$M,11,0)</f>
        <v>30</v>
      </c>
      <c r="F55" s="4">
        <f>VLOOKUP($A55,[1]中未分析60315!$A:$M,12,0)</f>
        <v>28</v>
      </c>
      <c r="G55" s="4">
        <f>VLOOKUP($A55,[1]中未分析60315!$A:$M,13,0)</f>
        <v>27</v>
      </c>
      <c r="H55" s="3" t="s">
        <v>10</v>
      </c>
      <c r="I55" s="3" t="s">
        <v>117</v>
      </c>
    </row>
    <row r="56" customHeight="1" spans="1:9">
      <c r="A56" s="4" t="s">
        <v>118</v>
      </c>
      <c r="B56" s="4">
        <f>VLOOKUP($A56,[1]中未分析60315!$A:$M,8,0)</f>
        <v>42</v>
      </c>
      <c r="C56" s="4">
        <f>VLOOKUP($A56,[1]中未分析60315!$A:$M,9,0)</f>
        <v>40</v>
      </c>
      <c r="D56" s="4">
        <f>VLOOKUP($A56,[1]中未分析60315!$A:$M,10,0)</f>
        <v>39</v>
      </c>
      <c r="E56" s="4">
        <f>VLOOKUP($A56,[1]中未分析60315!$A:$M,11,0)</f>
        <v>37</v>
      </c>
      <c r="F56" s="4">
        <f>VLOOKUP($A56,[1]中未分析60315!$A:$M,12,0)</f>
        <v>36</v>
      </c>
      <c r="G56" s="4">
        <f>VLOOKUP($A56,[1]中未分析60315!$A:$M,13,0)</f>
        <v>34</v>
      </c>
      <c r="H56" s="3" t="s">
        <v>10</v>
      </c>
      <c r="I56" s="3" t="s">
        <v>119</v>
      </c>
    </row>
    <row r="57" customHeight="1" spans="1:9">
      <c r="A57" s="4" t="s">
        <v>120</v>
      </c>
      <c r="B57" s="4">
        <f>VLOOKUP($A57,[1]中未分析60315!$A:$M,8,0)</f>
        <v>37</v>
      </c>
      <c r="C57" s="4">
        <f>VLOOKUP($A57,[1]中未分析60315!$A:$M,9,0)</f>
        <v>36</v>
      </c>
      <c r="D57" s="4">
        <f>VLOOKUP($A57,[1]中未分析60315!$A:$M,10,0)</f>
        <v>35</v>
      </c>
      <c r="E57" s="4">
        <f>VLOOKUP($A57,[1]中未分析60315!$A:$M,11,0)</f>
        <v>33</v>
      </c>
      <c r="F57" s="4">
        <f>VLOOKUP($A57,[1]中未分析60315!$A:$M,12,0)</f>
        <v>32</v>
      </c>
      <c r="G57" s="4">
        <f>VLOOKUP($A57,[1]中未分析60315!$A:$M,13,0)</f>
        <v>30</v>
      </c>
      <c r="H57" s="3" t="s">
        <v>10</v>
      </c>
      <c r="I57" s="3" t="s">
        <v>121</v>
      </c>
    </row>
    <row r="58" customHeight="1" spans="1:9">
      <c r="A58" s="4" t="s">
        <v>122</v>
      </c>
      <c r="B58" s="4">
        <f>VLOOKUP($A58,[1]中未分析60315!$A:$M,8,0)</f>
        <v>30</v>
      </c>
      <c r="C58" s="4">
        <f>VLOOKUP($A58,[1]中未分析60315!$A:$M,9,0)</f>
        <v>29</v>
      </c>
      <c r="D58" s="4">
        <f>VLOOKUP($A58,[1]中未分析60315!$A:$M,10,0)</f>
        <v>28</v>
      </c>
      <c r="E58" s="4">
        <f>VLOOKUP($A58,[1]中未分析60315!$A:$M,11,0)</f>
        <v>27</v>
      </c>
      <c r="F58" s="4">
        <f>VLOOKUP($A58,[1]中未分析60315!$A:$M,12,0)</f>
        <v>26</v>
      </c>
      <c r="G58" s="4">
        <f>VLOOKUP($A58,[1]中未分析60315!$A:$M,13,0)</f>
        <v>25</v>
      </c>
      <c r="H58" s="3" t="s">
        <v>10</v>
      </c>
      <c r="I58" s="3" t="s">
        <v>123</v>
      </c>
    </row>
    <row r="59" customHeight="1" spans="1:9">
      <c r="A59" s="4" t="s">
        <v>124</v>
      </c>
      <c r="B59" s="4">
        <f>VLOOKUP($A59,[1]中未分析60315!$A:$M,8,0)</f>
        <v>37</v>
      </c>
      <c r="C59" s="4">
        <f>VLOOKUP($A59,[1]中未分析60315!$A:$M,9,0)</f>
        <v>35</v>
      </c>
      <c r="D59" s="4">
        <f>VLOOKUP($A59,[1]中未分析60315!$A:$M,10,0)</f>
        <v>34</v>
      </c>
      <c r="E59" s="4">
        <f>VLOOKUP($A59,[1]中未分析60315!$A:$M,11,0)</f>
        <v>33</v>
      </c>
      <c r="F59" s="4">
        <f>VLOOKUP($A59,[1]中未分析60315!$A:$M,12,0)</f>
        <v>31</v>
      </c>
      <c r="G59" s="4">
        <f>VLOOKUP($A59,[1]中未分析60315!$A:$M,13,0)</f>
        <v>30</v>
      </c>
      <c r="H59" s="3" t="s">
        <v>10</v>
      </c>
      <c r="I59" s="3" t="s">
        <v>125</v>
      </c>
    </row>
    <row r="60" customHeight="1" spans="1:9">
      <c r="A60" s="4" t="s">
        <v>126</v>
      </c>
      <c r="B60" s="4">
        <f>VLOOKUP($A60,[1]中未分析60315!$A:$M,8,0)</f>
        <v>43</v>
      </c>
      <c r="C60" s="4">
        <f>VLOOKUP($A60,[1]中未分析60315!$A:$M,9,0)</f>
        <v>42</v>
      </c>
      <c r="D60" s="4">
        <f>VLOOKUP($A60,[1]中未分析60315!$A:$M,10,0)</f>
        <v>40</v>
      </c>
      <c r="E60" s="4">
        <f>VLOOKUP($A60,[1]中未分析60315!$A:$M,11,0)</f>
        <v>39</v>
      </c>
      <c r="F60" s="4">
        <f>VLOOKUP($A60,[1]中未分析60315!$A:$M,12,0)</f>
        <v>37</v>
      </c>
      <c r="G60" s="4">
        <f>VLOOKUP($A60,[1]中未分析60315!$A:$M,13,0)</f>
        <v>35</v>
      </c>
      <c r="H60" s="3" t="s">
        <v>10</v>
      </c>
      <c r="I60" s="3" t="s">
        <v>127</v>
      </c>
    </row>
    <row r="61" customHeight="1" spans="1:9">
      <c r="A61" s="4" t="s">
        <v>128</v>
      </c>
      <c r="B61" s="4">
        <f>VLOOKUP($A61,[1]中未分析60315!$A:$M,8,0)</f>
        <v>37</v>
      </c>
      <c r="C61" s="4">
        <f>VLOOKUP($A61,[1]中未分析60315!$A:$M,9,0)</f>
        <v>36</v>
      </c>
      <c r="D61" s="4">
        <f>VLOOKUP($A61,[1]中未分析60315!$A:$M,10,0)</f>
        <v>34</v>
      </c>
      <c r="E61" s="4">
        <f>VLOOKUP($A61,[1]中未分析60315!$A:$M,11,0)</f>
        <v>33</v>
      </c>
      <c r="F61" s="4">
        <f>VLOOKUP($A61,[1]中未分析60315!$A:$M,12,0)</f>
        <v>32</v>
      </c>
      <c r="G61" s="4">
        <f>VLOOKUP($A61,[1]中未分析60315!$A:$M,13,0)</f>
        <v>30</v>
      </c>
      <c r="H61" s="3" t="s">
        <v>10</v>
      </c>
      <c r="I61" s="3" t="s">
        <v>129</v>
      </c>
    </row>
    <row r="62" customHeight="1" spans="1:9">
      <c r="A62" s="4" t="s">
        <v>130</v>
      </c>
      <c r="B62" s="4">
        <f>VLOOKUP($A62,[1]中未分析60315!$A:$M,8,0)</f>
        <v>47</v>
      </c>
      <c r="C62" s="4">
        <f>VLOOKUP($A62,[1]中未分析60315!$A:$M,9,0)</f>
        <v>45</v>
      </c>
      <c r="D62" s="4">
        <f>VLOOKUP($A62,[1]中未分析60315!$A:$M,10,0)</f>
        <v>43</v>
      </c>
      <c r="E62" s="4">
        <f>VLOOKUP($A62,[1]中未分析60315!$A:$M,11,0)</f>
        <v>41</v>
      </c>
      <c r="F62" s="4">
        <f>VLOOKUP($A62,[1]中未分析60315!$A:$M,12,0)</f>
        <v>40</v>
      </c>
      <c r="G62" s="4">
        <f>VLOOKUP($A62,[1]中未分析60315!$A:$M,13,0)</f>
        <v>38</v>
      </c>
      <c r="H62" s="3" t="s">
        <v>10</v>
      </c>
      <c r="I62" s="3" t="s">
        <v>131</v>
      </c>
    </row>
    <row r="63" customHeight="1" spans="1:9">
      <c r="A63" s="4" t="s">
        <v>132</v>
      </c>
      <c r="B63" s="4">
        <f>VLOOKUP($A63,[1]中未分析60315!$A:$M,8,0)</f>
        <v>41</v>
      </c>
      <c r="C63" s="4">
        <f>VLOOKUP($A63,[1]中未分析60315!$A:$M,9,0)</f>
        <v>39</v>
      </c>
      <c r="D63" s="4">
        <f>VLOOKUP($A63,[1]中未分析60315!$A:$M,10,0)</f>
        <v>38</v>
      </c>
      <c r="E63" s="4">
        <f>VLOOKUP($A63,[1]中未分析60315!$A:$M,11,0)</f>
        <v>36</v>
      </c>
      <c r="F63" s="4">
        <f>VLOOKUP($A63,[1]中未分析60315!$A:$M,12,0)</f>
        <v>35</v>
      </c>
      <c r="G63" s="4">
        <f>VLOOKUP($A63,[1]中未分析60315!$A:$M,13,0)</f>
        <v>33</v>
      </c>
      <c r="H63" s="3" t="s">
        <v>10</v>
      </c>
      <c r="I63" s="3" t="s">
        <v>133</v>
      </c>
    </row>
    <row r="64" customHeight="1" spans="1:9">
      <c r="A64" s="4" t="s">
        <v>134</v>
      </c>
      <c r="B64" s="4">
        <f>VLOOKUP($A64,[1]中未分析60315!$A:$M,8,0)</f>
        <v>32</v>
      </c>
      <c r="C64" s="4">
        <f>VLOOKUP($A64,[1]中未分析60315!$A:$M,9,0)</f>
        <v>31</v>
      </c>
      <c r="D64" s="4">
        <f>VLOOKUP($A64,[1]中未分析60315!$A:$M,10,0)</f>
        <v>30</v>
      </c>
      <c r="E64" s="4">
        <f>VLOOKUP($A64,[1]中未分析60315!$A:$M,11,0)</f>
        <v>29</v>
      </c>
      <c r="F64" s="4">
        <f>VLOOKUP($A64,[1]中未分析60315!$A:$M,12,0)</f>
        <v>28</v>
      </c>
      <c r="G64" s="4">
        <f>VLOOKUP($A64,[1]中未分析60315!$A:$M,13,0)</f>
        <v>27</v>
      </c>
      <c r="H64" s="3" t="s">
        <v>10</v>
      </c>
      <c r="I64" s="3" t="s">
        <v>135</v>
      </c>
    </row>
    <row r="65" customHeight="1" spans="1:9">
      <c r="A65" s="4" t="s">
        <v>136</v>
      </c>
      <c r="B65" s="4">
        <f>VLOOKUP($A65,[1]中未分析60315!$A:$M,8,0)</f>
        <v>25</v>
      </c>
      <c r="C65" s="4">
        <f>VLOOKUP($A65,[1]中未分析60315!$A:$M,9,0)</f>
        <v>24</v>
      </c>
      <c r="D65" s="4">
        <f>VLOOKUP($A65,[1]中未分析60315!$A:$M,10,0)</f>
        <v>23</v>
      </c>
      <c r="E65" s="4">
        <f>VLOOKUP($A65,[1]中未分析60315!$A:$M,11,0)</f>
        <v>22</v>
      </c>
      <c r="F65" s="4">
        <f>VLOOKUP($A65,[1]中未分析60315!$A:$M,12,0)</f>
        <v>21</v>
      </c>
      <c r="G65" s="4">
        <f>VLOOKUP($A65,[1]中未分析60315!$A:$M,13,0)</f>
        <v>20</v>
      </c>
      <c r="H65" s="3" t="s">
        <v>10</v>
      </c>
      <c r="I65" s="3" t="s">
        <v>137</v>
      </c>
    </row>
    <row r="66" customHeight="1" spans="1:9">
      <c r="A66" s="4" t="s">
        <v>138</v>
      </c>
      <c r="B66" s="4">
        <f>VLOOKUP($A66,[1]中未分析60315!$A:$M,8,0)</f>
        <v>32</v>
      </c>
      <c r="C66" s="4">
        <f>VLOOKUP($A66,[1]中未分析60315!$A:$M,9,0)</f>
        <v>31</v>
      </c>
      <c r="D66" s="4">
        <f>VLOOKUP($A66,[1]中未分析60315!$A:$M,10,0)</f>
        <v>29</v>
      </c>
      <c r="E66" s="4">
        <f>VLOOKUP($A66,[1]中未分析60315!$A:$M,11,0)</f>
        <v>28</v>
      </c>
      <c r="F66" s="4">
        <f>VLOOKUP($A66,[1]中未分析60315!$A:$M,12,0)</f>
        <v>27</v>
      </c>
      <c r="G66" s="4">
        <f>VLOOKUP($A66,[1]中未分析60315!$A:$M,13,0)</f>
        <v>26</v>
      </c>
      <c r="H66" s="3" t="s">
        <v>10</v>
      </c>
      <c r="I66" s="3" t="s">
        <v>139</v>
      </c>
    </row>
    <row r="67" customHeight="1" spans="1:9">
      <c r="A67" s="4" t="s">
        <v>140</v>
      </c>
      <c r="B67" s="4">
        <f>VLOOKUP($A67,[1]中未分析60315!$A:$M,8,0)</f>
        <v>36</v>
      </c>
      <c r="C67" s="4">
        <f>VLOOKUP($A67,[1]中未分析60315!$A:$M,9,0)</f>
        <v>35</v>
      </c>
      <c r="D67" s="4">
        <f>VLOOKUP($A67,[1]中未分析60315!$A:$M,10,0)</f>
        <v>33</v>
      </c>
      <c r="E67" s="4">
        <f>VLOOKUP($A67,[1]中未分析60315!$A:$M,11,0)</f>
        <v>32</v>
      </c>
      <c r="F67" s="4">
        <f>VLOOKUP($A67,[1]中未分析60315!$A:$M,12,0)</f>
        <v>31</v>
      </c>
      <c r="G67" s="4">
        <f>VLOOKUP($A67,[1]中未分析60315!$A:$M,13,0)</f>
        <v>29</v>
      </c>
      <c r="H67" s="3" t="s">
        <v>10</v>
      </c>
      <c r="I67" s="3" t="s">
        <v>141</v>
      </c>
    </row>
    <row r="68" customHeight="1" spans="1:9">
      <c r="A68" s="4" t="s">
        <v>142</v>
      </c>
      <c r="B68" s="4">
        <f>VLOOKUP($A68,[1]中未分析60315!$A:$M,8,0)</f>
        <v>44</v>
      </c>
      <c r="C68" s="4">
        <f>VLOOKUP($A68,[1]中未分析60315!$A:$M,9,0)</f>
        <v>42</v>
      </c>
      <c r="D68" s="4">
        <f>VLOOKUP($A68,[1]中未分析60315!$A:$M,10,0)</f>
        <v>40</v>
      </c>
      <c r="E68" s="4">
        <f>VLOOKUP($A68,[1]中未分析60315!$A:$M,11,0)</f>
        <v>39</v>
      </c>
      <c r="F68" s="4">
        <f>VLOOKUP($A68,[1]中未分析60315!$A:$M,12,0)</f>
        <v>37</v>
      </c>
      <c r="G68" s="4">
        <f>VLOOKUP($A68,[1]中未分析60315!$A:$M,13,0)</f>
        <v>36</v>
      </c>
      <c r="H68" s="3" t="s">
        <v>10</v>
      </c>
      <c r="I68" s="3" t="s">
        <v>143</v>
      </c>
    </row>
    <row r="69" customHeight="1" spans="1:9">
      <c r="A69" s="4" t="s">
        <v>144</v>
      </c>
      <c r="B69" s="4">
        <f>VLOOKUP($A69,[1]中未分析60315!$A:$M,8,0)</f>
        <v>28</v>
      </c>
      <c r="C69" s="4">
        <f>VLOOKUP($A69,[1]中未分析60315!$A:$M,9,0)</f>
        <v>27</v>
      </c>
      <c r="D69" s="4">
        <f>VLOOKUP($A69,[1]中未分析60315!$A:$M,10,0)</f>
        <v>26</v>
      </c>
      <c r="E69" s="4">
        <f>VLOOKUP($A69,[1]中未分析60315!$A:$M,11,0)</f>
        <v>25</v>
      </c>
      <c r="F69" s="4">
        <f>VLOOKUP($A69,[1]中未分析60315!$A:$M,12,0)</f>
        <v>24</v>
      </c>
      <c r="G69" s="4">
        <f>VLOOKUP($A69,[1]中未分析60315!$A:$M,13,0)</f>
        <v>23</v>
      </c>
      <c r="H69" s="3" t="s">
        <v>10</v>
      </c>
      <c r="I69" s="3" t="s">
        <v>145</v>
      </c>
    </row>
    <row r="70" customHeight="1" spans="1:9">
      <c r="A70" s="4" t="s">
        <v>146</v>
      </c>
      <c r="B70" s="4">
        <f>VLOOKUP($A70,[1]中未分析60315!$A:$M,8,0)</f>
        <v>36</v>
      </c>
      <c r="C70" s="4">
        <f>VLOOKUP($A70,[1]中未分析60315!$A:$M,9,0)</f>
        <v>35</v>
      </c>
      <c r="D70" s="4">
        <f>VLOOKUP($A70,[1]中未分析60315!$A:$M,10,0)</f>
        <v>33</v>
      </c>
      <c r="E70" s="4">
        <f>VLOOKUP($A70,[1]中未分析60315!$A:$M,11,0)</f>
        <v>32</v>
      </c>
      <c r="F70" s="4">
        <f>VLOOKUP($A70,[1]中未分析60315!$A:$M,12,0)</f>
        <v>31</v>
      </c>
      <c r="G70" s="4">
        <f>VLOOKUP($A70,[1]中未分析60315!$A:$M,13,0)</f>
        <v>29</v>
      </c>
      <c r="H70" s="3" t="s">
        <v>10</v>
      </c>
      <c r="I70" s="3" t="s">
        <v>147</v>
      </c>
    </row>
    <row r="71" customHeight="1" spans="1:9">
      <c r="A71" s="4" t="s">
        <v>148</v>
      </c>
      <c r="B71" s="4">
        <f>VLOOKUP($A71,[1]中未分析60315!$A:$M,8,0)</f>
        <v>27</v>
      </c>
      <c r="C71" s="4">
        <f>VLOOKUP($A71,[1]中未分析60315!$A:$M,9,0)</f>
        <v>26</v>
      </c>
      <c r="D71" s="4">
        <f>VLOOKUP($A71,[1]中未分析60315!$A:$M,10,0)</f>
        <v>25</v>
      </c>
      <c r="E71" s="4">
        <f>VLOOKUP($A71,[1]中未分析60315!$A:$M,11,0)</f>
        <v>24</v>
      </c>
      <c r="F71" s="4">
        <f>VLOOKUP($A71,[1]中未分析60315!$A:$M,12,0)</f>
        <v>23</v>
      </c>
      <c r="G71" s="4">
        <f>VLOOKUP($A71,[1]中未分析60315!$A:$M,13,0)</f>
        <v>22</v>
      </c>
      <c r="H71" s="3" t="s">
        <v>10</v>
      </c>
      <c r="I71" s="3" t="s">
        <v>149</v>
      </c>
    </row>
    <row r="72" customHeight="1" spans="1:9">
      <c r="A72" s="4" t="s">
        <v>150</v>
      </c>
      <c r="B72" s="4">
        <f>VLOOKUP($A72,[1]中未分析60315!$A:$M,8,0)</f>
        <v>48</v>
      </c>
      <c r="C72" s="4">
        <f>VLOOKUP($A72,[1]中未分析60315!$A:$M,9,0)</f>
        <v>47</v>
      </c>
      <c r="D72" s="4">
        <f>VLOOKUP($A72,[1]中未分析60315!$A:$M,10,0)</f>
        <v>45</v>
      </c>
      <c r="E72" s="4">
        <f>VLOOKUP($A72,[1]中未分析60315!$A:$M,11,0)</f>
        <v>43</v>
      </c>
      <c r="F72" s="4">
        <f>VLOOKUP($A72,[1]中未分析60315!$A:$M,12,0)</f>
        <v>41</v>
      </c>
      <c r="G72" s="4">
        <f>VLOOKUP($A72,[1]中未分析60315!$A:$M,13,0)</f>
        <v>39</v>
      </c>
      <c r="H72" s="3" t="s">
        <v>10</v>
      </c>
      <c r="I72" s="3" t="s">
        <v>151</v>
      </c>
    </row>
    <row r="73" customHeight="1" spans="1:9">
      <c r="A73" s="4" t="s">
        <v>152</v>
      </c>
      <c r="B73" s="4">
        <f>VLOOKUP($A73,[1]中未分析60315!$A:$M,8,0)</f>
        <v>34</v>
      </c>
      <c r="C73" s="4">
        <f>VLOOKUP($A73,[1]中未分析60315!$A:$M,9,0)</f>
        <v>33</v>
      </c>
      <c r="D73" s="4">
        <f>VLOOKUP($A73,[1]中未分析60315!$A:$M,10,0)</f>
        <v>32</v>
      </c>
      <c r="E73" s="4">
        <f>VLOOKUP($A73,[1]中未分析60315!$A:$M,11,0)</f>
        <v>31</v>
      </c>
      <c r="F73" s="4">
        <f>VLOOKUP($A73,[1]中未分析60315!$A:$M,12,0)</f>
        <v>29</v>
      </c>
      <c r="G73" s="4">
        <f>VLOOKUP($A73,[1]中未分析60315!$A:$M,13,0)</f>
        <v>28</v>
      </c>
      <c r="H73" s="3" t="s">
        <v>10</v>
      </c>
      <c r="I73" s="3" t="s">
        <v>153</v>
      </c>
    </row>
    <row r="74" customHeight="1" spans="1:9">
      <c r="A74" s="4" t="s">
        <v>154</v>
      </c>
      <c r="B74" s="4">
        <f>VLOOKUP($A74,[1]中未分析60315!$A:$M,8,0)</f>
        <v>31</v>
      </c>
      <c r="C74" s="4">
        <f>VLOOKUP($A74,[1]中未分析60315!$A:$M,9,0)</f>
        <v>30</v>
      </c>
      <c r="D74" s="4">
        <f>VLOOKUP($A74,[1]中未分析60315!$A:$M,10,0)</f>
        <v>29</v>
      </c>
      <c r="E74" s="4">
        <f>VLOOKUP($A74,[1]中未分析60315!$A:$M,11,0)</f>
        <v>28</v>
      </c>
      <c r="F74" s="4">
        <f>VLOOKUP($A74,[1]中未分析60315!$A:$M,12,0)</f>
        <v>26</v>
      </c>
      <c r="G74" s="4">
        <f>VLOOKUP($A74,[1]中未分析60315!$A:$M,13,0)</f>
        <v>25</v>
      </c>
      <c r="H74" s="3" t="s">
        <v>10</v>
      </c>
      <c r="I74" s="3" t="s">
        <v>155</v>
      </c>
    </row>
    <row r="75" customHeight="1" spans="1:9">
      <c r="A75" s="4" t="s">
        <v>156</v>
      </c>
      <c r="B75" s="4">
        <f>VLOOKUP($A75,[1]中未分析60315!$A:$M,8,0)</f>
        <v>49</v>
      </c>
      <c r="C75" s="4">
        <f>VLOOKUP($A75,[1]中未分析60315!$A:$M,9,0)</f>
        <v>47</v>
      </c>
      <c r="D75" s="4">
        <f>VLOOKUP($A75,[1]中未分析60315!$A:$M,10,0)</f>
        <v>45</v>
      </c>
      <c r="E75" s="4">
        <f>VLOOKUP($A75,[1]中未分析60315!$A:$M,11,0)</f>
        <v>43</v>
      </c>
      <c r="F75" s="4">
        <f>VLOOKUP($A75,[1]中未分析60315!$A:$M,12,0)</f>
        <v>42</v>
      </c>
      <c r="G75" s="4">
        <f>VLOOKUP($A75,[1]中未分析60315!$A:$M,13,0)</f>
        <v>40</v>
      </c>
      <c r="H75" s="3" t="s">
        <v>10</v>
      </c>
      <c r="I75" s="3" t="s">
        <v>157</v>
      </c>
    </row>
    <row r="76" customHeight="1" spans="1:9">
      <c r="A76" s="4" t="s">
        <v>158</v>
      </c>
      <c r="B76" s="4">
        <f>VLOOKUP($A76,[1]中未分析60315!$A:$M,8,0)</f>
        <v>35</v>
      </c>
      <c r="C76" s="4">
        <f>VLOOKUP($A76,[1]中未分析60315!$A:$M,9,0)</f>
        <v>34</v>
      </c>
      <c r="D76" s="4">
        <f>VLOOKUP($A76,[1]中未分析60315!$A:$M,10,0)</f>
        <v>33</v>
      </c>
      <c r="E76" s="4">
        <f>VLOOKUP($A76,[1]中未分析60315!$A:$M,11,0)</f>
        <v>32</v>
      </c>
      <c r="F76" s="4">
        <f>VLOOKUP($A76,[1]中未分析60315!$A:$M,12,0)</f>
        <v>30</v>
      </c>
      <c r="G76" s="4">
        <f>VLOOKUP($A76,[1]中未分析60315!$A:$M,13,0)</f>
        <v>29</v>
      </c>
      <c r="H76" s="3" t="s">
        <v>10</v>
      </c>
      <c r="I76" s="3" t="s">
        <v>159</v>
      </c>
    </row>
    <row r="77" customHeight="1" spans="1:9">
      <c r="A77" s="4" t="s">
        <v>160</v>
      </c>
      <c r="B77" s="4">
        <f>VLOOKUP($A77,[1]中未分析60315!$A:$M,8,0)</f>
        <v>26</v>
      </c>
      <c r="C77" s="4">
        <f>VLOOKUP($A77,[1]中未分析60315!$A:$M,9,0)</f>
        <v>25</v>
      </c>
      <c r="D77" s="4">
        <f>VLOOKUP($A77,[1]中未分析60315!$A:$M,10,0)</f>
        <v>24</v>
      </c>
      <c r="E77" s="4">
        <f>VLOOKUP($A77,[1]中未分析60315!$A:$M,11,0)</f>
        <v>23</v>
      </c>
      <c r="F77" s="4">
        <f>VLOOKUP($A77,[1]中未分析60315!$A:$M,12,0)</f>
        <v>22</v>
      </c>
      <c r="G77" s="4">
        <f>VLOOKUP($A77,[1]中未分析60315!$A:$M,13,0)</f>
        <v>22</v>
      </c>
      <c r="H77" s="3" t="s">
        <v>10</v>
      </c>
      <c r="I77" s="3" t="s">
        <v>161</v>
      </c>
    </row>
    <row r="78" customHeight="1" spans="1:9">
      <c r="A78" s="4" t="s">
        <v>162</v>
      </c>
      <c r="B78" s="4">
        <f>VLOOKUP($A78,[1]中未分析60315!$A:$M,8,0)</f>
        <v>29</v>
      </c>
      <c r="C78" s="4">
        <f>VLOOKUP($A78,[1]中未分析60315!$A:$M,9,0)</f>
        <v>28</v>
      </c>
      <c r="D78" s="4">
        <f>VLOOKUP($A78,[1]中未分析60315!$A:$M,10,0)</f>
        <v>27</v>
      </c>
      <c r="E78" s="4">
        <f>VLOOKUP($A78,[1]中未分析60315!$A:$M,11,0)</f>
        <v>26</v>
      </c>
      <c r="F78" s="4">
        <f>VLOOKUP($A78,[1]中未分析60315!$A:$M,12,0)</f>
        <v>25</v>
      </c>
      <c r="G78" s="4">
        <f>VLOOKUP($A78,[1]中未分析60315!$A:$M,13,0)</f>
        <v>24</v>
      </c>
      <c r="H78" s="3" t="s">
        <v>10</v>
      </c>
      <c r="I78" s="3" t="s">
        <v>163</v>
      </c>
    </row>
    <row r="79" customHeight="1" spans="1:9">
      <c r="A79" s="4" t="s">
        <v>164</v>
      </c>
      <c r="B79" s="4">
        <f>VLOOKUP($A79,[1]中未分析60315!$A:$M,8,0)</f>
        <v>135</v>
      </c>
      <c r="C79" s="4">
        <f>VLOOKUP($A79,[1]中未分析60315!$A:$M,9,0)</f>
        <v>130</v>
      </c>
      <c r="D79" s="4">
        <f>VLOOKUP($A79,[1]中未分析60315!$A:$M,10,0)</f>
        <v>125</v>
      </c>
      <c r="E79" s="4">
        <f>VLOOKUP($A79,[1]中未分析60315!$A:$M,11,0)</f>
        <v>120</v>
      </c>
      <c r="F79" s="4">
        <f>VLOOKUP($A79,[1]中未分析60315!$A:$M,12,0)</f>
        <v>115</v>
      </c>
      <c r="G79" s="4">
        <f>VLOOKUP($A79,[1]中未分析60315!$A:$M,13,0)</f>
        <v>110</v>
      </c>
      <c r="H79" s="3" t="s">
        <v>10</v>
      </c>
      <c r="I79" s="3" t="s">
        <v>165</v>
      </c>
    </row>
    <row r="80" customHeight="1" spans="1:9">
      <c r="A80" s="4" t="s">
        <v>166</v>
      </c>
      <c r="B80" s="4">
        <f>VLOOKUP($A80,[1]中未分析60315!$A:$M,8,0)</f>
        <v>29</v>
      </c>
      <c r="C80" s="4">
        <f>VLOOKUP($A80,[1]中未分析60315!$A:$M,9,0)</f>
        <v>28</v>
      </c>
      <c r="D80" s="4">
        <f>VLOOKUP($A80,[1]中未分析60315!$A:$M,10,0)</f>
        <v>27</v>
      </c>
      <c r="E80" s="4">
        <f>VLOOKUP($A80,[1]中未分析60315!$A:$M,11,0)</f>
        <v>26</v>
      </c>
      <c r="F80" s="4">
        <f>VLOOKUP($A80,[1]中未分析60315!$A:$M,12,0)</f>
        <v>25</v>
      </c>
      <c r="G80" s="4">
        <f>VLOOKUP($A80,[1]中未分析60315!$A:$M,13,0)</f>
        <v>24</v>
      </c>
      <c r="H80" s="3" t="s">
        <v>10</v>
      </c>
      <c r="I80" s="3" t="s">
        <v>167</v>
      </c>
    </row>
    <row r="81" customHeight="1" spans="1:9">
      <c r="A81" s="4" t="s">
        <v>168</v>
      </c>
      <c r="B81" s="4">
        <f>VLOOKUP($A81,[1]中未分析60315!$A:$M,8,0)</f>
        <v>36</v>
      </c>
      <c r="C81" s="4">
        <f>VLOOKUP($A81,[1]中未分析60315!$A:$M,9,0)</f>
        <v>34</v>
      </c>
      <c r="D81" s="4">
        <f>VLOOKUP($A81,[1]中未分析60315!$A:$M,10,0)</f>
        <v>33</v>
      </c>
      <c r="E81" s="4">
        <f>VLOOKUP($A81,[1]中未分析60315!$A:$M,11,0)</f>
        <v>32</v>
      </c>
      <c r="F81" s="4">
        <f>VLOOKUP($A81,[1]中未分析60315!$A:$M,12,0)</f>
        <v>31</v>
      </c>
      <c r="G81" s="4">
        <f>VLOOKUP($A81,[1]中未分析60315!$A:$M,13,0)</f>
        <v>29</v>
      </c>
      <c r="H81" s="3" t="s">
        <v>10</v>
      </c>
      <c r="I81" s="3" t="s">
        <v>169</v>
      </c>
    </row>
    <row r="82" customHeight="1" spans="1:9">
      <c r="A82" s="4" t="s">
        <v>170</v>
      </c>
      <c r="B82" s="4">
        <f>VLOOKUP($A82,[1]中未分析60315!$A:$M,8,0)</f>
        <v>46</v>
      </c>
      <c r="C82" s="4">
        <f>VLOOKUP($A82,[1]中未分析60315!$A:$M,9,0)</f>
        <v>46</v>
      </c>
      <c r="D82" s="4">
        <f>VLOOKUP($A82,[1]中未分析60315!$A:$M,10,0)</f>
        <v>45</v>
      </c>
      <c r="E82" s="4">
        <f>VLOOKUP($A82,[1]中未分析60315!$A:$M,11,0)</f>
        <v>44</v>
      </c>
      <c r="F82" s="4">
        <f>VLOOKUP($A82,[1]中未分析60315!$A:$M,12,0)</f>
        <v>44</v>
      </c>
      <c r="G82" s="4">
        <f>VLOOKUP($A82,[1]中未分析60315!$A:$M,13,0)</f>
        <v>43</v>
      </c>
      <c r="H82" s="3" t="s">
        <v>39</v>
      </c>
      <c r="I82" s="3" t="s">
        <v>171</v>
      </c>
    </row>
    <row r="83" customHeight="1" spans="1:9">
      <c r="A83" s="4" t="s">
        <v>172</v>
      </c>
      <c r="B83" s="4">
        <f>VLOOKUP($A83,[1]中未分析60315!$A:$M,8,0)</f>
        <v>40</v>
      </c>
      <c r="C83" s="4">
        <f>VLOOKUP($A83,[1]中未分析60315!$A:$M,9,0)</f>
        <v>39</v>
      </c>
      <c r="D83" s="4">
        <f>VLOOKUP($A83,[1]中未分析60315!$A:$M,10,0)</f>
        <v>37</v>
      </c>
      <c r="E83" s="4">
        <f>VLOOKUP($A83,[1]中未分析60315!$A:$M,11,0)</f>
        <v>36</v>
      </c>
      <c r="F83" s="4">
        <f>VLOOKUP($A83,[1]中未分析60315!$A:$M,12,0)</f>
        <v>35</v>
      </c>
      <c r="G83" s="4">
        <f>VLOOKUP($A83,[1]中未分析60315!$A:$M,13,0)</f>
        <v>33</v>
      </c>
      <c r="H83" s="3" t="s">
        <v>10</v>
      </c>
      <c r="I83" s="3" t="s">
        <v>173</v>
      </c>
    </row>
    <row r="84" customHeight="1" spans="1:9">
      <c r="A84" s="4" t="s">
        <v>174</v>
      </c>
      <c r="B84" s="4">
        <f>VLOOKUP($A84,[1]中未分析60315!$A:$M,8,0)</f>
        <v>33</v>
      </c>
      <c r="C84" s="4">
        <f>VLOOKUP($A84,[1]中未分析60315!$A:$M,9,0)</f>
        <v>32</v>
      </c>
      <c r="D84" s="4">
        <f>VLOOKUP($A84,[1]中未分析60315!$A:$M,10,0)</f>
        <v>30</v>
      </c>
      <c r="E84" s="4">
        <f>VLOOKUP($A84,[1]中未分析60315!$A:$M,11,0)</f>
        <v>29</v>
      </c>
      <c r="F84" s="4">
        <f>VLOOKUP($A84,[1]中未分析60315!$A:$M,12,0)</f>
        <v>28</v>
      </c>
      <c r="G84" s="4">
        <f>VLOOKUP($A84,[1]中未分析60315!$A:$M,13,0)</f>
        <v>27</v>
      </c>
      <c r="H84" s="3" t="s">
        <v>10</v>
      </c>
      <c r="I84" s="3" t="s">
        <v>175</v>
      </c>
    </row>
    <row r="85" customHeight="1" spans="1:9">
      <c r="A85" s="4" t="s">
        <v>176</v>
      </c>
      <c r="B85" s="4">
        <f>VLOOKUP($A85,[1]中未分析60315!$A:$M,8,0)</f>
        <v>47</v>
      </c>
      <c r="C85" s="4">
        <f>VLOOKUP($A85,[1]中未分析60315!$A:$M,9,0)</f>
        <v>46</v>
      </c>
      <c r="D85" s="4">
        <f>VLOOKUP($A85,[1]中未分析60315!$A:$M,10,0)</f>
        <v>45</v>
      </c>
      <c r="E85" s="4">
        <f>VLOOKUP($A85,[1]中未分析60315!$A:$M,11,0)</f>
        <v>44</v>
      </c>
      <c r="F85" s="4">
        <f>VLOOKUP($A85,[1]中未分析60315!$A:$M,12,0)</f>
        <v>44</v>
      </c>
      <c r="G85" s="4">
        <f>VLOOKUP($A85,[1]中未分析60315!$A:$M,13,0)</f>
        <v>43</v>
      </c>
      <c r="H85" s="3" t="s">
        <v>39</v>
      </c>
      <c r="I85" s="3" t="s">
        <v>177</v>
      </c>
    </row>
    <row r="86" customHeight="1" spans="1:9">
      <c r="A86" s="4" t="s">
        <v>178</v>
      </c>
      <c r="B86" s="4">
        <f>VLOOKUP($A86,[1]中未分析60315!$A:$M,8,0)</f>
        <v>33</v>
      </c>
      <c r="C86" s="4">
        <f>VLOOKUP($A86,[1]中未分析60315!$A:$M,9,0)</f>
        <v>32</v>
      </c>
      <c r="D86" s="4">
        <f>VLOOKUP($A86,[1]中未分析60315!$A:$M,10,0)</f>
        <v>30</v>
      </c>
      <c r="E86" s="4">
        <f>VLOOKUP($A86,[1]中未分析60315!$A:$M,11,0)</f>
        <v>29</v>
      </c>
      <c r="F86" s="4">
        <f>VLOOKUP($A86,[1]中未分析60315!$A:$M,12,0)</f>
        <v>28</v>
      </c>
      <c r="G86" s="4">
        <f>VLOOKUP($A86,[1]中未分析60315!$A:$M,13,0)</f>
        <v>27</v>
      </c>
      <c r="H86" s="3" t="s">
        <v>10</v>
      </c>
      <c r="I86" s="3" t="s">
        <v>179</v>
      </c>
    </row>
    <row r="87" customHeight="1" spans="1:9">
      <c r="A87" s="4" t="s">
        <v>180</v>
      </c>
      <c r="B87" s="4">
        <f>VLOOKUP($A87,[1]中未分析60315!$A:$M,8,0)</f>
        <v>30</v>
      </c>
      <c r="C87" s="4">
        <f>VLOOKUP($A87,[1]中未分析60315!$A:$M,9,0)</f>
        <v>29</v>
      </c>
      <c r="D87" s="4">
        <f>VLOOKUP($A87,[1]中未分析60315!$A:$M,10,0)</f>
        <v>28</v>
      </c>
      <c r="E87" s="4">
        <f>VLOOKUP($A87,[1]中未分析60315!$A:$M,11,0)</f>
        <v>27</v>
      </c>
      <c r="F87" s="4">
        <f>VLOOKUP($A87,[1]中未分析60315!$A:$M,12,0)</f>
        <v>26</v>
      </c>
      <c r="G87" s="4">
        <f>VLOOKUP($A87,[1]中未分析60315!$A:$M,13,0)</f>
        <v>25</v>
      </c>
      <c r="H87" s="3" t="s">
        <v>10</v>
      </c>
      <c r="I87" s="3" t="s">
        <v>181</v>
      </c>
    </row>
    <row r="88" customHeight="1" spans="1:9">
      <c r="A88" s="4" t="s">
        <v>182</v>
      </c>
      <c r="B88" s="4">
        <f>VLOOKUP($A88,[1]中未分析60315!$A:$M,8,0)</f>
        <v>40</v>
      </c>
      <c r="C88" s="4">
        <f>VLOOKUP($A88,[1]中未分析60315!$A:$M,9,0)</f>
        <v>39</v>
      </c>
      <c r="D88" s="4">
        <f>VLOOKUP($A88,[1]中未分析60315!$A:$M,10,0)</f>
        <v>37</v>
      </c>
      <c r="E88" s="4">
        <f>VLOOKUP($A88,[1]中未分析60315!$A:$M,11,0)</f>
        <v>36</v>
      </c>
      <c r="F88" s="4">
        <f>VLOOKUP($A88,[1]中未分析60315!$A:$M,12,0)</f>
        <v>34</v>
      </c>
      <c r="G88" s="4">
        <f>VLOOKUP($A88,[1]中未分析60315!$A:$M,13,0)</f>
        <v>33</v>
      </c>
      <c r="H88" s="3" t="s">
        <v>10</v>
      </c>
      <c r="I88" s="3" t="s">
        <v>183</v>
      </c>
    </row>
    <row r="89" customHeight="1" spans="1:9">
      <c r="A89" s="4" t="s">
        <v>184</v>
      </c>
      <c r="B89" s="4">
        <f>VLOOKUP($A89,[1]中未分析60315!$A:$M,8,0)</f>
        <v>41</v>
      </c>
      <c r="C89" s="4">
        <f>VLOOKUP($A89,[1]中未分析60315!$A:$M,9,0)</f>
        <v>39</v>
      </c>
      <c r="D89" s="4">
        <f>VLOOKUP($A89,[1]中未分析60315!$A:$M,10,0)</f>
        <v>38</v>
      </c>
      <c r="E89" s="4">
        <f>VLOOKUP($A89,[1]中未分析60315!$A:$M,11,0)</f>
        <v>36</v>
      </c>
      <c r="F89" s="4">
        <f>VLOOKUP($A89,[1]中未分析60315!$A:$M,12,0)</f>
        <v>35</v>
      </c>
      <c r="G89" s="4">
        <f>VLOOKUP($A89,[1]中未分析60315!$A:$M,13,0)</f>
        <v>33</v>
      </c>
      <c r="H89" s="3" t="s">
        <v>10</v>
      </c>
      <c r="I89" s="3" t="s">
        <v>185</v>
      </c>
    </row>
    <row r="90" customHeight="1" spans="1:9">
      <c r="A90" s="4" t="s">
        <v>186</v>
      </c>
      <c r="B90" s="4">
        <f>VLOOKUP($A90,[1]中未分析60315!$A:$M,8,0)</f>
        <v>36</v>
      </c>
      <c r="C90" s="4">
        <f>VLOOKUP($A90,[1]中未分析60315!$A:$M,9,0)</f>
        <v>35</v>
      </c>
      <c r="D90" s="4">
        <f>VLOOKUP($A90,[1]中未分析60315!$A:$M,10,0)</f>
        <v>34</v>
      </c>
      <c r="E90" s="4">
        <f>VLOOKUP($A90,[1]中未分析60315!$A:$M,11,0)</f>
        <v>32</v>
      </c>
      <c r="F90" s="4">
        <f>VLOOKUP($A90,[1]中未分析60315!$A:$M,12,0)</f>
        <v>31</v>
      </c>
      <c r="G90" s="4">
        <f>VLOOKUP($A90,[1]中未分析60315!$A:$M,13,0)</f>
        <v>30</v>
      </c>
      <c r="H90" s="3" t="s">
        <v>10</v>
      </c>
      <c r="I90" s="3" t="s">
        <v>187</v>
      </c>
    </row>
    <row r="91" customHeight="1" spans="1:9">
      <c r="A91" s="4" t="s">
        <v>188</v>
      </c>
      <c r="B91" s="4">
        <f>VLOOKUP($A91,[1]中未分析60315!$A:$M,8,0)</f>
        <v>32</v>
      </c>
      <c r="C91" s="4">
        <f>VLOOKUP($A91,[1]中未分析60315!$A:$M,9,0)</f>
        <v>31</v>
      </c>
      <c r="D91" s="4">
        <f>VLOOKUP($A91,[1]中未分析60315!$A:$M,10,0)</f>
        <v>30</v>
      </c>
      <c r="E91" s="4">
        <f>VLOOKUP($A91,[1]中未分析60315!$A:$M,11,0)</f>
        <v>29</v>
      </c>
      <c r="F91" s="4">
        <f>VLOOKUP($A91,[1]中未分析60315!$A:$M,12,0)</f>
        <v>27</v>
      </c>
      <c r="G91" s="4">
        <f>VLOOKUP($A91,[1]中未分析60315!$A:$M,13,0)</f>
        <v>26</v>
      </c>
      <c r="H91" s="3" t="s">
        <v>10</v>
      </c>
      <c r="I91" s="3" t="s">
        <v>189</v>
      </c>
    </row>
    <row r="92" customHeight="1" spans="1:9">
      <c r="A92" s="4" t="s">
        <v>190</v>
      </c>
      <c r="B92" s="4">
        <f>VLOOKUP($A92,[1]中未分析60315!$A:$M,8,0)</f>
        <v>46</v>
      </c>
      <c r="C92" s="4">
        <f>VLOOKUP($A92,[1]中未分析60315!$A:$M,9,0)</f>
        <v>44</v>
      </c>
      <c r="D92" s="4">
        <f>VLOOKUP($A92,[1]中未分析60315!$A:$M,10,0)</f>
        <v>42</v>
      </c>
      <c r="E92" s="4">
        <f>VLOOKUP($A92,[1]中未分析60315!$A:$M,11,0)</f>
        <v>41</v>
      </c>
      <c r="F92" s="4">
        <f>VLOOKUP($A92,[1]中未分析60315!$A:$M,12,0)</f>
        <v>39</v>
      </c>
      <c r="G92" s="4">
        <f>VLOOKUP($A92,[1]中未分析60315!$A:$M,13,0)</f>
        <v>37</v>
      </c>
      <c r="H92" s="3" t="s">
        <v>10</v>
      </c>
      <c r="I92" s="3" t="s">
        <v>191</v>
      </c>
    </row>
    <row r="93" customHeight="1" spans="1:9">
      <c r="A93" s="4" t="s">
        <v>192</v>
      </c>
      <c r="B93" s="4">
        <f>VLOOKUP($A93,[1]中未分析60315!$A:$M,8,0)</f>
        <v>38</v>
      </c>
      <c r="C93" s="4">
        <f>VLOOKUP($A93,[1]中未分析60315!$A:$M,9,0)</f>
        <v>36</v>
      </c>
      <c r="D93" s="4">
        <f>VLOOKUP($A93,[1]中未分析60315!$A:$M,10,0)</f>
        <v>35</v>
      </c>
      <c r="E93" s="4">
        <f>VLOOKUP($A93,[1]中未分析60315!$A:$M,11,0)</f>
        <v>34</v>
      </c>
      <c r="F93" s="4">
        <f>VLOOKUP($A93,[1]中未分析60315!$A:$M,12,0)</f>
        <v>32</v>
      </c>
      <c r="G93" s="4">
        <f>VLOOKUP($A93,[1]中未分析60315!$A:$M,13,0)</f>
        <v>31</v>
      </c>
      <c r="H93" s="3" t="s">
        <v>10</v>
      </c>
      <c r="I93" s="3" t="s">
        <v>193</v>
      </c>
    </row>
    <row r="94" customHeight="1" spans="1:9">
      <c r="A94" s="4" t="s">
        <v>194</v>
      </c>
      <c r="B94" s="4">
        <f>VLOOKUP($A94,[1]中未分析60315!$A:$M,8,0)</f>
        <v>31</v>
      </c>
      <c r="C94" s="4">
        <f>VLOOKUP($A94,[1]中未分析60315!$A:$M,9,0)</f>
        <v>30</v>
      </c>
      <c r="D94" s="4">
        <f>VLOOKUP($A94,[1]中未分析60315!$A:$M,10,0)</f>
        <v>29</v>
      </c>
      <c r="E94" s="4">
        <f>VLOOKUP($A94,[1]中未分析60315!$A:$M,11,0)</f>
        <v>28</v>
      </c>
      <c r="F94" s="4">
        <f>VLOOKUP($A94,[1]中未分析60315!$A:$M,12,0)</f>
        <v>27</v>
      </c>
      <c r="G94" s="4">
        <f>VLOOKUP($A94,[1]中未分析60315!$A:$M,13,0)</f>
        <v>26</v>
      </c>
      <c r="H94" s="3" t="s">
        <v>10</v>
      </c>
      <c r="I94" s="3" t="s">
        <v>195</v>
      </c>
    </row>
    <row r="95" customHeight="1" spans="1:9">
      <c r="A95" s="4" t="s">
        <v>196</v>
      </c>
      <c r="B95" s="4">
        <f>VLOOKUP($A95,[1]中未分析60315!$A:$M,8,0)</f>
        <v>37</v>
      </c>
      <c r="C95" s="4">
        <f>VLOOKUP($A95,[1]中未分析60315!$A:$M,9,0)</f>
        <v>35</v>
      </c>
      <c r="D95" s="4">
        <f>VLOOKUP($A95,[1]中未分析60315!$A:$M,10,0)</f>
        <v>34</v>
      </c>
      <c r="E95" s="4">
        <f>VLOOKUP($A95,[1]中未分析60315!$A:$M,11,0)</f>
        <v>33</v>
      </c>
      <c r="F95" s="4">
        <f>VLOOKUP($A95,[1]中未分析60315!$A:$M,12,0)</f>
        <v>31</v>
      </c>
      <c r="G95" s="4">
        <f>VLOOKUP($A95,[1]中未分析60315!$A:$M,13,0)</f>
        <v>30</v>
      </c>
      <c r="H95" s="3" t="s">
        <v>10</v>
      </c>
      <c r="I95" s="3" t="s">
        <v>197</v>
      </c>
    </row>
    <row r="96" customHeight="1" spans="1:9">
      <c r="A96" s="4" t="s">
        <v>198</v>
      </c>
      <c r="B96" s="4">
        <f>VLOOKUP($A96,[1]中未分析60315!$A:$M,8,0)</f>
        <v>34</v>
      </c>
      <c r="C96" s="4">
        <f>VLOOKUP($A96,[1]中未分析60315!$A:$M,9,0)</f>
        <v>32</v>
      </c>
      <c r="D96" s="4">
        <f>VLOOKUP($A96,[1]中未分析60315!$A:$M,10,0)</f>
        <v>31</v>
      </c>
      <c r="E96" s="4">
        <f>VLOOKUP($A96,[1]中未分析60315!$A:$M,11,0)</f>
        <v>30</v>
      </c>
      <c r="F96" s="4">
        <f>VLOOKUP($A96,[1]中未分析60315!$A:$M,12,0)</f>
        <v>29</v>
      </c>
      <c r="G96" s="4">
        <f>VLOOKUP($A96,[1]中未分析60315!$A:$M,13,0)</f>
        <v>28</v>
      </c>
      <c r="H96" s="3" t="s">
        <v>10</v>
      </c>
      <c r="I96" s="3" t="s">
        <v>199</v>
      </c>
    </row>
    <row r="97" customHeight="1" spans="1:9">
      <c r="A97" s="4" t="s">
        <v>200</v>
      </c>
      <c r="B97" s="4">
        <f>VLOOKUP($A97,[1]中未分析60315!$A:$M,8,0)</f>
        <v>40</v>
      </c>
      <c r="C97" s="4">
        <f>VLOOKUP($A97,[1]中未分析60315!$A:$M,9,0)</f>
        <v>39</v>
      </c>
      <c r="D97" s="4">
        <f>VLOOKUP($A97,[1]中未分析60315!$A:$M,10,0)</f>
        <v>37</v>
      </c>
      <c r="E97" s="4">
        <f>VLOOKUP($A97,[1]中未分析60315!$A:$M,11,0)</f>
        <v>36</v>
      </c>
      <c r="F97" s="4">
        <f>VLOOKUP($A97,[1]中未分析60315!$A:$M,12,0)</f>
        <v>35</v>
      </c>
      <c r="G97" s="4">
        <f>VLOOKUP($A97,[1]中未分析60315!$A:$M,13,0)</f>
        <v>33</v>
      </c>
      <c r="H97" s="3" t="s">
        <v>10</v>
      </c>
      <c r="I97" s="3" t="s">
        <v>201</v>
      </c>
    </row>
    <row r="98" customHeight="1" spans="1:9">
      <c r="A98" s="4" t="s">
        <v>202</v>
      </c>
      <c r="B98" s="4">
        <f>VLOOKUP($A98,[1]中未分析60315!$A:$M,8,0)</f>
        <v>42</v>
      </c>
      <c r="C98" s="4">
        <f>VLOOKUP($A98,[1]中未分析60315!$A:$M,9,0)</f>
        <v>41</v>
      </c>
      <c r="D98" s="4">
        <f>VLOOKUP($A98,[1]中未分析60315!$A:$M,10,0)</f>
        <v>39</v>
      </c>
      <c r="E98" s="4">
        <f>VLOOKUP($A98,[1]中未分析60315!$A:$M,11,0)</f>
        <v>38</v>
      </c>
      <c r="F98" s="4">
        <f>VLOOKUP($A98,[1]中未分析60315!$A:$M,12,0)</f>
        <v>36</v>
      </c>
      <c r="G98" s="4">
        <f>VLOOKUP($A98,[1]中未分析60315!$A:$M,13,0)</f>
        <v>35</v>
      </c>
      <c r="H98" s="3" t="s">
        <v>10</v>
      </c>
      <c r="I98" s="3" t="s">
        <v>203</v>
      </c>
    </row>
    <row r="99" customHeight="1" spans="1:9">
      <c r="A99" s="4" t="s">
        <v>204</v>
      </c>
      <c r="B99" s="4">
        <f>VLOOKUP($A99,[1]中未分析60315!$A:$M,8,0)</f>
        <v>29</v>
      </c>
      <c r="C99" s="4">
        <f>VLOOKUP($A99,[1]中未分析60315!$A:$M,9,0)</f>
        <v>27</v>
      </c>
      <c r="D99" s="4">
        <f>VLOOKUP($A99,[1]中未分析60315!$A:$M,10,0)</f>
        <v>26</v>
      </c>
      <c r="E99" s="4">
        <f>VLOOKUP($A99,[1]中未分析60315!$A:$M,11,0)</f>
        <v>25</v>
      </c>
      <c r="F99" s="4">
        <f>VLOOKUP($A99,[1]中未分析60315!$A:$M,12,0)</f>
        <v>24</v>
      </c>
      <c r="G99" s="4">
        <f>VLOOKUP($A99,[1]中未分析60315!$A:$M,13,0)</f>
        <v>23</v>
      </c>
      <c r="H99" s="3" t="s">
        <v>10</v>
      </c>
      <c r="I99" s="3" t="s">
        <v>205</v>
      </c>
    </row>
    <row r="100" customHeight="1" spans="1:9">
      <c r="A100" s="4" t="s">
        <v>206</v>
      </c>
      <c r="B100" s="4">
        <f>VLOOKUP($A100,[1]中未分析60315!$A:$M,8,0)</f>
        <v>33</v>
      </c>
      <c r="C100" s="4">
        <f>VLOOKUP($A100,[1]中未分析60315!$A:$M,9,0)</f>
        <v>32</v>
      </c>
      <c r="D100" s="4">
        <f>VLOOKUP($A100,[1]中未分析60315!$A:$M,10,0)</f>
        <v>31</v>
      </c>
      <c r="E100" s="4">
        <f>VLOOKUP($A100,[1]中未分析60315!$A:$M,11,0)</f>
        <v>30</v>
      </c>
      <c r="F100" s="4">
        <f>VLOOKUP($A100,[1]中未分析60315!$A:$M,12,0)</f>
        <v>29</v>
      </c>
      <c r="G100" s="4">
        <f>VLOOKUP($A100,[1]中未分析60315!$A:$M,13,0)</f>
        <v>27</v>
      </c>
      <c r="H100" s="3" t="s">
        <v>10</v>
      </c>
      <c r="I100" s="3" t="s">
        <v>207</v>
      </c>
    </row>
    <row r="101" customHeight="1" spans="1:9">
      <c r="A101" s="4" t="s">
        <v>208</v>
      </c>
      <c r="B101" s="4">
        <f>VLOOKUP($A101,[1]中未分析60315!$A:$M,8,0)</f>
        <v>30</v>
      </c>
      <c r="C101" s="4">
        <f>VLOOKUP($A101,[1]中未分析60315!$A:$M,9,0)</f>
        <v>29</v>
      </c>
      <c r="D101" s="4">
        <f>VLOOKUP($A101,[1]中未分析60315!$A:$M,10,0)</f>
        <v>28</v>
      </c>
      <c r="E101" s="4">
        <f>VLOOKUP($A101,[1]中未分析60315!$A:$M,11,0)</f>
        <v>27</v>
      </c>
      <c r="F101" s="4">
        <f>VLOOKUP($A101,[1]中未分析60315!$A:$M,12,0)</f>
        <v>25</v>
      </c>
      <c r="G101" s="4">
        <f>VLOOKUP($A101,[1]中未分析60315!$A:$M,13,0)</f>
        <v>24</v>
      </c>
      <c r="H101" s="3" t="s">
        <v>10</v>
      </c>
      <c r="I101" s="3" t="s">
        <v>209</v>
      </c>
    </row>
    <row r="102" customHeight="1" spans="1:9">
      <c r="A102" s="4" t="s">
        <v>210</v>
      </c>
      <c r="B102" s="4">
        <f>VLOOKUP($A102,[1]中未分析60315!$A:$M,8,0)</f>
        <v>35</v>
      </c>
      <c r="C102" s="4">
        <f>VLOOKUP($A102,[1]中未分析60315!$A:$M,9,0)</f>
        <v>34</v>
      </c>
      <c r="D102" s="4">
        <f>VLOOKUP($A102,[1]中未分析60315!$A:$M,10,0)</f>
        <v>33</v>
      </c>
      <c r="E102" s="4">
        <f>VLOOKUP($A102,[1]中未分析60315!$A:$M,11,0)</f>
        <v>32</v>
      </c>
      <c r="F102" s="4">
        <f>VLOOKUP($A102,[1]中未分析60315!$A:$M,12,0)</f>
        <v>30</v>
      </c>
      <c r="G102" s="4">
        <f>VLOOKUP($A102,[1]中未分析60315!$A:$M,13,0)</f>
        <v>29</v>
      </c>
      <c r="H102" s="3" t="s">
        <v>10</v>
      </c>
      <c r="I102" s="3" t="s">
        <v>211</v>
      </c>
    </row>
    <row r="103" customHeight="1" spans="1:9">
      <c r="A103" s="4" t="s">
        <v>212</v>
      </c>
      <c r="B103" s="4">
        <f>VLOOKUP($A103,[1]中未分析60315!$A:$M,8,0)</f>
        <v>29</v>
      </c>
      <c r="C103" s="4">
        <f>VLOOKUP($A103,[1]中未分析60315!$A:$M,9,0)</f>
        <v>28</v>
      </c>
      <c r="D103" s="4">
        <f>VLOOKUP($A103,[1]中未分析60315!$A:$M,10,0)</f>
        <v>27</v>
      </c>
      <c r="E103" s="4">
        <f>VLOOKUP($A103,[1]中未分析60315!$A:$M,11,0)</f>
        <v>26</v>
      </c>
      <c r="F103" s="4">
        <f>VLOOKUP($A103,[1]中未分析60315!$A:$M,12,0)</f>
        <v>25</v>
      </c>
      <c r="G103" s="4">
        <f>VLOOKUP($A103,[1]中未分析60315!$A:$M,13,0)</f>
        <v>24</v>
      </c>
      <c r="H103" s="3" t="s">
        <v>10</v>
      </c>
      <c r="I103" s="3" t="s">
        <v>213</v>
      </c>
    </row>
    <row r="104" customHeight="1" spans="1:9">
      <c r="A104" s="4" t="s">
        <v>214</v>
      </c>
      <c r="B104" s="4">
        <f>VLOOKUP($A104,[1]中未分析60315!$A:$M,8,0)</f>
        <v>27</v>
      </c>
      <c r="C104" s="4">
        <f>VLOOKUP($A104,[1]中未分析60315!$A:$M,9,0)</f>
        <v>26</v>
      </c>
      <c r="D104" s="4">
        <f>VLOOKUP($A104,[1]中未分析60315!$A:$M,10,0)</f>
        <v>25</v>
      </c>
      <c r="E104" s="4">
        <f>VLOOKUP($A104,[1]中未分析60315!$A:$M,11,0)</f>
        <v>24</v>
      </c>
      <c r="F104" s="4">
        <f>VLOOKUP($A104,[1]中未分析60315!$A:$M,12,0)</f>
        <v>23</v>
      </c>
      <c r="G104" s="4">
        <f>VLOOKUP($A104,[1]中未分析60315!$A:$M,13,0)</f>
        <v>22</v>
      </c>
      <c r="H104" s="3" t="s">
        <v>10</v>
      </c>
      <c r="I104" s="3" t="s">
        <v>215</v>
      </c>
    </row>
    <row r="105" customHeight="1" spans="1:9">
      <c r="A105" s="4" t="s">
        <v>216</v>
      </c>
      <c r="B105" s="4">
        <f>VLOOKUP($A105,[1]中未分析60315!$A:$M,8,0)</f>
        <v>32</v>
      </c>
      <c r="C105" s="4">
        <f>VLOOKUP($A105,[1]中未分析60315!$A:$M,9,0)</f>
        <v>31</v>
      </c>
      <c r="D105" s="4">
        <f>VLOOKUP($A105,[1]中未分析60315!$A:$M,10,0)</f>
        <v>30</v>
      </c>
      <c r="E105" s="4">
        <f>VLOOKUP($A105,[1]中未分析60315!$A:$M,11,0)</f>
        <v>29</v>
      </c>
      <c r="F105" s="4">
        <f>VLOOKUP($A105,[1]中未分析60315!$A:$M,12,0)</f>
        <v>27</v>
      </c>
      <c r="G105" s="4">
        <f>VLOOKUP($A105,[1]中未分析60315!$A:$M,13,0)</f>
        <v>26</v>
      </c>
      <c r="H105" s="3" t="s">
        <v>10</v>
      </c>
      <c r="I105" s="3" t="s">
        <v>217</v>
      </c>
    </row>
    <row r="106" customHeight="1" spans="1:9">
      <c r="A106" s="4" t="s">
        <v>218</v>
      </c>
      <c r="B106" s="4">
        <f>VLOOKUP($A106,[1]中未分析60315!$A:$M,8,0)</f>
        <v>31</v>
      </c>
      <c r="C106" s="4">
        <f>VLOOKUP($A106,[1]中未分析60315!$A:$M,9,0)</f>
        <v>30</v>
      </c>
      <c r="D106" s="4">
        <f>VLOOKUP($A106,[1]中未分析60315!$A:$M,10,0)</f>
        <v>29</v>
      </c>
      <c r="E106" s="4">
        <f>VLOOKUP($A106,[1]中未分析60315!$A:$M,11,0)</f>
        <v>28</v>
      </c>
      <c r="F106" s="4">
        <f>VLOOKUP($A106,[1]中未分析60315!$A:$M,12,0)</f>
        <v>27</v>
      </c>
      <c r="G106" s="4">
        <f>VLOOKUP($A106,[1]中未分析60315!$A:$M,13,0)</f>
        <v>25</v>
      </c>
      <c r="H106" s="3" t="s">
        <v>10</v>
      </c>
      <c r="I106" s="3" t="s">
        <v>219</v>
      </c>
    </row>
    <row r="107" customHeight="1" spans="1:9">
      <c r="A107" s="4" t="s">
        <v>220</v>
      </c>
      <c r="B107" s="4">
        <f>VLOOKUP($A107,[1]中未分析60315!$A:$M,8,0)</f>
        <v>41</v>
      </c>
      <c r="C107" s="4">
        <f>VLOOKUP($A107,[1]中未分析60315!$A:$M,9,0)</f>
        <v>40</v>
      </c>
      <c r="D107" s="4">
        <f>VLOOKUP($A107,[1]中未分析60315!$A:$M,10,0)</f>
        <v>38</v>
      </c>
      <c r="E107" s="4">
        <f>VLOOKUP($A107,[1]中未分析60315!$A:$M,11,0)</f>
        <v>37</v>
      </c>
      <c r="F107" s="4">
        <f>VLOOKUP($A107,[1]中未分析60315!$A:$M,12,0)</f>
        <v>35</v>
      </c>
      <c r="G107" s="4">
        <f>VLOOKUP($A107,[1]中未分析60315!$A:$M,13,0)</f>
        <v>34</v>
      </c>
      <c r="H107" s="3" t="s">
        <v>10</v>
      </c>
      <c r="I107" s="3" t="s">
        <v>221</v>
      </c>
    </row>
    <row r="108" customHeight="1" spans="1:9">
      <c r="A108" s="4" t="s">
        <v>222</v>
      </c>
      <c r="B108" s="4">
        <f>VLOOKUP($A108,[1]中未分析60315!$A:$M,8,0)</f>
        <v>24</v>
      </c>
      <c r="C108" s="4">
        <f>VLOOKUP($A108,[1]中未分析60315!$A:$M,9,0)</f>
        <v>23</v>
      </c>
      <c r="D108" s="4">
        <f>VLOOKUP($A108,[1]中未分析60315!$A:$M,10,0)</f>
        <v>22</v>
      </c>
      <c r="E108" s="4">
        <f>VLOOKUP($A108,[1]中未分析60315!$A:$M,11,0)</f>
        <v>21</v>
      </c>
      <c r="F108" s="4">
        <f>VLOOKUP($A108,[1]中未分析60315!$A:$M,12,0)</f>
        <v>21</v>
      </c>
      <c r="G108" s="4">
        <f>VLOOKUP($A108,[1]中未分析60315!$A:$M,13,0)</f>
        <v>20</v>
      </c>
      <c r="H108" s="3" t="s">
        <v>10</v>
      </c>
      <c r="I108" s="3" t="s">
        <v>223</v>
      </c>
    </row>
    <row r="109" customHeight="1" spans="1:9">
      <c r="A109" s="4" t="s">
        <v>224</v>
      </c>
      <c r="B109" s="4">
        <f>VLOOKUP($A109,[1]中未分析60315!$A:$M,8,0)</f>
        <v>43</v>
      </c>
      <c r="C109" s="4">
        <f>VLOOKUP($A109,[1]中未分析60315!$A:$M,9,0)</f>
        <v>41</v>
      </c>
      <c r="D109" s="4">
        <f>VLOOKUP($A109,[1]中未分析60315!$A:$M,10,0)</f>
        <v>40</v>
      </c>
      <c r="E109" s="4">
        <f>VLOOKUP($A109,[1]中未分析60315!$A:$M,11,0)</f>
        <v>38</v>
      </c>
      <c r="F109" s="4">
        <f>VLOOKUP($A109,[1]中未分析60315!$A:$M,12,0)</f>
        <v>37</v>
      </c>
      <c r="G109" s="4">
        <f>VLOOKUP($A109,[1]中未分析60315!$A:$M,13,0)</f>
        <v>35</v>
      </c>
      <c r="H109" s="3" t="s">
        <v>10</v>
      </c>
      <c r="I109" s="3" t="s">
        <v>225</v>
      </c>
    </row>
    <row r="110" customHeight="1" spans="1:9">
      <c r="A110" s="4" t="s">
        <v>226</v>
      </c>
      <c r="B110" s="4">
        <f>VLOOKUP($A110,[1]中未分析60315!$A:$M,8,0)</f>
        <v>143</v>
      </c>
      <c r="C110" s="4">
        <f>VLOOKUP($A110,[1]中未分析60315!$A:$M,9,0)</f>
        <v>141</v>
      </c>
      <c r="D110" s="4">
        <f>VLOOKUP($A110,[1]中未分析60315!$A:$M,10,0)</f>
        <v>138</v>
      </c>
      <c r="E110" s="4">
        <f>VLOOKUP($A110,[1]中未分析60315!$A:$M,11,0)</f>
        <v>136</v>
      </c>
      <c r="F110" s="4">
        <f>VLOOKUP($A110,[1]中未分析60315!$A:$M,12,0)</f>
        <v>135</v>
      </c>
      <c r="G110" s="4">
        <f>VLOOKUP($A110,[1]中未分析60315!$A:$M,13,0)</f>
        <v>132</v>
      </c>
      <c r="H110" s="3" t="s">
        <v>39</v>
      </c>
      <c r="I110" s="3" t="s">
        <v>227</v>
      </c>
    </row>
    <row r="111" customHeight="1" spans="1:9">
      <c r="A111" s="4" t="s">
        <v>228</v>
      </c>
      <c r="B111" s="4">
        <f>VLOOKUP($A111,[1]中未分析60315!$A:$M,8,0)</f>
        <v>23</v>
      </c>
      <c r="C111" s="4">
        <f>VLOOKUP($A111,[1]中未分析60315!$A:$M,9,0)</f>
        <v>22</v>
      </c>
      <c r="D111" s="4">
        <f>VLOOKUP($A111,[1]中未分析60315!$A:$M,10,0)</f>
        <v>22</v>
      </c>
      <c r="E111" s="4">
        <f>VLOOKUP($A111,[1]中未分析60315!$A:$M,11,0)</f>
        <v>21</v>
      </c>
      <c r="F111" s="4">
        <f>VLOOKUP($A111,[1]中未分析60315!$A:$M,12,0)</f>
        <v>20</v>
      </c>
      <c r="G111" s="4">
        <f>VLOOKUP($A111,[1]中未分析60315!$A:$M,13,0)</f>
        <v>19</v>
      </c>
      <c r="H111" s="3" t="s">
        <v>10</v>
      </c>
      <c r="I111" s="3" t="s">
        <v>229</v>
      </c>
    </row>
    <row r="112" customHeight="1" spans="1:9">
      <c r="A112" s="4" t="s">
        <v>230</v>
      </c>
      <c r="B112" s="4">
        <f>VLOOKUP($A112,[1]中未分析60315!$A:$M,8,0)</f>
        <v>31</v>
      </c>
      <c r="C112" s="4">
        <f>VLOOKUP($A112,[1]中未分析60315!$A:$M,9,0)</f>
        <v>30</v>
      </c>
      <c r="D112" s="4">
        <f>VLOOKUP($A112,[1]中未分析60315!$A:$M,10,0)</f>
        <v>29</v>
      </c>
      <c r="E112" s="4">
        <f>VLOOKUP($A112,[1]中未分析60315!$A:$M,11,0)</f>
        <v>28</v>
      </c>
      <c r="F112" s="4">
        <f>VLOOKUP($A112,[1]中未分析60315!$A:$M,12,0)</f>
        <v>27</v>
      </c>
      <c r="G112" s="4">
        <f>VLOOKUP($A112,[1]中未分析60315!$A:$M,13,0)</f>
        <v>26</v>
      </c>
      <c r="H112" s="3" t="s">
        <v>10</v>
      </c>
      <c r="I112" s="3" t="s">
        <v>231</v>
      </c>
    </row>
    <row r="113" customHeight="1" spans="1:9">
      <c r="A113" s="4" t="s">
        <v>232</v>
      </c>
      <c r="B113" s="4">
        <f>VLOOKUP($A113,[1]中未分析60315!$A:$M,8,0)</f>
        <v>46</v>
      </c>
      <c r="C113" s="4">
        <f>VLOOKUP($A113,[1]中未分析60315!$A:$M,9,0)</f>
        <v>45</v>
      </c>
      <c r="D113" s="4">
        <f>VLOOKUP($A113,[1]中未分析60315!$A:$M,10,0)</f>
        <v>43</v>
      </c>
      <c r="E113" s="4">
        <f>VLOOKUP($A113,[1]中未分析60315!$A:$M,11,0)</f>
        <v>41</v>
      </c>
      <c r="F113" s="4">
        <f>VLOOKUP($A113,[1]中未分析60315!$A:$M,12,0)</f>
        <v>40</v>
      </c>
      <c r="G113" s="4">
        <f>VLOOKUP($A113,[1]中未分析60315!$A:$M,13,0)</f>
        <v>38</v>
      </c>
      <c r="H113" s="3" t="s">
        <v>10</v>
      </c>
      <c r="I113" s="3" t="s">
        <v>233</v>
      </c>
    </row>
    <row r="114" customHeight="1" spans="1:9">
      <c r="A114" s="4" t="s">
        <v>234</v>
      </c>
      <c r="B114" s="4">
        <f>VLOOKUP($A114,[1]中未分析60315!$A:$M,8,0)</f>
        <v>35</v>
      </c>
      <c r="C114" s="4">
        <f>VLOOKUP($A114,[1]中未分析60315!$A:$M,9,0)</f>
        <v>34</v>
      </c>
      <c r="D114" s="4">
        <f>VLOOKUP($A114,[1]中未分析60315!$A:$M,10,0)</f>
        <v>33</v>
      </c>
      <c r="E114" s="4">
        <f>VLOOKUP($A114,[1]中未分析60315!$A:$M,11,0)</f>
        <v>31</v>
      </c>
      <c r="F114" s="4">
        <f>VLOOKUP($A114,[1]中未分析60315!$A:$M,12,0)</f>
        <v>30</v>
      </c>
      <c r="G114" s="4">
        <f>VLOOKUP($A114,[1]中未分析60315!$A:$M,13,0)</f>
        <v>29</v>
      </c>
      <c r="H114" s="3" t="s">
        <v>10</v>
      </c>
      <c r="I114" s="3" t="s">
        <v>235</v>
      </c>
    </row>
    <row r="115" customHeight="1" spans="1:9">
      <c r="A115" s="4" t="s">
        <v>236</v>
      </c>
      <c r="B115" s="4">
        <f>VLOOKUP($A115,[1]中未分析60315!$A:$M,8,0)</f>
        <v>38</v>
      </c>
      <c r="C115" s="4">
        <f>VLOOKUP($A115,[1]中未分析60315!$A:$M,9,0)</f>
        <v>37</v>
      </c>
      <c r="D115" s="4">
        <f>VLOOKUP($A115,[1]中未分析60315!$A:$M,10,0)</f>
        <v>35</v>
      </c>
      <c r="E115" s="4">
        <f>VLOOKUP($A115,[1]中未分析60315!$A:$M,11,0)</f>
        <v>34</v>
      </c>
      <c r="F115" s="4">
        <f>VLOOKUP($A115,[1]中未分析60315!$A:$M,12,0)</f>
        <v>33</v>
      </c>
      <c r="G115" s="4">
        <f>VLOOKUP($A115,[1]中未分析60315!$A:$M,13,0)</f>
        <v>31</v>
      </c>
      <c r="H115" s="3" t="s">
        <v>10</v>
      </c>
      <c r="I115" s="3" t="s">
        <v>237</v>
      </c>
    </row>
    <row r="116" customHeight="1" spans="1:9">
      <c r="A116" s="4" t="s">
        <v>238</v>
      </c>
      <c r="B116" s="4">
        <f>VLOOKUP($A116,[1]中未分析60315!$A:$M,8,0)</f>
        <v>41</v>
      </c>
      <c r="C116" s="4">
        <f>VLOOKUP($A116,[1]中未分析60315!$A:$M,9,0)</f>
        <v>39</v>
      </c>
      <c r="D116" s="4">
        <f>VLOOKUP($A116,[1]中未分析60315!$A:$M,10,0)</f>
        <v>38</v>
      </c>
      <c r="E116" s="4">
        <f>VLOOKUP($A116,[1]中未分析60315!$A:$M,11,0)</f>
        <v>36</v>
      </c>
      <c r="F116" s="4">
        <f>VLOOKUP($A116,[1]中未分析60315!$A:$M,12,0)</f>
        <v>35</v>
      </c>
      <c r="G116" s="4">
        <f>VLOOKUP($A116,[1]中未分析60315!$A:$M,13,0)</f>
        <v>33</v>
      </c>
      <c r="H116" s="3" t="s">
        <v>10</v>
      </c>
      <c r="I116" s="3" t="s">
        <v>239</v>
      </c>
    </row>
    <row r="117" customHeight="1" spans="1:9">
      <c r="A117" s="4" t="s">
        <v>240</v>
      </c>
      <c r="B117" s="4">
        <f>VLOOKUP($A117,[1]中未分析60315!$A:$M,8,0)</f>
        <v>26</v>
      </c>
      <c r="C117" s="4">
        <f>VLOOKUP($A117,[1]中未分析60315!$A:$M,9,0)</f>
        <v>26</v>
      </c>
      <c r="D117" s="4">
        <f>VLOOKUP($A117,[1]中未分析60315!$A:$M,10,0)</f>
        <v>25</v>
      </c>
      <c r="E117" s="4">
        <f>VLOOKUP($A117,[1]中未分析60315!$A:$M,11,0)</f>
        <v>24</v>
      </c>
      <c r="F117" s="4">
        <f>VLOOKUP($A117,[1]中未分析60315!$A:$M,12,0)</f>
        <v>23</v>
      </c>
      <c r="G117" s="4">
        <f>VLOOKUP($A117,[1]中未分析60315!$A:$M,13,0)</f>
        <v>22</v>
      </c>
      <c r="H117" s="3" t="s">
        <v>10</v>
      </c>
      <c r="I117" s="3" t="s">
        <v>241</v>
      </c>
    </row>
    <row r="118" customHeight="1" spans="1:9">
      <c r="A118" s="4" t="s">
        <v>242</v>
      </c>
      <c r="B118" s="4">
        <f>VLOOKUP($A118,[1]中未分析60315!$A:$M,8,0)</f>
        <v>32</v>
      </c>
      <c r="C118" s="4">
        <f>VLOOKUP($A118,[1]中未分析60315!$A:$M,9,0)</f>
        <v>31</v>
      </c>
      <c r="D118" s="4">
        <f>VLOOKUP($A118,[1]中未分析60315!$A:$M,10,0)</f>
        <v>30</v>
      </c>
      <c r="E118" s="4">
        <f>VLOOKUP($A118,[1]中未分析60315!$A:$M,11,0)</f>
        <v>29</v>
      </c>
      <c r="F118" s="4">
        <f>VLOOKUP($A118,[1]中未分析60315!$A:$M,12,0)</f>
        <v>27</v>
      </c>
      <c r="G118" s="4">
        <f>VLOOKUP($A118,[1]中未分析60315!$A:$M,13,0)</f>
        <v>26</v>
      </c>
      <c r="H118" s="3" t="s">
        <v>10</v>
      </c>
      <c r="I118" s="3" t="s">
        <v>243</v>
      </c>
    </row>
    <row r="119" customHeight="1" spans="1:9">
      <c r="A119" s="4" t="s">
        <v>244</v>
      </c>
      <c r="B119" s="4">
        <f>VLOOKUP($A119,[1]中未分析60315!$A:$M,8,0)</f>
        <v>41</v>
      </c>
      <c r="C119" s="4">
        <f>VLOOKUP($A119,[1]中未分析60315!$A:$M,9,0)</f>
        <v>40</v>
      </c>
      <c r="D119" s="4">
        <f>VLOOKUP($A119,[1]中未分析60315!$A:$M,10,0)</f>
        <v>38</v>
      </c>
      <c r="E119" s="4">
        <f>VLOOKUP($A119,[1]中未分析60315!$A:$M,11,0)</f>
        <v>37</v>
      </c>
      <c r="F119" s="4">
        <f>VLOOKUP($A119,[1]中未分析60315!$A:$M,12,0)</f>
        <v>35</v>
      </c>
      <c r="G119" s="4">
        <f>VLOOKUP($A119,[1]中未分析60315!$A:$M,13,0)</f>
        <v>34</v>
      </c>
      <c r="H119" s="3" t="s">
        <v>10</v>
      </c>
      <c r="I119" s="3" t="s">
        <v>245</v>
      </c>
    </row>
    <row r="120" customHeight="1" spans="1:9">
      <c r="A120" s="4" t="s">
        <v>246</v>
      </c>
      <c r="B120" s="4">
        <f>VLOOKUP($A120,[1]中未分析60315!$A:$M,8,0)</f>
        <v>32</v>
      </c>
      <c r="C120" s="4">
        <f>VLOOKUP($A120,[1]中未分析60315!$A:$M,9,0)</f>
        <v>31</v>
      </c>
      <c r="D120" s="4">
        <f>VLOOKUP($A120,[1]中未分析60315!$A:$M,10,0)</f>
        <v>30</v>
      </c>
      <c r="E120" s="4">
        <f>VLOOKUP($A120,[1]中未分析60315!$A:$M,11,0)</f>
        <v>29</v>
      </c>
      <c r="F120" s="4">
        <f>VLOOKUP($A120,[1]中未分析60315!$A:$M,12,0)</f>
        <v>27</v>
      </c>
      <c r="G120" s="4">
        <f>VLOOKUP($A120,[1]中未分析60315!$A:$M,13,0)</f>
        <v>26</v>
      </c>
      <c r="H120" s="3" t="s">
        <v>10</v>
      </c>
      <c r="I120" s="3" t="s">
        <v>247</v>
      </c>
    </row>
    <row r="121" customHeight="1" spans="1:9">
      <c r="A121" s="4" t="s">
        <v>248</v>
      </c>
      <c r="B121" s="4">
        <f>VLOOKUP($A121,[1]中未分析60315!$A:$M,8,0)</f>
        <v>36</v>
      </c>
      <c r="C121" s="4">
        <f>VLOOKUP($A121,[1]中未分析60315!$A:$M,9,0)</f>
        <v>35</v>
      </c>
      <c r="D121" s="4">
        <f>VLOOKUP($A121,[1]中未分析60315!$A:$M,10,0)</f>
        <v>34</v>
      </c>
      <c r="E121" s="4">
        <f>VLOOKUP($A121,[1]中未分析60315!$A:$M,11,0)</f>
        <v>32</v>
      </c>
      <c r="F121" s="4">
        <f>VLOOKUP($A121,[1]中未分析60315!$A:$M,12,0)</f>
        <v>31</v>
      </c>
      <c r="G121" s="4">
        <f>VLOOKUP($A121,[1]中未分析60315!$A:$M,13,0)</f>
        <v>30</v>
      </c>
      <c r="H121" s="3" t="s">
        <v>10</v>
      </c>
      <c r="I121" s="3" t="s">
        <v>249</v>
      </c>
    </row>
    <row r="122" customHeight="1" spans="1:9">
      <c r="A122" s="4" t="s">
        <v>250</v>
      </c>
      <c r="B122" s="4">
        <f>VLOOKUP($A122,[1]中未分析60315!$A:$M,8,0)</f>
        <v>56</v>
      </c>
      <c r="C122" s="4">
        <f>VLOOKUP($A122,[1]中未分析60315!$A:$M,9,0)</f>
        <v>55</v>
      </c>
      <c r="D122" s="4">
        <f>VLOOKUP($A122,[1]中未分析60315!$A:$M,10,0)</f>
        <v>54</v>
      </c>
      <c r="E122" s="4">
        <f>VLOOKUP($A122,[1]中未分析60315!$A:$M,11,0)</f>
        <v>53</v>
      </c>
      <c r="F122" s="4">
        <f>VLOOKUP($A122,[1]中未分析60315!$A:$M,12,0)</f>
        <v>53</v>
      </c>
      <c r="G122" s="4">
        <f>VLOOKUP($A122,[1]中未分析60315!$A:$M,13,0)</f>
        <v>52</v>
      </c>
      <c r="H122" s="3" t="s">
        <v>39</v>
      </c>
      <c r="I122" s="3" t="s">
        <v>251</v>
      </c>
    </row>
    <row r="123" customHeight="1" spans="1:9">
      <c r="A123" s="4" t="s">
        <v>252</v>
      </c>
      <c r="B123" s="4">
        <f>VLOOKUP($A123,[1]中未分析60315!$A:$M,8,0)</f>
        <v>29</v>
      </c>
      <c r="C123" s="4">
        <f>VLOOKUP($A123,[1]中未分析60315!$A:$M,9,0)</f>
        <v>28</v>
      </c>
      <c r="D123" s="4">
        <f>VLOOKUP($A123,[1]中未分析60315!$A:$M,10,0)</f>
        <v>27</v>
      </c>
      <c r="E123" s="4">
        <f>VLOOKUP($A123,[1]中未分析60315!$A:$M,11,0)</f>
        <v>26</v>
      </c>
      <c r="F123" s="4">
        <f>VLOOKUP($A123,[1]中未分析60315!$A:$M,12,0)</f>
        <v>25</v>
      </c>
      <c r="G123" s="4">
        <f>VLOOKUP($A123,[1]中未分析60315!$A:$M,13,0)</f>
        <v>24</v>
      </c>
      <c r="H123" s="3" t="s">
        <v>10</v>
      </c>
      <c r="I123" s="3" t="s">
        <v>253</v>
      </c>
    </row>
    <row r="124" customHeight="1" spans="1:9">
      <c r="A124" s="4" t="s">
        <v>254</v>
      </c>
      <c r="B124" s="4">
        <f>VLOOKUP($A124,[1]中未分析60315!$A:$M,8,0)</f>
        <v>29</v>
      </c>
      <c r="C124" s="4">
        <f>VLOOKUP($A124,[1]中未分析60315!$A:$M,9,0)</f>
        <v>28</v>
      </c>
      <c r="D124" s="4">
        <f>VLOOKUP($A124,[1]中未分析60315!$A:$M,10,0)</f>
        <v>27</v>
      </c>
      <c r="E124" s="4">
        <f>VLOOKUP($A124,[1]中未分析60315!$A:$M,11,0)</f>
        <v>26</v>
      </c>
      <c r="F124" s="4">
        <f>VLOOKUP($A124,[1]中未分析60315!$A:$M,12,0)</f>
        <v>25</v>
      </c>
      <c r="G124" s="4">
        <f>VLOOKUP($A124,[1]中未分析60315!$A:$M,13,0)</f>
        <v>24</v>
      </c>
      <c r="H124" s="3" t="s">
        <v>10</v>
      </c>
      <c r="I124" s="3" t="s">
        <v>255</v>
      </c>
    </row>
    <row r="125" customHeight="1" spans="1:9">
      <c r="A125" s="4" t="s">
        <v>256</v>
      </c>
      <c r="B125" s="4">
        <f>VLOOKUP($A125,[1]中未分析60315!$A:$M,8,0)</f>
        <v>30</v>
      </c>
      <c r="C125" s="4">
        <f>VLOOKUP($A125,[1]中未分析60315!$A:$M,9,0)</f>
        <v>29</v>
      </c>
      <c r="D125" s="4">
        <f>VLOOKUP($A125,[1]中未分析60315!$A:$M,10,0)</f>
        <v>28</v>
      </c>
      <c r="E125" s="4">
        <f>VLOOKUP($A125,[1]中未分析60315!$A:$M,11,0)</f>
        <v>27</v>
      </c>
      <c r="F125" s="4">
        <f>VLOOKUP($A125,[1]中未分析60315!$A:$M,12,0)</f>
        <v>26</v>
      </c>
      <c r="G125" s="4">
        <f>VLOOKUP($A125,[1]中未分析60315!$A:$M,13,0)</f>
        <v>25</v>
      </c>
      <c r="H125" s="3" t="s">
        <v>10</v>
      </c>
      <c r="I125" s="3" t="s">
        <v>257</v>
      </c>
    </row>
    <row r="126" customHeight="1" spans="1:9">
      <c r="A126" s="4" t="s">
        <v>258</v>
      </c>
      <c r="B126" s="4">
        <f>VLOOKUP($A126,[1]中未分析60315!$A:$M,8,0)</f>
        <v>27</v>
      </c>
      <c r="C126" s="4">
        <f>VLOOKUP($A126,[1]中未分析60315!$A:$M,9,0)</f>
        <v>26</v>
      </c>
      <c r="D126" s="4">
        <f>VLOOKUP($A126,[1]中未分析60315!$A:$M,10,0)</f>
        <v>25</v>
      </c>
      <c r="E126" s="4">
        <f>VLOOKUP($A126,[1]中未分析60315!$A:$M,11,0)</f>
        <v>24</v>
      </c>
      <c r="F126" s="4">
        <f>VLOOKUP($A126,[1]中未分析60315!$A:$M,12,0)</f>
        <v>23</v>
      </c>
      <c r="G126" s="4">
        <f>VLOOKUP($A126,[1]中未分析60315!$A:$M,13,0)</f>
        <v>22</v>
      </c>
      <c r="H126" s="3" t="s">
        <v>10</v>
      </c>
      <c r="I126" s="3" t="s">
        <v>259</v>
      </c>
    </row>
    <row r="127" customHeight="1" spans="1:9">
      <c r="A127" s="4" t="s">
        <v>260</v>
      </c>
      <c r="B127" s="4">
        <f>VLOOKUP($A127,[1]中未分析60315!$A:$M,8,0)</f>
        <v>34</v>
      </c>
      <c r="C127" s="4">
        <f>VLOOKUP($A127,[1]中未分析60315!$A:$M,9,0)</f>
        <v>32</v>
      </c>
      <c r="D127" s="4">
        <f>VLOOKUP($A127,[1]中未分析60315!$A:$M,10,0)</f>
        <v>31</v>
      </c>
      <c r="E127" s="4">
        <f>VLOOKUP($A127,[1]中未分析60315!$A:$M,11,0)</f>
        <v>30</v>
      </c>
      <c r="F127" s="4">
        <f>VLOOKUP($A127,[1]中未分析60315!$A:$M,12,0)</f>
        <v>29</v>
      </c>
      <c r="G127" s="4">
        <f>VLOOKUP($A127,[1]中未分析60315!$A:$M,13,0)</f>
        <v>27</v>
      </c>
      <c r="H127" s="3" t="s">
        <v>10</v>
      </c>
      <c r="I127" s="3" t="s">
        <v>261</v>
      </c>
    </row>
    <row r="128" customHeight="1" spans="1:9">
      <c r="A128" s="4" t="s">
        <v>262</v>
      </c>
      <c r="B128" s="4">
        <f>VLOOKUP($A128,[1]中未分析60315!$A:$M,8,0)</f>
        <v>31</v>
      </c>
      <c r="C128" s="4">
        <f>VLOOKUP($A128,[1]中未分析60315!$A:$M,9,0)</f>
        <v>30</v>
      </c>
      <c r="D128" s="4">
        <f>VLOOKUP($A128,[1]中未分析60315!$A:$M,10,0)</f>
        <v>29</v>
      </c>
      <c r="E128" s="4">
        <f>VLOOKUP($A128,[1]中未分析60315!$A:$M,11,0)</f>
        <v>27</v>
      </c>
      <c r="F128" s="4">
        <f>VLOOKUP($A128,[1]中未分析60315!$A:$M,12,0)</f>
        <v>26</v>
      </c>
      <c r="G128" s="4">
        <f>VLOOKUP($A128,[1]中未分析60315!$A:$M,13,0)</f>
        <v>25</v>
      </c>
      <c r="H128" s="3" t="s">
        <v>10</v>
      </c>
      <c r="I128" s="3" t="s">
        <v>85</v>
      </c>
    </row>
    <row r="129" customHeight="1" spans="1:9">
      <c r="A129" s="4" t="s">
        <v>263</v>
      </c>
      <c r="B129" s="4">
        <f>VLOOKUP($A129,[1]中未分析60315!$A:$M,8,0)</f>
        <v>30</v>
      </c>
      <c r="C129" s="4">
        <f>VLOOKUP($A129,[1]中未分析60315!$A:$M,9,0)</f>
        <v>29</v>
      </c>
      <c r="D129" s="4">
        <f>VLOOKUP($A129,[1]中未分析60315!$A:$M,10,0)</f>
        <v>28</v>
      </c>
      <c r="E129" s="4">
        <f>VLOOKUP($A129,[1]中未分析60315!$A:$M,11,0)</f>
        <v>27</v>
      </c>
      <c r="F129" s="4">
        <f>VLOOKUP($A129,[1]中未分析60315!$A:$M,12,0)</f>
        <v>26</v>
      </c>
      <c r="G129" s="4">
        <f>VLOOKUP($A129,[1]中未分析60315!$A:$M,13,0)</f>
        <v>25</v>
      </c>
      <c r="H129" s="3" t="s">
        <v>10</v>
      </c>
      <c r="I129" s="3" t="s">
        <v>264</v>
      </c>
    </row>
    <row r="130" customHeight="1" spans="1:9">
      <c r="A130" s="4" t="s">
        <v>265</v>
      </c>
      <c r="B130" s="4">
        <f>VLOOKUP($A130,[1]中未分析60315!$A:$M,8,0)</f>
        <v>73</v>
      </c>
      <c r="C130" s="4">
        <f>VLOOKUP($A130,[1]中未分析60315!$A:$M,9,0)</f>
        <v>71</v>
      </c>
      <c r="D130" s="4">
        <f>VLOOKUP($A130,[1]中未分析60315!$A:$M,10,0)</f>
        <v>68</v>
      </c>
      <c r="E130" s="4">
        <f>VLOOKUP($A130,[1]中未分析60315!$A:$M,11,0)</f>
        <v>65</v>
      </c>
      <c r="F130" s="4">
        <f>VLOOKUP($A130,[1]中未分析60315!$A:$M,12,0)</f>
        <v>62</v>
      </c>
      <c r="G130" s="4">
        <f>VLOOKUP($A130,[1]中未分析60315!$A:$M,13,0)</f>
        <v>60</v>
      </c>
      <c r="H130" s="3" t="s">
        <v>10</v>
      </c>
      <c r="I130" s="3" t="s">
        <v>266</v>
      </c>
    </row>
    <row r="131" customHeight="1" spans="1:9">
      <c r="A131" s="4" t="s">
        <v>267</v>
      </c>
      <c r="B131" s="4">
        <f>VLOOKUP($A131,[1]中未分析60315!$A:$M,8,0)</f>
        <v>25</v>
      </c>
      <c r="C131" s="4">
        <f>VLOOKUP($A131,[1]中未分析60315!$A:$M,9,0)</f>
        <v>24</v>
      </c>
      <c r="D131" s="4">
        <f>VLOOKUP($A131,[1]中未分析60315!$A:$M,10,0)</f>
        <v>24</v>
      </c>
      <c r="E131" s="4">
        <f>VLOOKUP($A131,[1]中未分析60315!$A:$M,11,0)</f>
        <v>23</v>
      </c>
      <c r="F131" s="4">
        <f>VLOOKUP($A131,[1]中未分析60315!$A:$M,12,0)</f>
        <v>22</v>
      </c>
      <c r="G131" s="4">
        <f>VLOOKUP($A131,[1]中未分析60315!$A:$M,13,0)</f>
        <v>21</v>
      </c>
      <c r="H131" s="3" t="s">
        <v>10</v>
      </c>
      <c r="I131" s="3" t="s">
        <v>268</v>
      </c>
    </row>
    <row r="132" customHeight="1" spans="1:9">
      <c r="A132" s="4" t="s">
        <v>269</v>
      </c>
      <c r="B132" s="4">
        <f>VLOOKUP($A132,[1]中未分析60315!$A:$M,8,0)</f>
        <v>29</v>
      </c>
      <c r="C132" s="4">
        <f>VLOOKUP($A132,[1]中未分析60315!$A:$M,9,0)</f>
        <v>28</v>
      </c>
      <c r="D132" s="4">
        <f>VLOOKUP($A132,[1]中未分析60315!$A:$M,10,0)</f>
        <v>27</v>
      </c>
      <c r="E132" s="4">
        <f>VLOOKUP($A132,[1]中未分析60315!$A:$M,11,0)</f>
        <v>26</v>
      </c>
      <c r="F132" s="4">
        <f>VLOOKUP($A132,[1]中未分析60315!$A:$M,12,0)</f>
        <v>25</v>
      </c>
      <c r="G132" s="4">
        <f>VLOOKUP($A132,[1]中未分析60315!$A:$M,13,0)</f>
        <v>24</v>
      </c>
      <c r="H132" s="3" t="s">
        <v>10</v>
      </c>
      <c r="I132" s="3" t="s">
        <v>270</v>
      </c>
    </row>
    <row r="133" customHeight="1" spans="1:9">
      <c r="A133" s="4" t="s">
        <v>271</v>
      </c>
      <c r="B133" s="4">
        <f>VLOOKUP($A133,[1]中未分析60315!$A:$M,8,0)</f>
        <v>35</v>
      </c>
      <c r="C133" s="4">
        <f>VLOOKUP($A133,[1]中未分析60315!$A:$M,9,0)</f>
        <v>34</v>
      </c>
      <c r="D133" s="4">
        <f>VLOOKUP($A133,[1]中未分析60315!$A:$M,10,0)</f>
        <v>33</v>
      </c>
      <c r="E133" s="4">
        <f>VLOOKUP($A133,[1]中未分析60315!$A:$M,11,0)</f>
        <v>32</v>
      </c>
      <c r="F133" s="4">
        <f>VLOOKUP($A133,[1]中未分析60315!$A:$M,12,0)</f>
        <v>30</v>
      </c>
      <c r="G133" s="4">
        <f>VLOOKUP($A133,[1]中未分析60315!$A:$M,13,0)</f>
        <v>29</v>
      </c>
      <c r="H133" s="3" t="s">
        <v>10</v>
      </c>
      <c r="I133" s="3" t="s">
        <v>272</v>
      </c>
    </row>
    <row r="134" customHeight="1" spans="1:9">
      <c r="A134" s="4" t="s">
        <v>273</v>
      </c>
      <c r="B134" s="4">
        <f>VLOOKUP($A134,[1]中未分析60315!$A:$M,8,0)</f>
        <v>33</v>
      </c>
      <c r="C134" s="4">
        <f>VLOOKUP($A134,[1]中未分析60315!$A:$M,9,0)</f>
        <v>31</v>
      </c>
      <c r="D134" s="4">
        <f>VLOOKUP($A134,[1]中未分析60315!$A:$M,10,0)</f>
        <v>30</v>
      </c>
      <c r="E134" s="4">
        <f>VLOOKUP($A134,[1]中未分析60315!$A:$M,11,0)</f>
        <v>29</v>
      </c>
      <c r="F134" s="4">
        <f>VLOOKUP($A134,[1]中未分析60315!$A:$M,12,0)</f>
        <v>28</v>
      </c>
      <c r="G134" s="4">
        <f>VLOOKUP($A134,[1]中未分析60315!$A:$M,13,0)</f>
        <v>27</v>
      </c>
      <c r="H134" s="3" t="s">
        <v>10</v>
      </c>
      <c r="I134" s="3" t="s">
        <v>274</v>
      </c>
    </row>
    <row r="135" customHeight="1" spans="1:9">
      <c r="A135" s="4" t="s">
        <v>275</v>
      </c>
      <c r="B135" s="4">
        <f>VLOOKUP($A135,[1]中未分析60315!$A:$M,8,0)</f>
        <v>26</v>
      </c>
      <c r="C135" s="4">
        <f>VLOOKUP($A135,[1]中未分析60315!$A:$M,9,0)</f>
        <v>25</v>
      </c>
      <c r="D135" s="4">
        <f>VLOOKUP($A135,[1]中未分析60315!$A:$M,10,0)</f>
        <v>24</v>
      </c>
      <c r="E135" s="4">
        <f>VLOOKUP($A135,[1]中未分析60315!$A:$M,11,0)</f>
        <v>23</v>
      </c>
      <c r="F135" s="4">
        <f>VLOOKUP($A135,[1]中未分析60315!$A:$M,12,0)</f>
        <v>22</v>
      </c>
      <c r="G135" s="4">
        <f>VLOOKUP($A135,[1]中未分析60315!$A:$M,13,0)</f>
        <v>21</v>
      </c>
      <c r="H135" s="3" t="s">
        <v>10</v>
      </c>
      <c r="I135" s="3" t="s">
        <v>276</v>
      </c>
    </row>
    <row r="136" customHeight="1" spans="1:9">
      <c r="A136" s="4" t="s">
        <v>277</v>
      </c>
      <c r="B136" s="4">
        <f>VLOOKUP($A136,[1]中未分析60315!$A:$M,8,0)</f>
        <v>36</v>
      </c>
      <c r="C136" s="4">
        <f>VLOOKUP($A136,[1]中未分析60315!$A:$M,9,0)</f>
        <v>35</v>
      </c>
      <c r="D136" s="4">
        <f>VLOOKUP($A136,[1]中未分析60315!$A:$M,10,0)</f>
        <v>34</v>
      </c>
      <c r="E136" s="4">
        <f>VLOOKUP($A136,[1]中未分析60315!$A:$M,11,0)</f>
        <v>32</v>
      </c>
      <c r="F136" s="4">
        <f>VLOOKUP($A136,[1]中未分析60315!$A:$M,12,0)</f>
        <v>31</v>
      </c>
      <c r="G136" s="4">
        <f>VLOOKUP($A136,[1]中未分析60315!$A:$M,13,0)</f>
        <v>30</v>
      </c>
      <c r="H136" s="3" t="s">
        <v>10</v>
      </c>
      <c r="I136" s="3" t="s">
        <v>278</v>
      </c>
    </row>
    <row r="137" customHeight="1" spans="1:9">
      <c r="A137" s="4" t="s">
        <v>279</v>
      </c>
      <c r="B137" s="4">
        <f>VLOOKUP($A137,[1]中未分析60315!$A:$M,8,0)</f>
        <v>29</v>
      </c>
      <c r="C137" s="4">
        <f>VLOOKUP($A137,[1]中未分析60315!$A:$M,9,0)</f>
        <v>28</v>
      </c>
      <c r="D137" s="4">
        <f>VLOOKUP($A137,[1]中未分析60315!$A:$M,10,0)</f>
        <v>27</v>
      </c>
      <c r="E137" s="4">
        <f>VLOOKUP($A137,[1]中未分析60315!$A:$M,11,0)</f>
        <v>26</v>
      </c>
      <c r="F137" s="4">
        <f>VLOOKUP($A137,[1]中未分析60315!$A:$M,12,0)</f>
        <v>25</v>
      </c>
      <c r="G137" s="4">
        <f>VLOOKUP($A137,[1]中未分析60315!$A:$M,13,0)</f>
        <v>24</v>
      </c>
      <c r="H137" s="3" t="s">
        <v>10</v>
      </c>
      <c r="I137" s="3" t="s">
        <v>280</v>
      </c>
    </row>
    <row r="138" customHeight="1" spans="1:9">
      <c r="A138" s="4" t="s">
        <v>281</v>
      </c>
      <c r="B138" s="4">
        <f>VLOOKUP($A138,[1]中未分析60315!$A:$M,8,0)</f>
        <v>36</v>
      </c>
      <c r="C138" s="4">
        <f>VLOOKUP($A138,[1]中未分析60315!$A:$M,9,0)</f>
        <v>35</v>
      </c>
      <c r="D138" s="4">
        <f>VLOOKUP($A138,[1]中未分析60315!$A:$M,10,0)</f>
        <v>34</v>
      </c>
      <c r="E138" s="4">
        <f>VLOOKUP($A138,[1]中未分析60315!$A:$M,11,0)</f>
        <v>32</v>
      </c>
      <c r="F138" s="4">
        <f>VLOOKUP($A138,[1]中未分析60315!$A:$M,12,0)</f>
        <v>31</v>
      </c>
      <c r="G138" s="4">
        <f>VLOOKUP($A138,[1]中未分析60315!$A:$M,13,0)</f>
        <v>30</v>
      </c>
      <c r="H138" s="3" t="s">
        <v>10</v>
      </c>
      <c r="I138" s="3" t="s">
        <v>282</v>
      </c>
    </row>
    <row r="139" customHeight="1" spans="1:9">
      <c r="A139" s="4" t="s">
        <v>283</v>
      </c>
      <c r="B139" s="4">
        <f>VLOOKUP($A139,[1]中未分析60315!$A:$M,8,0)</f>
        <v>41</v>
      </c>
      <c r="C139" s="4">
        <f>VLOOKUP($A139,[1]中未分析60315!$A:$M,9,0)</f>
        <v>39</v>
      </c>
      <c r="D139" s="4">
        <f>VLOOKUP($A139,[1]中未分析60315!$A:$M,10,0)</f>
        <v>38</v>
      </c>
      <c r="E139" s="4">
        <f>VLOOKUP($A139,[1]中未分析60315!$A:$M,11,0)</f>
        <v>36</v>
      </c>
      <c r="F139" s="4">
        <f>VLOOKUP($A139,[1]中未分析60315!$A:$M,12,0)</f>
        <v>35</v>
      </c>
      <c r="G139" s="4">
        <f>VLOOKUP($A139,[1]中未分析60315!$A:$M,13,0)</f>
        <v>33</v>
      </c>
      <c r="H139" s="3" t="s">
        <v>10</v>
      </c>
      <c r="I139" s="3" t="s">
        <v>284</v>
      </c>
    </row>
    <row r="140" customHeight="1" spans="1:9">
      <c r="A140" s="4" t="s">
        <v>285</v>
      </c>
      <c r="B140" s="4">
        <f>VLOOKUP($A140,[1]中未分析60315!$A:$M,8,0)</f>
        <v>31</v>
      </c>
      <c r="C140" s="4">
        <f>VLOOKUP($A140,[1]中未分析60315!$A:$M,9,0)</f>
        <v>30</v>
      </c>
      <c r="D140" s="4">
        <f>VLOOKUP($A140,[1]中未分析60315!$A:$M,10,0)</f>
        <v>29</v>
      </c>
      <c r="E140" s="4">
        <f>VLOOKUP($A140,[1]中未分析60315!$A:$M,11,0)</f>
        <v>28</v>
      </c>
      <c r="F140" s="4">
        <f>VLOOKUP($A140,[1]中未分析60315!$A:$M,12,0)</f>
        <v>27</v>
      </c>
      <c r="G140" s="4">
        <f>VLOOKUP($A140,[1]中未分析60315!$A:$M,13,0)</f>
        <v>26</v>
      </c>
      <c r="H140" s="3" t="s">
        <v>10</v>
      </c>
      <c r="I140" s="3" t="s">
        <v>286</v>
      </c>
    </row>
    <row r="141" customHeight="1" spans="1:9">
      <c r="A141" s="4" t="s">
        <v>287</v>
      </c>
      <c r="B141" s="4">
        <f>VLOOKUP($A141,[1]中未分析60315!$A:$M,8,0)</f>
        <v>34</v>
      </c>
      <c r="C141" s="4">
        <f>VLOOKUP($A141,[1]中未分析60315!$A:$M,9,0)</f>
        <v>32</v>
      </c>
      <c r="D141" s="4">
        <f>VLOOKUP($A141,[1]中未分析60315!$A:$M,10,0)</f>
        <v>31</v>
      </c>
      <c r="E141" s="4">
        <f>VLOOKUP($A141,[1]中未分析60315!$A:$M,11,0)</f>
        <v>30</v>
      </c>
      <c r="F141" s="4">
        <f>VLOOKUP($A141,[1]中未分析60315!$A:$M,12,0)</f>
        <v>29</v>
      </c>
      <c r="G141" s="4">
        <f>VLOOKUP($A141,[1]中未分析60315!$A:$M,13,0)</f>
        <v>28</v>
      </c>
      <c r="H141" s="3" t="s">
        <v>10</v>
      </c>
      <c r="I141" s="3" t="s">
        <v>288</v>
      </c>
    </row>
    <row r="142" customHeight="1" spans="1:9">
      <c r="A142" s="4" t="s">
        <v>289</v>
      </c>
      <c r="B142" s="4">
        <f>VLOOKUP($A142,[1]中未分析60315!$A:$M,8,0)</f>
        <v>43</v>
      </c>
      <c r="C142" s="4">
        <f>VLOOKUP($A142,[1]中未分析60315!$A:$M,9,0)</f>
        <v>41</v>
      </c>
      <c r="D142" s="4">
        <f>VLOOKUP($A142,[1]中未分析60315!$A:$M,10,0)</f>
        <v>40</v>
      </c>
      <c r="E142" s="4">
        <f>VLOOKUP($A142,[1]中未分析60315!$A:$M,11,0)</f>
        <v>38</v>
      </c>
      <c r="F142" s="4">
        <f>VLOOKUP($A142,[1]中未分析60315!$A:$M,12,0)</f>
        <v>36</v>
      </c>
      <c r="G142" s="4">
        <f>VLOOKUP($A142,[1]中未分析60315!$A:$M,13,0)</f>
        <v>35</v>
      </c>
      <c r="H142" s="3" t="s">
        <v>10</v>
      </c>
      <c r="I142" s="3" t="s">
        <v>290</v>
      </c>
    </row>
    <row r="143" customHeight="1" spans="1:9">
      <c r="A143" s="4" t="s">
        <v>291</v>
      </c>
      <c r="B143" s="4">
        <f>VLOOKUP($A143,[1]中未分析60315!$A:$M,8,0)</f>
        <v>35</v>
      </c>
      <c r="C143" s="4">
        <f>VLOOKUP($A143,[1]中未分析60315!$A:$M,9,0)</f>
        <v>33</v>
      </c>
      <c r="D143" s="4">
        <f>VLOOKUP($A143,[1]中未分析60315!$A:$M,10,0)</f>
        <v>32</v>
      </c>
      <c r="E143" s="4">
        <f>VLOOKUP($A143,[1]中未分析60315!$A:$M,11,0)</f>
        <v>31</v>
      </c>
      <c r="F143" s="4">
        <f>VLOOKUP($A143,[1]中未分析60315!$A:$M,12,0)</f>
        <v>30</v>
      </c>
      <c r="G143" s="4">
        <f>VLOOKUP($A143,[1]中未分析60315!$A:$M,13,0)</f>
        <v>28</v>
      </c>
      <c r="H143" s="3" t="s">
        <v>10</v>
      </c>
      <c r="I143" s="3" t="s">
        <v>292</v>
      </c>
    </row>
    <row r="144" customHeight="1" spans="1:9">
      <c r="A144" s="4" t="s">
        <v>293</v>
      </c>
      <c r="B144" s="4">
        <f>VLOOKUP($A144,[1]中未分析60315!$A:$M,8,0)</f>
        <v>41</v>
      </c>
      <c r="C144" s="4">
        <f>VLOOKUP($A144,[1]中未分析60315!$A:$M,9,0)</f>
        <v>39</v>
      </c>
      <c r="D144" s="4">
        <f>VLOOKUP($A144,[1]中未分析60315!$A:$M,10,0)</f>
        <v>38</v>
      </c>
      <c r="E144" s="4">
        <f>VLOOKUP($A144,[1]中未分析60315!$A:$M,11,0)</f>
        <v>36</v>
      </c>
      <c r="F144" s="4">
        <f>VLOOKUP($A144,[1]中未分析60315!$A:$M,12,0)</f>
        <v>35</v>
      </c>
      <c r="G144" s="4">
        <f>VLOOKUP($A144,[1]中未分析60315!$A:$M,13,0)</f>
        <v>33</v>
      </c>
      <c r="H144" s="3" t="s">
        <v>10</v>
      </c>
      <c r="I144" s="3" t="s">
        <v>294</v>
      </c>
    </row>
    <row r="145" customHeight="1" spans="1:9">
      <c r="A145" s="4" t="s">
        <v>295</v>
      </c>
      <c r="B145" s="4">
        <f>VLOOKUP($A145,[1]中未分析60315!$A:$M,8,0)</f>
        <v>61</v>
      </c>
      <c r="C145" s="4">
        <f>VLOOKUP($A145,[1]中未分析60315!$A:$M,9,0)</f>
        <v>60</v>
      </c>
      <c r="D145" s="4">
        <f>VLOOKUP($A145,[1]中未分析60315!$A:$M,10,0)</f>
        <v>59</v>
      </c>
      <c r="E145" s="4">
        <f>VLOOKUP($A145,[1]中未分析60315!$A:$M,11,0)</f>
        <v>58</v>
      </c>
      <c r="F145" s="4">
        <f>VLOOKUP($A145,[1]中未分析60315!$A:$M,12,0)</f>
        <v>57</v>
      </c>
      <c r="G145" s="4">
        <f>VLOOKUP($A145,[1]中未分析60315!$A:$M,13,0)</f>
        <v>56</v>
      </c>
      <c r="H145" s="3" t="s">
        <v>39</v>
      </c>
      <c r="I145" s="3" t="s">
        <v>296</v>
      </c>
    </row>
    <row r="146" customHeight="1" spans="1:9">
      <c r="A146" s="4" t="s">
        <v>297</v>
      </c>
      <c r="B146" s="4">
        <f>VLOOKUP($A146,[1]中未分析60315!$A:$M,8,0)</f>
        <v>50</v>
      </c>
      <c r="C146" s="4">
        <f>VLOOKUP($A146,[1]中未分析60315!$A:$M,9,0)</f>
        <v>48</v>
      </c>
      <c r="D146" s="4">
        <f>VLOOKUP($A146,[1]中未分析60315!$A:$M,10,0)</f>
        <v>46</v>
      </c>
      <c r="E146" s="4">
        <f>VLOOKUP($A146,[1]中未分析60315!$A:$M,11,0)</f>
        <v>44</v>
      </c>
      <c r="F146" s="4">
        <f>VLOOKUP($A146,[1]中未分析60315!$A:$M,12,0)</f>
        <v>42</v>
      </c>
      <c r="G146" s="4">
        <f>VLOOKUP($A146,[1]中未分析60315!$A:$M,13,0)</f>
        <v>41</v>
      </c>
      <c r="H146" s="3" t="s">
        <v>10</v>
      </c>
      <c r="I146" s="3" t="s">
        <v>298</v>
      </c>
    </row>
    <row r="147" customHeight="1" spans="1:9">
      <c r="A147" s="4" t="s">
        <v>299</v>
      </c>
      <c r="B147" s="4">
        <f>VLOOKUP($A147,[1]中未分析60315!$A:$M,8,0)</f>
        <v>31</v>
      </c>
      <c r="C147" s="4">
        <f>VLOOKUP($A147,[1]中未分析60315!$A:$M,9,0)</f>
        <v>30</v>
      </c>
      <c r="D147" s="4">
        <f>VLOOKUP($A147,[1]中未分析60315!$A:$M,10,0)</f>
        <v>29</v>
      </c>
      <c r="E147" s="4">
        <f>VLOOKUP($A147,[1]中未分析60315!$A:$M,11,0)</f>
        <v>28</v>
      </c>
      <c r="F147" s="4">
        <f>VLOOKUP($A147,[1]中未分析60315!$A:$M,12,0)</f>
        <v>27</v>
      </c>
      <c r="G147" s="4">
        <f>VLOOKUP($A147,[1]中未分析60315!$A:$M,13,0)</f>
        <v>26</v>
      </c>
      <c r="H147" s="3" t="s">
        <v>10</v>
      </c>
      <c r="I147" s="3" t="s">
        <v>300</v>
      </c>
    </row>
    <row r="148" customHeight="1" spans="1:9">
      <c r="A148" s="4" t="s">
        <v>301</v>
      </c>
      <c r="B148" s="4">
        <f>VLOOKUP($A148,[1]中未分析60315!$A:$M,8,0)</f>
        <v>31</v>
      </c>
      <c r="C148" s="4">
        <f>VLOOKUP($A148,[1]中未分析60315!$A:$M,9,0)</f>
        <v>30</v>
      </c>
      <c r="D148" s="4">
        <f>VLOOKUP($A148,[1]中未分析60315!$A:$M,10,0)</f>
        <v>29</v>
      </c>
      <c r="E148" s="4">
        <f>VLOOKUP($A148,[1]中未分析60315!$A:$M,11,0)</f>
        <v>28</v>
      </c>
      <c r="F148" s="4">
        <f>VLOOKUP($A148,[1]中未分析60315!$A:$M,12,0)</f>
        <v>27</v>
      </c>
      <c r="G148" s="4">
        <f>VLOOKUP($A148,[1]中未分析60315!$A:$M,13,0)</f>
        <v>26</v>
      </c>
      <c r="H148" s="3" t="s">
        <v>10</v>
      </c>
      <c r="I148" s="3" t="s">
        <v>302</v>
      </c>
    </row>
    <row r="149" customHeight="1" spans="1:9">
      <c r="A149" s="4" t="s">
        <v>303</v>
      </c>
      <c r="B149" s="4">
        <f>VLOOKUP($A149,[1]中未分析60315!$A:$M,8,0)</f>
        <v>42</v>
      </c>
      <c r="C149" s="4">
        <f>VLOOKUP($A149,[1]中未分析60315!$A:$M,9,0)</f>
        <v>40</v>
      </c>
      <c r="D149" s="4">
        <f>VLOOKUP($A149,[1]中未分析60315!$A:$M,10,0)</f>
        <v>39</v>
      </c>
      <c r="E149" s="4">
        <f>VLOOKUP($A149,[1]中未分析60315!$A:$M,11,0)</f>
        <v>37</v>
      </c>
      <c r="F149" s="4">
        <f>VLOOKUP($A149,[1]中未分析60315!$A:$M,12,0)</f>
        <v>36</v>
      </c>
      <c r="G149" s="4">
        <f>VLOOKUP($A149,[1]中未分析60315!$A:$M,13,0)</f>
        <v>34</v>
      </c>
      <c r="H149" s="3" t="s">
        <v>10</v>
      </c>
      <c r="I149" s="3" t="s">
        <v>304</v>
      </c>
    </row>
    <row r="150" customHeight="1" spans="1:9">
      <c r="A150" s="4" t="s">
        <v>305</v>
      </c>
      <c r="B150" s="4">
        <f>VLOOKUP($A150,[1]中未分析60315!$A:$M,8,0)</f>
        <v>24</v>
      </c>
      <c r="C150" s="4">
        <f>VLOOKUP($A150,[1]中未分析60315!$A:$M,9,0)</f>
        <v>23</v>
      </c>
      <c r="D150" s="4">
        <f>VLOOKUP($A150,[1]中未分析60315!$A:$M,10,0)</f>
        <v>22</v>
      </c>
      <c r="E150" s="4">
        <f>VLOOKUP($A150,[1]中未分析60315!$A:$M,11,0)</f>
        <v>22</v>
      </c>
      <c r="F150" s="4">
        <f>VLOOKUP($A150,[1]中未分析60315!$A:$M,12,0)</f>
        <v>21</v>
      </c>
      <c r="G150" s="4">
        <f>VLOOKUP($A150,[1]中未分析60315!$A:$M,13,0)</f>
        <v>20</v>
      </c>
      <c r="H150" s="3" t="s">
        <v>10</v>
      </c>
      <c r="I150" s="3" t="s">
        <v>306</v>
      </c>
    </row>
    <row r="151" customHeight="1" spans="1:9">
      <c r="A151" s="4" t="s">
        <v>307</v>
      </c>
      <c r="B151" s="4">
        <f>VLOOKUP($A151,[1]中未分析60315!$A:$M,8,0)</f>
        <v>30</v>
      </c>
      <c r="C151" s="4">
        <f>VLOOKUP($A151,[1]中未分析60315!$A:$M,9,0)</f>
        <v>29</v>
      </c>
      <c r="D151" s="4">
        <f>VLOOKUP($A151,[1]中未分析60315!$A:$M,10,0)</f>
        <v>28</v>
      </c>
      <c r="E151" s="4">
        <f>VLOOKUP($A151,[1]中未分析60315!$A:$M,11,0)</f>
        <v>27</v>
      </c>
      <c r="F151" s="4">
        <f>VLOOKUP($A151,[1]中未分析60315!$A:$M,12,0)</f>
        <v>26</v>
      </c>
      <c r="G151" s="4">
        <f>VLOOKUP($A151,[1]中未分析60315!$A:$M,13,0)</f>
        <v>24</v>
      </c>
      <c r="H151" s="3" t="s">
        <v>10</v>
      </c>
      <c r="I151" s="3" t="s">
        <v>308</v>
      </c>
    </row>
    <row r="152" customHeight="1" spans="1:9">
      <c r="A152" s="4" t="s">
        <v>309</v>
      </c>
      <c r="B152" s="4">
        <f>VLOOKUP($A152,[1]中未分析60315!$A:$M,8,0)</f>
        <v>44</v>
      </c>
      <c r="C152" s="4">
        <f>VLOOKUP($A152,[1]中未分析60315!$A:$M,9,0)</f>
        <v>42</v>
      </c>
      <c r="D152" s="4">
        <f>VLOOKUP($A152,[1]中未分析60315!$A:$M,10,0)</f>
        <v>41</v>
      </c>
      <c r="E152" s="4">
        <f>VLOOKUP($A152,[1]中未分析60315!$A:$M,11,0)</f>
        <v>39</v>
      </c>
      <c r="F152" s="4">
        <f>VLOOKUP($A152,[1]中未分析60315!$A:$M,12,0)</f>
        <v>38</v>
      </c>
      <c r="G152" s="4">
        <f>VLOOKUP($A152,[1]中未分析60315!$A:$M,13,0)</f>
        <v>36</v>
      </c>
      <c r="H152" s="3" t="s">
        <v>10</v>
      </c>
      <c r="I152" s="3" t="s">
        <v>310</v>
      </c>
    </row>
    <row r="153" customHeight="1" spans="1:9">
      <c r="A153" s="4" t="s">
        <v>311</v>
      </c>
      <c r="B153" s="4">
        <f>VLOOKUP($A153,[1]中未分析60315!$A:$M,8,0)</f>
        <v>29</v>
      </c>
      <c r="C153" s="4">
        <f>VLOOKUP($A153,[1]中未分析60315!$A:$M,9,0)</f>
        <v>28</v>
      </c>
      <c r="D153" s="4">
        <f>VLOOKUP($A153,[1]中未分析60315!$A:$M,10,0)</f>
        <v>27</v>
      </c>
      <c r="E153" s="4">
        <f>VLOOKUP($A153,[1]中未分析60315!$A:$M,11,0)</f>
        <v>26</v>
      </c>
      <c r="F153" s="4">
        <f>VLOOKUP($A153,[1]中未分析60315!$A:$M,12,0)</f>
        <v>25</v>
      </c>
      <c r="G153" s="4">
        <f>VLOOKUP($A153,[1]中未分析60315!$A:$M,13,0)</f>
        <v>24</v>
      </c>
      <c r="H153" s="3" t="s">
        <v>10</v>
      </c>
      <c r="I153" s="3" t="s">
        <v>312</v>
      </c>
    </row>
    <row r="154" customHeight="1" spans="1:9">
      <c r="A154" s="4" t="s">
        <v>313</v>
      </c>
      <c r="B154" s="4">
        <f>VLOOKUP($A154,[1]中未分析60315!$A:$M,8,0)</f>
        <v>29</v>
      </c>
      <c r="C154" s="4">
        <f>VLOOKUP($A154,[1]中未分析60315!$A:$M,9,0)</f>
        <v>28</v>
      </c>
      <c r="D154" s="4">
        <f>VLOOKUP($A154,[1]中未分析60315!$A:$M,10,0)</f>
        <v>27</v>
      </c>
      <c r="E154" s="4">
        <f>VLOOKUP($A154,[1]中未分析60315!$A:$M,11,0)</f>
        <v>26</v>
      </c>
      <c r="F154" s="4">
        <f>VLOOKUP($A154,[1]中未分析60315!$A:$M,12,0)</f>
        <v>25</v>
      </c>
      <c r="G154" s="4">
        <f>VLOOKUP($A154,[1]中未分析60315!$A:$M,13,0)</f>
        <v>24</v>
      </c>
      <c r="H154" s="3" t="s">
        <v>10</v>
      </c>
      <c r="I154" s="3" t="s">
        <v>314</v>
      </c>
    </row>
    <row r="155" customHeight="1" spans="1:9">
      <c r="A155" s="4" t="s">
        <v>315</v>
      </c>
      <c r="B155" s="4">
        <f>VLOOKUP($A155,[1]中未分析60315!$A:$M,8,0)</f>
        <v>49</v>
      </c>
      <c r="C155" s="4">
        <f>VLOOKUP($A155,[1]中未分析60315!$A:$M,9,0)</f>
        <v>47</v>
      </c>
      <c r="D155" s="4">
        <f>VLOOKUP($A155,[1]中未分析60315!$A:$M,10,0)</f>
        <v>45</v>
      </c>
      <c r="E155" s="4">
        <f>VLOOKUP($A155,[1]中未分析60315!$A:$M,11,0)</f>
        <v>44</v>
      </c>
      <c r="F155" s="4">
        <f>VLOOKUP($A155,[1]中未分析60315!$A:$M,12,0)</f>
        <v>42</v>
      </c>
      <c r="G155" s="4">
        <f>VLOOKUP($A155,[1]中未分析60315!$A:$M,13,0)</f>
        <v>40</v>
      </c>
      <c r="H155" s="3" t="s">
        <v>10</v>
      </c>
      <c r="I155" s="3" t="s">
        <v>316</v>
      </c>
    </row>
    <row r="156" customHeight="1" spans="1:9">
      <c r="A156" s="4" t="s">
        <v>317</v>
      </c>
      <c r="B156" s="4">
        <f>VLOOKUP($A156,[1]中未分析60315!$A:$M,8,0)</f>
        <v>34</v>
      </c>
      <c r="C156" s="4">
        <f>VLOOKUP($A156,[1]中未分析60315!$A:$M,9,0)</f>
        <v>33</v>
      </c>
      <c r="D156" s="4">
        <f>VLOOKUP($A156,[1]中未分析60315!$A:$M,10,0)</f>
        <v>31</v>
      </c>
      <c r="E156" s="4">
        <f>VLOOKUP($A156,[1]中未分析60315!$A:$M,11,0)</f>
        <v>30</v>
      </c>
      <c r="F156" s="4">
        <f>VLOOKUP($A156,[1]中未分析60315!$A:$M,12,0)</f>
        <v>29</v>
      </c>
      <c r="G156" s="4">
        <f>VLOOKUP($A156,[1]中未分析60315!$A:$M,13,0)</f>
        <v>28</v>
      </c>
      <c r="H156" s="3" t="s">
        <v>10</v>
      </c>
      <c r="I156" s="3" t="s">
        <v>318</v>
      </c>
    </row>
    <row r="157" customHeight="1" spans="1:9">
      <c r="A157" s="4" t="s">
        <v>319</v>
      </c>
      <c r="B157" s="4">
        <f>VLOOKUP($A157,[1]中未分析60315!$A:$M,8,0)</f>
        <v>27</v>
      </c>
      <c r="C157" s="4">
        <f>VLOOKUP($A157,[1]中未分析60315!$A:$M,9,0)</f>
        <v>26</v>
      </c>
      <c r="D157" s="4">
        <f>VLOOKUP($A157,[1]中未分析60315!$A:$M,10,0)</f>
        <v>25</v>
      </c>
      <c r="E157" s="4">
        <f>VLOOKUP($A157,[1]中未分析60315!$A:$M,11,0)</f>
        <v>24</v>
      </c>
      <c r="F157" s="4">
        <f>VLOOKUP($A157,[1]中未分析60315!$A:$M,12,0)</f>
        <v>23</v>
      </c>
      <c r="G157" s="4">
        <f>VLOOKUP($A157,[1]中未分析60315!$A:$M,13,0)</f>
        <v>22</v>
      </c>
      <c r="H157" s="3" t="s">
        <v>10</v>
      </c>
      <c r="I157" s="3" t="s">
        <v>320</v>
      </c>
    </row>
    <row r="158" customHeight="1" spans="1:9">
      <c r="A158" s="4" t="s">
        <v>321</v>
      </c>
      <c r="B158" s="4">
        <f>VLOOKUP($A158,[1]中未分析60315!$A:$M,8,0)</f>
        <v>45</v>
      </c>
      <c r="C158" s="4">
        <f>VLOOKUP($A158,[1]中未分析60315!$A:$M,9,0)</f>
        <v>44</v>
      </c>
      <c r="D158" s="4">
        <f>VLOOKUP($A158,[1]中未分析60315!$A:$M,10,0)</f>
        <v>42</v>
      </c>
      <c r="E158" s="4">
        <f>VLOOKUP($A158,[1]中未分析60315!$A:$M,11,0)</f>
        <v>40</v>
      </c>
      <c r="F158" s="4">
        <f>VLOOKUP($A158,[1]中未分析60315!$A:$M,12,0)</f>
        <v>39</v>
      </c>
      <c r="G158" s="4">
        <f>VLOOKUP($A158,[1]中未分析60315!$A:$M,13,0)</f>
        <v>37</v>
      </c>
      <c r="H158" s="3" t="s">
        <v>10</v>
      </c>
      <c r="I158" s="3" t="s">
        <v>322</v>
      </c>
    </row>
    <row r="159" customHeight="1" spans="1:9">
      <c r="A159" s="4" t="s">
        <v>323</v>
      </c>
      <c r="B159" s="4">
        <f>VLOOKUP($A159,[1]中未分析60315!$A:$M,8,0)</f>
        <v>40</v>
      </c>
      <c r="C159" s="4">
        <f>VLOOKUP($A159,[1]中未分析60315!$A:$M,9,0)</f>
        <v>39</v>
      </c>
      <c r="D159" s="4">
        <f>VLOOKUP($A159,[1]中未分析60315!$A:$M,10,0)</f>
        <v>37</v>
      </c>
      <c r="E159" s="4">
        <f>VLOOKUP($A159,[1]中未分析60315!$A:$M,11,0)</f>
        <v>36</v>
      </c>
      <c r="F159" s="4">
        <f>VLOOKUP($A159,[1]中未分析60315!$A:$M,12,0)</f>
        <v>35</v>
      </c>
      <c r="G159" s="4">
        <f>VLOOKUP($A159,[1]中未分析60315!$A:$M,13,0)</f>
        <v>33</v>
      </c>
      <c r="H159" s="3" t="s">
        <v>10</v>
      </c>
      <c r="I159" s="3" t="s">
        <v>324</v>
      </c>
    </row>
    <row r="160" customHeight="1" spans="1:9">
      <c r="A160" s="4" t="s">
        <v>325</v>
      </c>
      <c r="B160" s="4">
        <f>VLOOKUP($A160,[1]中未分析60315!$A:$M,8,0)</f>
        <v>42</v>
      </c>
      <c r="C160" s="4">
        <f>VLOOKUP($A160,[1]中未分析60315!$A:$M,9,0)</f>
        <v>40</v>
      </c>
      <c r="D160" s="4">
        <f>VLOOKUP($A160,[1]中未分析60315!$A:$M,10,0)</f>
        <v>39</v>
      </c>
      <c r="E160" s="4">
        <f>VLOOKUP($A160,[1]中未分析60315!$A:$M,11,0)</f>
        <v>37</v>
      </c>
      <c r="F160" s="4">
        <f>VLOOKUP($A160,[1]中未分析60315!$A:$M,12,0)</f>
        <v>36</v>
      </c>
      <c r="G160" s="4">
        <f>VLOOKUP($A160,[1]中未分析60315!$A:$M,13,0)</f>
        <v>34</v>
      </c>
      <c r="H160" s="3" t="s">
        <v>10</v>
      </c>
      <c r="I160" s="3" t="s">
        <v>326</v>
      </c>
    </row>
    <row r="161" customHeight="1" spans="1:9">
      <c r="A161" s="4" t="s">
        <v>327</v>
      </c>
      <c r="B161" s="4">
        <f>VLOOKUP($A161,[1]中未分析60315!$A:$M,8,0)</f>
        <v>76</v>
      </c>
      <c r="C161" s="4">
        <f>VLOOKUP($A161,[1]中未分析60315!$A:$M,9,0)</f>
        <v>74</v>
      </c>
      <c r="D161" s="4">
        <f>VLOOKUP($A161,[1]中未分析60315!$A:$M,10,0)</f>
        <v>73</v>
      </c>
      <c r="E161" s="4">
        <f>VLOOKUP($A161,[1]中未分析60315!$A:$M,11,0)</f>
        <v>72</v>
      </c>
      <c r="F161" s="4">
        <f>VLOOKUP($A161,[1]中未分析60315!$A:$M,12,0)</f>
        <v>71</v>
      </c>
      <c r="G161" s="4">
        <f>VLOOKUP($A161,[1]中未分析60315!$A:$M,13,0)</f>
        <v>70</v>
      </c>
      <c r="H161" s="3" t="s">
        <v>39</v>
      </c>
      <c r="I161" s="3" t="s">
        <v>328</v>
      </c>
    </row>
    <row r="162" customHeight="1" spans="1:9">
      <c r="A162" s="4" t="s">
        <v>329</v>
      </c>
      <c r="B162" s="4">
        <f>VLOOKUP($A162,[1]中未分析60315!$A:$M,8,0)</f>
        <v>45</v>
      </c>
      <c r="C162" s="4">
        <f>VLOOKUP($A162,[1]中未分析60315!$A:$M,9,0)</f>
        <v>43</v>
      </c>
      <c r="D162" s="4">
        <f>VLOOKUP($A162,[1]中未分析60315!$A:$M,10,0)</f>
        <v>41</v>
      </c>
      <c r="E162" s="4">
        <f>VLOOKUP($A162,[1]中未分析60315!$A:$M,11,0)</f>
        <v>40</v>
      </c>
      <c r="F162" s="4">
        <f>VLOOKUP($A162,[1]中未分析60315!$A:$M,12,0)</f>
        <v>38</v>
      </c>
      <c r="G162" s="4">
        <f>VLOOKUP($A162,[1]中未分析60315!$A:$M,13,0)</f>
        <v>37</v>
      </c>
      <c r="H162" s="3" t="s">
        <v>10</v>
      </c>
      <c r="I162" s="3" t="s">
        <v>330</v>
      </c>
    </row>
    <row r="163" customHeight="1" spans="1:9">
      <c r="A163" s="4" t="s">
        <v>331</v>
      </c>
      <c r="B163" s="4">
        <f>VLOOKUP($A163,[1]中未分析60315!$A:$M,8,0)</f>
        <v>29</v>
      </c>
      <c r="C163" s="4">
        <f>VLOOKUP($A163,[1]中未分析60315!$A:$M,9,0)</f>
        <v>28</v>
      </c>
      <c r="D163" s="4">
        <f>VLOOKUP($A163,[1]中未分析60315!$A:$M,10,0)</f>
        <v>27</v>
      </c>
      <c r="E163" s="4">
        <f>VLOOKUP($A163,[1]中未分析60315!$A:$M,11,0)</f>
        <v>26</v>
      </c>
      <c r="F163" s="4">
        <f>VLOOKUP($A163,[1]中未分析60315!$A:$M,12,0)</f>
        <v>24</v>
      </c>
      <c r="G163" s="4">
        <f>VLOOKUP($A163,[1]中未分析60315!$A:$M,13,0)</f>
        <v>23</v>
      </c>
      <c r="H163" s="3" t="s">
        <v>10</v>
      </c>
      <c r="I163" s="3" t="s">
        <v>332</v>
      </c>
    </row>
    <row r="164" customHeight="1" spans="1:9">
      <c r="A164" s="4" t="s">
        <v>333</v>
      </c>
      <c r="B164" s="4">
        <f>VLOOKUP($A164,[1]中未分析60315!$A:$M,8,0)</f>
        <v>45</v>
      </c>
      <c r="C164" s="4">
        <f>VLOOKUP($A164,[1]中未分析60315!$A:$M,9,0)</f>
        <v>43</v>
      </c>
      <c r="D164" s="4">
        <f>VLOOKUP($A164,[1]中未分析60315!$A:$M,10,0)</f>
        <v>42</v>
      </c>
      <c r="E164" s="4">
        <f>VLOOKUP($A164,[1]中未分析60315!$A:$M,11,0)</f>
        <v>40</v>
      </c>
      <c r="F164" s="4">
        <f>VLOOKUP($A164,[1]中未分析60315!$A:$M,12,0)</f>
        <v>39</v>
      </c>
      <c r="G164" s="4">
        <f>VLOOKUP($A164,[1]中未分析60315!$A:$M,13,0)</f>
        <v>37</v>
      </c>
      <c r="H164" s="3" t="s">
        <v>10</v>
      </c>
      <c r="I164" s="3" t="s">
        <v>334</v>
      </c>
    </row>
    <row r="165" customHeight="1" spans="1:9">
      <c r="A165" s="4" t="s">
        <v>335</v>
      </c>
      <c r="B165" s="4">
        <f>VLOOKUP($A165,[1]中未分析60315!$A:$M,8,0)</f>
        <v>55</v>
      </c>
      <c r="C165" s="4">
        <f>VLOOKUP($A165,[1]中未分析60315!$A:$M,9,0)</f>
        <v>53</v>
      </c>
      <c r="D165" s="4">
        <f>VLOOKUP($A165,[1]中未分析60315!$A:$M,10,0)</f>
        <v>51</v>
      </c>
      <c r="E165" s="4">
        <f>VLOOKUP($A165,[1]中未分析60315!$A:$M,11,0)</f>
        <v>49</v>
      </c>
      <c r="F165" s="4">
        <f>VLOOKUP($A165,[1]中未分析60315!$A:$M,12,0)</f>
        <v>47</v>
      </c>
      <c r="G165" s="4">
        <f>VLOOKUP($A165,[1]中未分析60315!$A:$M,13,0)</f>
        <v>45</v>
      </c>
      <c r="H165" s="3" t="s">
        <v>10</v>
      </c>
      <c r="I165" s="3" t="s">
        <v>336</v>
      </c>
    </row>
    <row r="166" customHeight="1" spans="1:9">
      <c r="A166" s="4" t="s">
        <v>337</v>
      </c>
      <c r="B166" s="4">
        <f>VLOOKUP($A166,[1]中未分析60315!$A:$M,8,0)</f>
        <v>41</v>
      </c>
      <c r="C166" s="4">
        <f>VLOOKUP($A166,[1]中未分析60315!$A:$M,9,0)</f>
        <v>39</v>
      </c>
      <c r="D166" s="4">
        <f>VLOOKUP($A166,[1]中未分析60315!$A:$M,10,0)</f>
        <v>38</v>
      </c>
      <c r="E166" s="4">
        <f>VLOOKUP($A166,[1]中未分析60315!$A:$M,11,0)</f>
        <v>36</v>
      </c>
      <c r="F166" s="4">
        <f>VLOOKUP($A166,[1]中未分析60315!$A:$M,12,0)</f>
        <v>35</v>
      </c>
      <c r="G166" s="4">
        <f>VLOOKUP($A166,[1]中未分析60315!$A:$M,13,0)</f>
        <v>33</v>
      </c>
      <c r="H166" s="3" t="s">
        <v>10</v>
      </c>
      <c r="I166" s="3" t="s">
        <v>338</v>
      </c>
    </row>
    <row r="167" customHeight="1" spans="1:9">
      <c r="A167" s="4" t="s">
        <v>339</v>
      </c>
      <c r="B167" s="4">
        <f>VLOOKUP($A167,[1]中未分析60315!$A:$M,8,0)</f>
        <v>28</v>
      </c>
      <c r="C167" s="4">
        <f>VLOOKUP($A167,[1]中未分析60315!$A:$M,9,0)</f>
        <v>27</v>
      </c>
      <c r="D167" s="4">
        <f>VLOOKUP($A167,[1]中未分析60315!$A:$M,10,0)</f>
        <v>26</v>
      </c>
      <c r="E167" s="4">
        <f>VLOOKUP($A167,[1]中未分析60315!$A:$M,11,0)</f>
        <v>25</v>
      </c>
      <c r="F167" s="4">
        <f>VLOOKUP($A167,[1]中未分析60315!$A:$M,12,0)</f>
        <v>24</v>
      </c>
      <c r="G167" s="4">
        <f>VLOOKUP($A167,[1]中未分析60315!$A:$M,13,0)</f>
        <v>23</v>
      </c>
      <c r="H167" s="3" t="s">
        <v>10</v>
      </c>
      <c r="I167" s="3" t="s">
        <v>340</v>
      </c>
    </row>
    <row r="168" customHeight="1" spans="1:9">
      <c r="A168" s="4" t="s">
        <v>341</v>
      </c>
      <c r="B168" s="4">
        <f>VLOOKUP($A168,[1]中未分析60315!$A:$M,8,0)</f>
        <v>36</v>
      </c>
      <c r="C168" s="4">
        <f>VLOOKUP($A168,[1]中未分析60315!$A:$M,9,0)</f>
        <v>34</v>
      </c>
      <c r="D168" s="4">
        <f>VLOOKUP($A168,[1]中未分析60315!$A:$M,10,0)</f>
        <v>33</v>
      </c>
      <c r="E168" s="4">
        <f>VLOOKUP($A168,[1]中未分析60315!$A:$M,11,0)</f>
        <v>32</v>
      </c>
      <c r="F168" s="4">
        <f>VLOOKUP($A168,[1]中未分析60315!$A:$M,12,0)</f>
        <v>30</v>
      </c>
      <c r="G168" s="4">
        <f>VLOOKUP($A168,[1]中未分析60315!$A:$M,13,0)</f>
        <v>29</v>
      </c>
      <c r="H168" s="3" t="s">
        <v>10</v>
      </c>
      <c r="I168" s="3" t="s">
        <v>342</v>
      </c>
    </row>
    <row r="169" customHeight="1" spans="1:9">
      <c r="A169" s="4" t="s">
        <v>343</v>
      </c>
      <c r="B169" s="4">
        <f>VLOOKUP($A169,[1]中未分析60315!$A:$M,8,0)</f>
        <v>57</v>
      </c>
      <c r="C169" s="4">
        <f>VLOOKUP($A169,[1]中未分析60315!$A:$M,9,0)</f>
        <v>56</v>
      </c>
      <c r="D169" s="4">
        <f>VLOOKUP($A169,[1]中未分析60315!$A:$M,10,0)</f>
        <v>55</v>
      </c>
      <c r="E169" s="4">
        <f>VLOOKUP($A169,[1]中未分析60315!$A:$M,11,0)</f>
        <v>54</v>
      </c>
      <c r="F169" s="4">
        <f>VLOOKUP($A169,[1]中未分析60315!$A:$M,12,0)</f>
        <v>54</v>
      </c>
      <c r="G169" s="4">
        <f>VLOOKUP($A169,[1]中未分析60315!$A:$M,13,0)</f>
        <v>53</v>
      </c>
      <c r="H169" s="3" t="s">
        <v>39</v>
      </c>
      <c r="I169" s="3" t="s">
        <v>344</v>
      </c>
    </row>
    <row r="170" customHeight="1" spans="1:9">
      <c r="A170" s="4" t="s">
        <v>345</v>
      </c>
      <c r="B170" s="4">
        <f>VLOOKUP($A170,[1]中未分析60315!$A:$M,8,0)</f>
        <v>41</v>
      </c>
      <c r="C170" s="4">
        <f>VLOOKUP($A170,[1]中未分析60315!$A:$M,9,0)</f>
        <v>39</v>
      </c>
      <c r="D170" s="4">
        <f>VLOOKUP($A170,[1]中未分析60315!$A:$M,10,0)</f>
        <v>38</v>
      </c>
      <c r="E170" s="4">
        <f>VLOOKUP($A170,[1]中未分析60315!$A:$M,11,0)</f>
        <v>36</v>
      </c>
      <c r="F170" s="4">
        <f>VLOOKUP($A170,[1]中未分析60315!$A:$M,12,0)</f>
        <v>35</v>
      </c>
      <c r="G170" s="4">
        <f>VLOOKUP($A170,[1]中未分析60315!$A:$M,13,0)</f>
        <v>33</v>
      </c>
      <c r="H170" s="3" t="s">
        <v>10</v>
      </c>
      <c r="I170" s="3" t="s">
        <v>346</v>
      </c>
    </row>
    <row r="171" customHeight="1" spans="1:9">
      <c r="A171" s="4" t="s">
        <v>347</v>
      </c>
      <c r="B171" s="4">
        <f>VLOOKUP($A171,[1]中未分析60315!$A:$M,8,0)</f>
        <v>43</v>
      </c>
      <c r="C171" s="4">
        <f>VLOOKUP($A171,[1]中未分析60315!$A:$M,9,0)</f>
        <v>41</v>
      </c>
      <c r="D171" s="4">
        <f>VLOOKUP($A171,[1]中未分析60315!$A:$M,10,0)</f>
        <v>40</v>
      </c>
      <c r="E171" s="4">
        <f>VLOOKUP($A171,[1]中未分析60315!$A:$M,11,0)</f>
        <v>38</v>
      </c>
      <c r="F171" s="4">
        <f>VLOOKUP($A171,[1]中未分析60315!$A:$M,12,0)</f>
        <v>37</v>
      </c>
      <c r="G171" s="4">
        <f>VLOOKUP($A171,[1]中未分析60315!$A:$M,13,0)</f>
        <v>35</v>
      </c>
      <c r="H171" s="3" t="s">
        <v>10</v>
      </c>
      <c r="I171" s="3" t="s">
        <v>348</v>
      </c>
    </row>
    <row r="172" customHeight="1" spans="1:9">
      <c r="A172" s="4" t="s">
        <v>349</v>
      </c>
      <c r="B172" s="4">
        <f>VLOOKUP($A172,[1]中未分析60315!$A:$M,8,0)</f>
        <v>53</v>
      </c>
      <c r="C172" s="4">
        <f>VLOOKUP($A172,[1]中未分析60315!$A:$M,9,0)</f>
        <v>51</v>
      </c>
      <c r="D172" s="4">
        <f>VLOOKUP($A172,[1]中未分析60315!$A:$M,10,0)</f>
        <v>49</v>
      </c>
      <c r="E172" s="4">
        <f>VLOOKUP($A172,[1]中未分析60315!$A:$M,11,0)</f>
        <v>47</v>
      </c>
      <c r="F172" s="4">
        <f>VLOOKUP($A172,[1]中未分析60315!$A:$M,12,0)</f>
        <v>46</v>
      </c>
      <c r="G172" s="4">
        <f>VLOOKUP($A172,[1]中未分析60315!$A:$M,13,0)</f>
        <v>44</v>
      </c>
      <c r="H172" s="3" t="s">
        <v>10</v>
      </c>
      <c r="I172" s="3" t="s">
        <v>350</v>
      </c>
    </row>
    <row r="173" customHeight="1" spans="1:9">
      <c r="A173" s="4" t="s">
        <v>351</v>
      </c>
      <c r="B173" s="4">
        <f>VLOOKUP($A173,[1]中未分析60315!$A:$M,8,0)</f>
        <v>40</v>
      </c>
      <c r="C173" s="4">
        <f>VLOOKUP($A173,[1]中未分析60315!$A:$M,9,0)</f>
        <v>39</v>
      </c>
      <c r="D173" s="4">
        <f>VLOOKUP($A173,[1]中未分析60315!$A:$M,10,0)</f>
        <v>37</v>
      </c>
      <c r="E173" s="4">
        <f>VLOOKUP($A173,[1]中未分析60315!$A:$M,11,0)</f>
        <v>36</v>
      </c>
      <c r="F173" s="4">
        <f>VLOOKUP($A173,[1]中未分析60315!$A:$M,12,0)</f>
        <v>34</v>
      </c>
      <c r="G173" s="4">
        <f>VLOOKUP($A173,[1]中未分析60315!$A:$M,13,0)</f>
        <v>33</v>
      </c>
      <c r="H173" s="3" t="s">
        <v>10</v>
      </c>
      <c r="I173" s="3" t="s">
        <v>352</v>
      </c>
    </row>
    <row r="174" customHeight="1" spans="1:9">
      <c r="A174" s="4" t="s">
        <v>353</v>
      </c>
      <c r="B174" s="4">
        <f>VLOOKUP($A174,[1]中未分析60315!$A:$M,8,0)</f>
        <v>88</v>
      </c>
      <c r="C174" s="4">
        <f>VLOOKUP($A174,[1]中未分析60315!$A:$M,9,0)</f>
        <v>84</v>
      </c>
      <c r="D174" s="4">
        <f>VLOOKUP($A174,[1]中未分析60315!$A:$M,10,0)</f>
        <v>81</v>
      </c>
      <c r="E174" s="4">
        <f>VLOOKUP($A174,[1]中未分析60315!$A:$M,11,0)</f>
        <v>78</v>
      </c>
      <c r="F174" s="4">
        <f>VLOOKUP($A174,[1]中未分析60315!$A:$M,12,0)</f>
        <v>75</v>
      </c>
      <c r="G174" s="4">
        <f>VLOOKUP($A174,[1]中未分析60315!$A:$M,13,0)</f>
        <v>72</v>
      </c>
      <c r="H174" s="3" t="s">
        <v>10</v>
      </c>
      <c r="I174" s="3" t="s">
        <v>354</v>
      </c>
    </row>
    <row r="175" customHeight="1" spans="1:9">
      <c r="A175" s="4" t="s">
        <v>355</v>
      </c>
      <c r="B175" s="4">
        <f>VLOOKUP($A175,[1]中未分析60315!$A:$M,8,0)</f>
        <v>36</v>
      </c>
      <c r="C175" s="4">
        <f>VLOOKUP($A175,[1]中未分析60315!$A:$M,9,0)</f>
        <v>34</v>
      </c>
      <c r="D175" s="4">
        <f>VLOOKUP($A175,[1]中未分析60315!$A:$M,10,0)</f>
        <v>33</v>
      </c>
      <c r="E175" s="4">
        <f>VLOOKUP($A175,[1]中未分析60315!$A:$M,11,0)</f>
        <v>32</v>
      </c>
      <c r="F175" s="4">
        <f>VLOOKUP($A175,[1]中未分析60315!$A:$M,12,0)</f>
        <v>31</v>
      </c>
      <c r="G175" s="4">
        <f>VLOOKUP($A175,[1]中未分析60315!$A:$M,13,0)</f>
        <v>29</v>
      </c>
      <c r="H175" s="3" t="s">
        <v>10</v>
      </c>
      <c r="I175" s="3" t="s">
        <v>356</v>
      </c>
    </row>
    <row r="176" customHeight="1" spans="1:9">
      <c r="A176" s="4" t="s">
        <v>357</v>
      </c>
      <c r="B176" s="4">
        <f>VLOOKUP($A176,[1]中未分析60315!$A:$M,8,0)</f>
        <v>22</v>
      </c>
      <c r="C176" s="4">
        <f>VLOOKUP($A176,[1]中未分析60315!$A:$M,9,0)</f>
        <v>21</v>
      </c>
      <c r="D176" s="4">
        <f>VLOOKUP($A176,[1]中未分析60315!$A:$M,10,0)</f>
        <v>21</v>
      </c>
      <c r="E176" s="4">
        <f>VLOOKUP($A176,[1]中未分析60315!$A:$M,11,0)</f>
        <v>20</v>
      </c>
      <c r="F176" s="4">
        <f>VLOOKUP($A176,[1]中未分析60315!$A:$M,12,0)</f>
        <v>19</v>
      </c>
      <c r="G176" s="4">
        <f>VLOOKUP($A176,[1]中未分析60315!$A:$M,13,0)</f>
        <v>18</v>
      </c>
      <c r="H176" s="3" t="s">
        <v>10</v>
      </c>
      <c r="I176" s="3" t="s">
        <v>358</v>
      </c>
    </row>
    <row r="177" customHeight="1" spans="1:9">
      <c r="A177" s="4" t="s">
        <v>359</v>
      </c>
      <c r="B177" s="4">
        <f>VLOOKUP($A177,[1]中未分析60315!$A:$M,8,0)</f>
        <v>32</v>
      </c>
      <c r="C177" s="4">
        <f>VLOOKUP($A177,[1]中未分析60315!$A:$M,9,0)</f>
        <v>31</v>
      </c>
      <c r="D177" s="4">
        <f>VLOOKUP($A177,[1]中未分析60315!$A:$M,10,0)</f>
        <v>29</v>
      </c>
      <c r="E177" s="4">
        <f>VLOOKUP($A177,[1]中未分析60315!$A:$M,11,0)</f>
        <v>28</v>
      </c>
      <c r="F177" s="4">
        <f>VLOOKUP($A177,[1]中未分析60315!$A:$M,12,0)</f>
        <v>27</v>
      </c>
      <c r="G177" s="4">
        <f>VLOOKUP($A177,[1]中未分析60315!$A:$M,13,0)</f>
        <v>26</v>
      </c>
      <c r="H177" s="3" t="s">
        <v>10</v>
      </c>
      <c r="I177" s="3" t="s">
        <v>360</v>
      </c>
    </row>
    <row r="178" customHeight="1" spans="1:9">
      <c r="A178" s="4" t="s">
        <v>361</v>
      </c>
      <c r="B178" s="4">
        <f>VLOOKUP($A178,[1]中未分析60315!$A:$M,8,0)</f>
        <v>33</v>
      </c>
      <c r="C178" s="4">
        <f>VLOOKUP($A178,[1]中未分析60315!$A:$M,9,0)</f>
        <v>32</v>
      </c>
      <c r="D178" s="4">
        <f>VLOOKUP($A178,[1]中未分析60315!$A:$M,10,0)</f>
        <v>31</v>
      </c>
      <c r="E178" s="4">
        <f>VLOOKUP($A178,[1]中未分析60315!$A:$M,11,0)</f>
        <v>30</v>
      </c>
      <c r="F178" s="4">
        <f>VLOOKUP($A178,[1]中未分析60315!$A:$M,12,0)</f>
        <v>29</v>
      </c>
      <c r="G178" s="4">
        <f>VLOOKUP($A178,[1]中未分析60315!$A:$M,13,0)</f>
        <v>27</v>
      </c>
      <c r="H178" s="3" t="s">
        <v>10</v>
      </c>
      <c r="I178" s="3" t="s">
        <v>362</v>
      </c>
    </row>
    <row r="179" customHeight="1" spans="1:9">
      <c r="A179" s="4" t="s">
        <v>363</v>
      </c>
      <c r="B179" s="4">
        <f>VLOOKUP($A179,[1]中未分析60315!$A:$M,8,0)</f>
        <v>34</v>
      </c>
      <c r="C179" s="4">
        <f>VLOOKUP($A179,[1]中未分析60315!$A:$M,9,0)</f>
        <v>33</v>
      </c>
      <c r="D179" s="4">
        <f>VLOOKUP($A179,[1]中未分析60315!$A:$M,10,0)</f>
        <v>32</v>
      </c>
      <c r="E179" s="4">
        <f>VLOOKUP($A179,[1]中未分析60315!$A:$M,11,0)</f>
        <v>31</v>
      </c>
      <c r="F179" s="4">
        <f>VLOOKUP($A179,[1]中未分析60315!$A:$M,12,0)</f>
        <v>29</v>
      </c>
      <c r="G179" s="4">
        <f>VLOOKUP($A179,[1]中未分析60315!$A:$M,13,0)</f>
        <v>28</v>
      </c>
      <c r="H179" s="3" t="s">
        <v>10</v>
      </c>
      <c r="I179" s="3" t="s">
        <v>364</v>
      </c>
    </row>
    <row r="180" customHeight="1" spans="1:9">
      <c r="A180" s="4" t="s">
        <v>365</v>
      </c>
      <c r="B180" s="4">
        <f>VLOOKUP($A180,[1]中未分析60315!$A:$M,8,0)</f>
        <v>30</v>
      </c>
      <c r="C180" s="4">
        <f>VLOOKUP($A180,[1]中未分析60315!$A:$M,9,0)</f>
        <v>29</v>
      </c>
      <c r="D180" s="4">
        <f>VLOOKUP($A180,[1]中未分析60315!$A:$M,10,0)</f>
        <v>27</v>
      </c>
      <c r="E180" s="4">
        <f>VLOOKUP($A180,[1]中未分析60315!$A:$M,11,0)</f>
        <v>26</v>
      </c>
      <c r="F180" s="4">
        <f>VLOOKUP($A180,[1]中未分析60315!$A:$M,12,0)</f>
        <v>25</v>
      </c>
      <c r="G180" s="4">
        <f>VLOOKUP($A180,[1]中未分析60315!$A:$M,13,0)</f>
        <v>24</v>
      </c>
      <c r="H180" s="3" t="s">
        <v>10</v>
      </c>
      <c r="I180" s="3" t="s">
        <v>366</v>
      </c>
    </row>
    <row r="181" customHeight="1" spans="1:9">
      <c r="A181" s="4" t="s">
        <v>367</v>
      </c>
      <c r="B181" s="4">
        <f>VLOOKUP($A181,[1]中未分析60315!$A:$M,8,0)</f>
        <v>25</v>
      </c>
      <c r="C181" s="4">
        <f>VLOOKUP($A181,[1]中未分析60315!$A:$M,9,0)</f>
        <v>25</v>
      </c>
      <c r="D181" s="4">
        <f>VLOOKUP($A181,[1]中未分析60315!$A:$M,10,0)</f>
        <v>24</v>
      </c>
      <c r="E181" s="4">
        <f>VLOOKUP($A181,[1]中未分析60315!$A:$M,11,0)</f>
        <v>23</v>
      </c>
      <c r="F181" s="4">
        <f>VLOOKUP($A181,[1]中未分析60315!$A:$M,12,0)</f>
        <v>22</v>
      </c>
      <c r="G181" s="4">
        <f>VLOOKUP($A181,[1]中未分析60315!$A:$M,13,0)</f>
        <v>21</v>
      </c>
      <c r="H181" s="3" t="s">
        <v>10</v>
      </c>
      <c r="I181" s="3" t="s">
        <v>368</v>
      </c>
    </row>
    <row r="182" customHeight="1" spans="1:9">
      <c r="A182" s="4" t="s">
        <v>369</v>
      </c>
      <c r="B182" s="4">
        <f>VLOOKUP($A182,[1]中未分析60315!$A:$M,8,0)</f>
        <v>50</v>
      </c>
      <c r="C182" s="4">
        <f>VLOOKUP($A182,[1]中未分析60315!$A:$M,9,0)</f>
        <v>49</v>
      </c>
      <c r="D182" s="4">
        <f>VLOOKUP($A182,[1]中未分析60315!$A:$M,10,0)</f>
        <v>48</v>
      </c>
      <c r="E182" s="4">
        <f>VLOOKUP($A182,[1]中未分析60315!$A:$M,11,0)</f>
        <v>47</v>
      </c>
      <c r="F182" s="4">
        <f>VLOOKUP($A182,[1]中未分析60315!$A:$M,12,0)</f>
        <v>47</v>
      </c>
      <c r="G182" s="4">
        <f>VLOOKUP($A182,[1]中未分析60315!$A:$M,13,0)</f>
        <v>46</v>
      </c>
      <c r="H182" s="3" t="s">
        <v>39</v>
      </c>
      <c r="I182" s="3" t="s">
        <v>370</v>
      </c>
    </row>
    <row r="183" customHeight="1" spans="1:9">
      <c r="A183" s="4" t="s">
        <v>371</v>
      </c>
      <c r="B183" s="4">
        <f>VLOOKUP($A183,[1]中未分析60315!$A:$M,8,0)</f>
        <v>36</v>
      </c>
      <c r="C183" s="4">
        <f>VLOOKUP($A183,[1]中未分析60315!$A:$M,9,0)</f>
        <v>34</v>
      </c>
      <c r="D183" s="4">
        <f>VLOOKUP($A183,[1]中未分析60315!$A:$M,10,0)</f>
        <v>33</v>
      </c>
      <c r="E183" s="4">
        <f>VLOOKUP($A183,[1]中未分析60315!$A:$M,11,0)</f>
        <v>32</v>
      </c>
      <c r="F183" s="4">
        <f>VLOOKUP($A183,[1]中未分析60315!$A:$M,12,0)</f>
        <v>30</v>
      </c>
      <c r="G183" s="4">
        <f>VLOOKUP($A183,[1]中未分析60315!$A:$M,13,0)</f>
        <v>29</v>
      </c>
      <c r="H183" s="3" t="s">
        <v>10</v>
      </c>
      <c r="I183" s="3" t="s">
        <v>372</v>
      </c>
    </row>
    <row r="184" customHeight="1" spans="1:9">
      <c r="A184" s="4" t="s">
        <v>373</v>
      </c>
      <c r="B184" s="4">
        <f>VLOOKUP($A184,[1]中未分析60315!$A:$M,8,0)</f>
        <v>32</v>
      </c>
      <c r="C184" s="4">
        <f>VLOOKUP($A184,[1]中未分析60315!$A:$M,9,0)</f>
        <v>30</v>
      </c>
      <c r="D184" s="4">
        <f>VLOOKUP($A184,[1]中未分析60315!$A:$M,10,0)</f>
        <v>29</v>
      </c>
      <c r="E184" s="4">
        <f>VLOOKUP($A184,[1]中未分析60315!$A:$M,11,0)</f>
        <v>28</v>
      </c>
      <c r="F184" s="4">
        <f>VLOOKUP($A184,[1]中未分析60315!$A:$M,12,0)</f>
        <v>27</v>
      </c>
      <c r="G184" s="4">
        <f>VLOOKUP($A184,[1]中未分析60315!$A:$M,13,0)</f>
        <v>26</v>
      </c>
      <c r="H184" s="3" t="s">
        <v>10</v>
      </c>
      <c r="I184" s="3" t="s">
        <v>374</v>
      </c>
    </row>
    <row r="185" customHeight="1" spans="1:9">
      <c r="A185" s="4" t="s">
        <v>375</v>
      </c>
      <c r="B185" s="4">
        <f>VLOOKUP($A185,[1]中未分析60315!$A:$M,8,0)</f>
        <v>40</v>
      </c>
      <c r="C185" s="4">
        <f>VLOOKUP($A185,[1]中未分析60315!$A:$M,9,0)</f>
        <v>38</v>
      </c>
      <c r="D185" s="4">
        <f>VLOOKUP($A185,[1]中未分析60315!$A:$M,10,0)</f>
        <v>37</v>
      </c>
      <c r="E185" s="4">
        <f>VLOOKUP($A185,[1]中未分析60315!$A:$M,11,0)</f>
        <v>35</v>
      </c>
      <c r="F185" s="4">
        <f>VLOOKUP($A185,[1]中未分析60315!$A:$M,12,0)</f>
        <v>34</v>
      </c>
      <c r="G185" s="4">
        <f>VLOOKUP($A185,[1]中未分析60315!$A:$M,13,0)</f>
        <v>32</v>
      </c>
      <c r="H185" s="3" t="s">
        <v>10</v>
      </c>
      <c r="I185" s="3" t="s">
        <v>376</v>
      </c>
    </row>
    <row r="186" customHeight="1" spans="1:9">
      <c r="A186" s="4" t="s">
        <v>377</v>
      </c>
      <c r="B186" s="4">
        <f>VLOOKUP($A186,[1]中未分析60315!$A:$M,8,0)</f>
        <v>44</v>
      </c>
      <c r="C186" s="4">
        <f>VLOOKUP($A186,[1]中未分析60315!$A:$M,9,0)</f>
        <v>42</v>
      </c>
      <c r="D186" s="4">
        <f>VLOOKUP($A186,[1]中未分析60315!$A:$M,10,0)</f>
        <v>41</v>
      </c>
      <c r="E186" s="4">
        <f>VLOOKUP($A186,[1]中未分析60315!$A:$M,11,0)</f>
        <v>39</v>
      </c>
      <c r="F186" s="4">
        <f>VLOOKUP($A186,[1]中未分析60315!$A:$M,12,0)</f>
        <v>38</v>
      </c>
      <c r="G186" s="4">
        <f>VLOOKUP($A186,[1]中未分析60315!$A:$M,13,0)</f>
        <v>36</v>
      </c>
      <c r="H186" s="3" t="s">
        <v>10</v>
      </c>
      <c r="I186" s="3" t="s">
        <v>310</v>
      </c>
    </row>
    <row r="187" customHeight="1" spans="1:9">
      <c r="A187" s="4" t="s">
        <v>378</v>
      </c>
      <c r="B187" s="4">
        <f>VLOOKUP($A187,[1]中未分析60315!$A:$M,8,0)</f>
        <v>24</v>
      </c>
      <c r="C187" s="4">
        <f>VLOOKUP($A187,[1]中未分析60315!$A:$M,9,0)</f>
        <v>23</v>
      </c>
      <c r="D187" s="4">
        <f>VLOOKUP($A187,[1]中未分析60315!$A:$M,10,0)</f>
        <v>22</v>
      </c>
      <c r="E187" s="4">
        <f>VLOOKUP($A187,[1]中未分析60315!$A:$M,11,0)</f>
        <v>22</v>
      </c>
      <c r="F187" s="4">
        <f>VLOOKUP($A187,[1]中未分析60315!$A:$M,12,0)</f>
        <v>21</v>
      </c>
      <c r="G187" s="4">
        <f>VLOOKUP($A187,[1]中未分析60315!$A:$M,13,0)</f>
        <v>20</v>
      </c>
      <c r="H187" s="3" t="s">
        <v>10</v>
      </c>
      <c r="I187" s="3" t="s">
        <v>19</v>
      </c>
    </row>
    <row r="188" customHeight="1" spans="1:9">
      <c r="A188" s="4" t="s">
        <v>379</v>
      </c>
      <c r="B188" s="4">
        <f>VLOOKUP($A188,[1]中未分析60315!$A:$M,8,0)</f>
        <v>33</v>
      </c>
      <c r="C188" s="4">
        <f>VLOOKUP($A188,[1]中未分析60315!$A:$M,9,0)</f>
        <v>32</v>
      </c>
      <c r="D188" s="4">
        <f>VLOOKUP($A188,[1]中未分析60315!$A:$M,10,0)</f>
        <v>30</v>
      </c>
      <c r="E188" s="4">
        <f>VLOOKUP($A188,[1]中未分析60315!$A:$M,11,0)</f>
        <v>29</v>
      </c>
      <c r="F188" s="4">
        <f>VLOOKUP($A188,[1]中未分析60315!$A:$M,12,0)</f>
        <v>28</v>
      </c>
      <c r="G188" s="4">
        <f>VLOOKUP($A188,[1]中未分析60315!$A:$M,13,0)</f>
        <v>27</v>
      </c>
      <c r="H188" s="3" t="s">
        <v>10</v>
      </c>
      <c r="I188" s="3" t="s">
        <v>380</v>
      </c>
    </row>
    <row r="189" customHeight="1" spans="1:9">
      <c r="A189" s="4" t="s">
        <v>381</v>
      </c>
      <c r="B189" s="4">
        <f>VLOOKUP($A189,[1]中未分析60315!$A:$M,8,0)</f>
        <v>27</v>
      </c>
      <c r="C189" s="4">
        <f>VLOOKUP($A189,[1]中未分析60315!$A:$M,9,0)</f>
        <v>26</v>
      </c>
      <c r="D189" s="4">
        <f>VLOOKUP($A189,[1]中未分析60315!$A:$M,10,0)</f>
        <v>25</v>
      </c>
      <c r="E189" s="4">
        <f>VLOOKUP($A189,[1]中未分析60315!$A:$M,11,0)</f>
        <v>24</v>
      </c>
      <c r="F189" s="4">
        <f>VLOOKUP($A189,[1]中未分析60315!$A:$M,12,0)</f>
        <v>23</v>
      </c>
      <c r="G189" s="4">
        <f>VLOOKUP($A189,[1]中未分析60315!$A:$M,13,0)</f>
        <v>22</v>
      </c>
      <c r="H189" s="3" t="s">
        <v>10</v>
      </c>
      <c r="I189" s="3" t="s">
        <v>382</v>
      </c>
    </row>
    <row r="190" customHeight="1" spans="1:9">
      <c r="A190" s="4" t="s">
        <v>383</v>
      </c>
      <c r="B190" s="4">
        <f>VLOOKUP($A190,[1]中未分析60315!$A:$M,8,0)</f>
        <v>37</v>
      </c>
      <c r="C190" s="4">
        <f>VLOOKUP($A190,[1]中未分析60315!$A:$M,9,0)</f>
        <v>35</v>
      </c>
      <c r="D190" s="4">
        <f>VLOOKUP($A190,[1]中未分析60315!$A:$M,10,0)</f>
        <v>34</v>
      </c>
      <c r="E190" s="4">
        <f>VLOOKUP($A190,[1]中未分析60315!$A:$M,11,0)</f>
        <v>33</v>
      </c>
      <c r="F190" s="4">
        <f>VLOOKUP($A190,[1]中未分析60315!$A:$M,12,0)</f>
        <v>31</v>
      </c>
      <c r="G190" s="4">
        <f>VLOOKUP($A190,[1]中未分析60315!$A:$M,13,0)</f>
        <v>30</v>
      </c>
      <c r="H190" s="3" t="s">
        <v>10</v>
      </c>
      <c r="I190" s="3" t="s">
        <v>384</v>
      </c>
    </row>
    <row r="191" customHeight="1" spans="1:9">
      <c r="A191" s="4" t="s">
        <v>385</v>
      </c>
      <c r="B191" s="4">
        <f>VLOOKUP($A191,[1]中未分析60315!$A:$M,8,0)</f>
        <v>31</v>
      </c>
      <c r="C191" s="4">
        <f>VLOOKUP($A191,[1]中未分析60315!$A:$M,9,0)</f>
        <v>30</v>
      </c>
      <c r="D191" s="4">
        <f>VLOOKUP($A191,[1]中未分析60315!$A:$M,10,0)</f>
        <v>29</v>
      </c>
      <c r="E191" s="4">
        <f>VLOOKUP($A191,[1]中未分析60315!$A:$M,11,0)</f>
        <v>28</v>
      </c>
      <c r="F191" s="4">
        <f>VLOOKUP($A191,[1]中未分析60315!$A:$M,12,0)</f>
        <v>26</v>
      </c>
      <c r="G191" s="4">
        <f>VLOOKUP($A191,[1]中未分析60315!$A:$M,13,0)</f>
        <v>25</v>
      </c>
      <c r="H191" s="3" t="s">
        <v>10</v>
      </c>
      <c r="I191" s="3" t="s">
        <v>386</v>
      </c>
    </row>
    <row r="192" customHeight="1" spans="1:9">
      <c r="A192" s="4" t="s">
        <v>387</v>
      </c>
      <c r="B192" s="4">
        <f>VLOOKUP($A192,[1]中未分析60315!$A:$M,8,0)</f>
        <v>38</v>
      </c>
      <c r="C192" s="4">
        <f>VLOOKUP($A192,[1]中未分析60315!$A:$M,9,0)</f>
        <v>37</v>
      </c>
      <c r="D192" s="4">
        <f>VLOOKUP($A192,[1]中未分析60315!$A:$M,10,0)</f>
        <v>37</v>
      </c>
      <c r="E192" s="4">
        <f>VLOOKUP($A192,[1]中未分析60315!$A:$M,11,0)</f>
        <v>36</v>
      </c>
      <c r="F192" s="4">
        <f>VLOOKUP($A192,[1]中未分析60315!$A:$M,12,0)</f>
        <v>36</v>
      </c>
      <c r="G192" s="4">
        <f>VLOOKUP($A192,[1]中未分析60315!$A:$M,13,0)</f>
        <v>35</v>
      </c>
      <c r="H192" s="3" t="s">
        <v>39</v>
      </c>
      <c r="I192" s="3" t="s">
        <v>388</v>
      </c>
    </row>
    <row r="193" customHeight="1" spans="1:9">
      <c r="A193" s="4" t="s">
        <v>389</v>
      </c>
      <c r="B193" s="4">
        <f>VLOOKUP($A193,[1]中未分析60315!$A:$M,8,0)</f>
        <v>41</v>
      </c>
      <c r="C193" s="4">
        <f>VLOOKUP($A193,[1]中未分析60315!$A:$M,9,0)</f>
        <v>40</v>
      </c>
      <c r="D193" s="4">
        <f>VLOOKUP($A193,[1]中未分析60315!$A:$M,10,0)</f>
        <v>38</v>
      </c>
      <c r="E193" s="4">
        <f>VLOOKUP($A193,[1]中未分析60315!$A:$M,11,0)</f>
        <v>37</v>
      </c>
      <c r="F193" s="4">
        <f>VLOOKUP($A193,[1]中未分析60315!$A:$M,12,0)</f>
        <v>35</v>
      </c>
      <c r="G193" s="4">
        <f>VLOOKUP($A193,[1]中未分析60315!$A:$M,13,0)</f>
        <v>34</v>
      </c>
      <c r="H193" s="3" t="s">
        <v>10</v>
      </c>
      <c r="I193" s="3" t="s">
        <v>390</v>
      </c>
    </row>
    <row r="194" customHeight="1" spans="1:9">
      <c r="A194" s="4" t="s">
        <v>391</v>
      </c>
      <c r="B194" s="4">
        <f>VLOOKUP($A194,[1]中未分析60315!$A:$M,8,0)</f>
        <v>48</v>
      </c>
      <c r="C194" s="4">
        <f>VLOOKUP($A194,[1]中未分析60315!$A:$M,9,0)</f>
        <v>46</v>
      </c>
      <c r="D194" s="4">
        <f>VLOOKUP($A194,[1]中未分析60315!$A:$M,10,0)</f>
        <v>44</v>
      </c>
      <c r="E194" s="4">
        <f>VLOOKUP($A194,[1]中未分析60315!$A:$M,11,0)</f>
        <v>43</v>
      </c>
      <c r="F194" s="4">
        <f>VLOOKUP($A194,[1]中未分析60315!$A:$M,12,0)</f>
        <v>41</v>
      </c>
      <c r="G194" s="4">
        <f>VLOOKUP($A194,[1]中未分析60315!$A:$M,13,0)</f>
        <v>39</v>
      </c>
      <c r="H194" s="3" t="s">
        <v>10</v>
      </c>
      <c r="I194" s="3" t="s">
        <v>392</v>
      </c>
    </row>
    <row r="195" customHeight="1" spans="1:9">
      <c r="A195" s="4" t="s">
        <v>393</v>
      </c>
      <c r="B195" s="4">
        <f>VLOOKUP($A195,[1]中未分析60315!$A:$M,8,0)</f>
        <v>29</v>
      </c>
      <c r="C195" s="4">
        <f>VLOOKUP($A195,[1]中未分析60315!$A:$M,9,0)</f>
        <v>28</v>
      </c>
      <c r="D195" s="4">
        <f>VLOOKUP($A195,[1]中未分析60315!$A:$M,10,0)</f>
        <v>27</v>
      </c>
      <c r="E195" s="4">
        <f>VLOOKUP($A195,[1]中未分析60315!$A:$M,11,0)</f>
        <v>26</v>
      </c>
      <c r="F195" s="4">
        <f>VLOOKUP($A195,[1]中未分析60315!$A:$M,12,0)</f>
        <v>25</v>
      </c>
      <c r="G195" s="4">
        <f>VLOOKUP($A195,[1]中未分析60315!$A:$M,13,0)</f>
        <v>24</v>
      </c>
      <c r="H195" s="3" t="s">
        <v>10</v>
      </c>
      <c r="I195" s="3" t="s">
        <v>394</v>
      </c>
    </row>
    <row r="196" customHeight="1" spans="1:9">
      <c r="A196" s="4" t="s">
        <v>395</v>
      </c>
      <c r="B196" s="4">
        <f>VLOOKUP($A196,[1]中未分析60315!$A:$M,8,0)</f>
        <v>33</v>
      </c>
      <c r="C196" s="4">
        <f>VLOOKUP($A196,[1]中未分析60315!$A:$M,9,0)</f>
        <v>32</v>
      </c>
      <c r="D196" s="4">
        <f>VLOOKUP($A196,[1]中未分析60315!$A:$M,10,0)</f>
        <v>31</v>
      </c>
      <c r="E196" s="4">
        <f>VLOOKUP($A196,[1]中未分析60315!$A:$M,11,0)</f>
        <v>29</v>
      </c>
      <c r="F196" s="4">
        <f>VLOOKUP($A196,[1]中未分析60315!$A:$M,12,0)</f>
        <v>28</v>
      </c>
      <c r="G196" s="4">
        <f>VLOOKUP($A196,[1]中未分析60315!$A:$M,13,0)</f>
        <v>27</v>
      </c>
      <c r="H196" s="3" t="s">
        <v>10</v>
      </c>
      <c r="I196" s="3" t="s">
        <v>396</v>
      </c>
    </row>
    <row r="197" customHeight="1" spans="1:9">
      <c r="A197" s="4" t="s">
        <v>397</v>
      </c>
      <c r="B197" s="4">
        <f>VLOOKUP($A197,[1]中未分析60315!$A:$M,8,0)</f>
        <v>46</v>
      </c>
      <c r="C197" s="4">
        <f>VLOOKUP($A197,[1]中未分析60315!$A:$M,9,0)</f>
        <v>44</v>
      </c>
      <c r="D197" s="4">
        <f>VLOOKUP($A197,[1]中未分析60315!$A:$M,10,0)</f>
        <v>42</v>
      </c>
      <c r="E197" s="4">
        <f>VLOOKUP($A197,[1]中未分析60315!$A:$M,11,0)</f>
        <v>41</v>
      </c>
      <c r="F197" s="4">
        <f>VLOOKUP($A197,[1]中未分析60315!$A:$M,12,0)</f>
        <v>39</v>
      </c>
      <c r="G197" s="4">
        <f>VLOOKUP($A197,[1]中未分析60315!$A:$M,13,0)</f>
        <v>37</v>
      </c>
      <c r="H197" s="3" t="s">
        <v>10</v>
      </c>
      <c r="I197" s="3" t="s">
        <v>398</v>
      </c>
    </row>
    <row r="198" customHeight="1" spans="1:9">
      <c r="A198" s="4" t="s">
        <v>399</v>
      </c>
      <c r="B198" s="4">
        <f>VLOOKUP($A198,[1]中未分析60315!$A:$M,8,0)</f>
        <v>43</v>
      </c>
      <c r="C198" s="4">
        <f>VLOOKUP($A198,[1]中未分析60315!$A:$M,9,0)</f>
        <v>42</v>
      </c>
      <c r="D198" s="4">
        <f>VLOOKUP($A198,[1]中未分析60315!$A:$M,10,0)</f>
        <v>40</v>
      </c>
      <c r="E198" s="4">
        <f>VLOOKUP($A198,[1]中未分析60315!$A:$M,11,0)</f>
        <v>39</v>
      </c>
      <c r="F198" s="4">
        <f>VLOOKUP($A198,[1]中未分析60315!$A:$M,12,0)</f>
        <v>37</v>
      </c>
      <c r="G198" s="4">
        <f>VLOOKUP($A198,[1]中未分析60315!$A:$M,13,0)</f>
        <v>35</v>
      </c>
      <c r="H198" s="3" t="s">
        <v>10</v>
      </c>
      <c r="I198" s="3" t="s">
        <v>400</v>
      </c>
    </row>
    <row r="199" customHeight="1" spans="1:9">
      <c r="A199" s="4" t="s">
        <v>401</v>
      </c>
      <c r="B199" s="4">
        <f>VLOOKUP($A199,[1]中未分析60315!$A:$M,8,0)</f>
        <v>147</v>
      </c>
      <c r="C199" s="4">
        <f>VLOOKUP($A199,[1]中未分析60315!$A:$M,9,0)</f>
        <v>144</v>
      </c>
      <c r="D199" s="4">
        <f>VLOOKUP($A199,[1]中未分析60315!$A:$M,10,0)</f>
        <v>142</v>
      </c>
      <c r="E199" s="4">
        <f>VLOOKUP($A199,[1]中未分析60315!$A:$M,11,0)</f>
        <v>139</v>
      </c>
      <c r="F199" s="4">
        <f>VLOOKUP($A199,[1]中未分析60315!$A:$M,12,0)</f>
        <v>138</v>
      </c>
      <c r="G199" s="4">
        <f>VLOOKUP($A199,[1]中未分析60315!$A:$M,13,0)</f>
        <v>136</v>
      </c>
      <c r="H199" s="3" t="s">
        <v>39</v>
      </c>
      <c r="I199" s="3" t="s">
        <v>402</v>
      </c>
    </row>
    <row r="200" customHeight="1" spans="1:9">
      <c r="A200" s="4" t="s">
        <v>403</v>
      </c>
      <c r="B200" s="4">
        <f>VLOOKUP($A200,[1]中未分析60315!$A:$M,8,0)</f>
        <v>35</v>
      </c>
      <c r="C200" s="4">
        <f>VLOOKUP($A200,[1]中未分析60315!$A:$M,9,0)</f>
        <v>33</v>
      </c>
      <c r="D200" s="4">
        <f>VLOOKUP($A200,[1]中未分析60315!$A:$M,10,0)</f>
        <v>32</v>
      </c>
      <c r="E200" s="4">
        <f>VLOOKUP($A200,[1]中未分析60315!$A:$M,11,0)</f>
        <v>31</v>
      </c>
      <c r="F200" s="4">
        <f>VLOOKUP($A200,[1]中未分析60315!$A:$M,12,0)</f>
        <v>30</v>
      </c>
      <c r="G200" s="4">
        <f>VLOOKUP($A200,[1]中未分析60315!$A:$M,13,0)</f>
        <v>28</v>
      </c>
      <c r="H200" s="3" t="s">
        <v>10</v>
      </c>
      <c r="I200" s="3" t="s">
        <v>404</v>
      </c>
    </row>
    <row r="201" customHeight="1" spans="1:9">
      <c r="A201" s="4" t="s">
        <v>405</v>
      </c>
      <c r="B201" s="4">
        <f>VLOOKUP($A201,[1]中未分析60315!$A:$M,8,0)</f>
        <v>40</v>
      </c>
      <c r="C201" s="4">
        <f>VLOOKUP($A201,[1]中未分析60315!$A:$M,9,0)</f>
        <v>38</v>
      </c>
      <c r="D201" s="4">
        <f>VLOOKUP($A201,[1]中未分析60315!$A:$M,10,0)</f>
        <v>37</v>
      </c>
      <c r="E201" s="4">
        <f>VLOOKUP($A201,[1]中未分析60315!$A:$M,11,0)</f>
        <v>36</v>
      </c>
      <c r="F201" s="4">
        <f>VLOOKUP($A201,[1]中未分析60315!$A:$M,12,0)</f>
        <v>34</v>
      </c>
      <c r="G201" s="4">
        <f>VLOOKUP($A201,[1]中未分析60315!$A:$M,13,0)</f>
        <v>33</v>
      </c>
      <c r="H201" s="3" t="s">
        <v>10</v>
      </c>
      <c r="I201" s="3" t="s">
        <v>406</v>
      </c>
    </row>
    <row r="202" customHeight="1" spans="1:9">
      <c r="A202" s="4" t="s">
        <v>407</v>
      </c>
      <c r="B202" s="4">
        <f>VLOOKUP($A202,[1]中未分析60315!$A:$M,8,0)</f>
        <v>43</v>
      </c>
      <c r="C202" s="4">
        <f>VLOOKUP($A202,[1]中未分析60315!$A:$M,9,0)</f>
        <v>42</v>
      </c>
      <c r="D202" s="4">
        <f>VLOOKUP($A202,[1]中未分析60315!$A:$M,10,0)</f>
        <v>40</v>
      </c>
      <c r="E202" s="4">
        <f>VLOOKUP($A202,[1]中未分析60315!$A:$M,11,0)</f>
        <v>39</v>
      </c>
      <c r="F202" s="4">
        <f>VLOOKUP($A202,[1]中未分析60315!$A:$M,12,0)</f>
        <v>37</v>
      </c>
      <c r="G202" s="4">
        <f>VLOOKUP($A202,[1]中未分析60315!$A:$M,13,0)</f>
        <v>36</v>
      </c>
      <c r="H202" s="3" t="s">
        <v>10</v>
      </c>
      <c r="I202" s="3" t="s">
        <v>408</v>
      </c>
    </row>
    <row r="203" customHeight="1" spans="1:9">
      <c r="A203" s="4" t="s">
        <v>409</v>
      </c>
      <c r="B203" s="4">
        <f>VLOOKUP($A203,[1]中未分析60315!$A:$M,8,0)</f>
        <v>43</v>
      </c>
      <c r="C203" s="4">
        <f>VLOOKUP($A203,[1]中未分析60315!$A:$M,9,0)</f>
        <v>42</v>
      </c>
      <c r="D203" s="4">
        <f>VLOOKUP($A203,[1]中未分析60315!$A:$M,10,0)</f>
        <v>40</v>
      </c>
      <c r="E203" s="4">
        <f>VLOOKUP($A203,[1]中未分析60315!$A:$M,11,0)</f>
        <v>38</v>
      </c>
      <c r="F203" s="4">
        <f>VLOOKUP($A203,[1]中未分析60315!$A:$M,12,0)</f>
        <v>37</v>
      </c>
      <c r="G203" s="4">
        <f>VLOOKUP($A203,[1]中未分析60315!$A:$M,13,0)</f>
        <v>35</v>
      </c>
      <c r="H203" s="3" t="s">
        <v>10</v>
      </c>
      <c r="I203" s="3" t="s">
        <v>410</v>
      </c>
    </row>
    <row r="204" customHeight="1" spans="1:9">
      <c r="A204" s="4" t="s">
        <v>411</v>
      </c>
      <c r="B204" s="4">
        <f>VLOOKUP($A204,[1]中未分析60315!$A:$M,8,0)</f>
        <v>41</v>
      </c>
      <c r="C204" s="4">
        <f>VLOOKUP($A204,[1]中未分析60315!$A:$M,9,0)</f>
        <v>40</v>
      </c>
      <c r="D204" s="4">
        <f>VLOOKUP($A204,[1]中未分析60315!$A:$M,10,0)</f>
        <v>38</v>
      </c>
      <c r="E204" s="4">
        <f>VLOOKUP($A204,[1]中未分析60315!$A:$M,11,0)</f>
        <v>37</v>
      </c>
      <c r="F204" s="4">
        <f>VLOOKUP($A204,[1]中未分析60315!$A:$M,12,0)</f>
        <v>35</v>
      </c>
      <c r="G204" s="4">
        <f>VLOOKUP($A204,[1]中未分析60315!$A:$M,13,0)</f>
        <v>34</v>
      </c>
      <c r="H204" s="3" t="s">
        <v>10</v>
      </c>
      <c r="I204" s="3" t="s">
        <v>412</v>
      </c>
    </row>
    <row r="205" customHeight="1" spans="1:9">
      <c r="A205" s="4" t="s">
        <v>413</v>
      </c>
      <c r="B205" s="4">
        <f>VLOOKUP($A205,[1]中未分析60315!$A:$M,8,0)</f>
        <v>24</v>
      </c>
      <c r="C205" s="4">
        <f>VLOOKUP($A205,[1]中未分析60315!$A:$M,9,0)</f>
        <v>23</v>
      </c>
      <c r="D205" s="4">
        <f>VLOOKUP($A205,[1]中未分析60315!$A:$M,10,0)</f>
        <v>23</v>
      </c>
      <c r="E205" s="4">
        <f>VLOOKUP($A205,[1]中未分析60315!$A:$M,11,0)</f>
        <v>22</v>
      </c>
      <c r="F205" s="4">
        <f>VLOOKUP($A205,[1]中未分析60315!$A:$M,12,0)</f>
        <v>21</v>
      </c>
      <c r="G205" s="4">
        <f>VLOOKUP($A205,[1]中未分析60315!$A:$M,13,0)</f>
        <v>20</v>
      </c>
      <c r="H205" s="3" t="s">
        <v>10</v>
      </c>
      <c r="I205" s="3" t="s">
        <v>414</v>
      </c>
    </row>
    <row r="206" customHeight="1" spans="1:9">
      <c r="A206" s="4" t="s">
        <v>415</v>
      </c>
      <c r="B206" s="4">
        <f>VLOOKUP($A206,[1]中未分析60315!$A:$M,8,0)</f>
        <v>29</v>
      </c>
      <c r="C206" s="4">
        <f>VLOOKUP($A206,[1]中未分析60315!$A:$M,9,0)</f>
        <v>28</v>
      </c>
      <c r="D206" s="4">
        <f>VLOOKUP($A206,[1]中未分析60315!$A:$M,10,0)</f>
        <v>27</v>
      </c>
      <c r="E206" s="4">
        <f>VLOOKUP($A206,[1]中未分析60315!$A:$M,11,0)</f>
        <v>26</v>
      </c>
      <c r="F206" s="4">
        <f>VLOOKUP($A206,[1]中未分析60315!$A:$M,12,0)</f>
        <v>25</v>
      </c>
      <c r="G206" s="4">
        <f>VLOOKUP($A206,[1]中未分析60315!$A:$M,13,0)</f>
        <v>24</v>
      </c>
      <c r="H206" s="3" t="s">
        <v>10</v>
      </c>
      <c r="I206" s="3" t="s">
        <v>416</v>
      </c>
    </row>
    <row r="207" customHeight="1" spans="1:9">
      <c r="A207" s="4" t="s">
        <v>417</v>
      </c>
      <c r="B207" s="4">
        <f>VLOOKUP($A207,[1]中未分析60315!$A:$M,8,0)</f>
        <v>69</v>
      </c>
      <c r="C207" s="4">
        <f>VLOOKUP($A207,[1]中未分析60315!$A:$M,9,0)</f>
        <v>68</v>
      </c>
      <c r="D207" s="4">
        <f>VLOOKUP($A207,[1]中未分析60315!$A:$M,10,0)</f>
        <v>67</v>
      </c>
      <c r="E207" s="4">
        <f>VLOOKUP($A207,[1]中未分析60315!$A:$M,11,0)</f>
        <v>66</v>
      </c>
      <c r="F207" s="4">
        <f>VLOOKUP($A207,[1]中未分析60315!$A:$M,12,0)</f>
        <v>65</v>
      </c>
      <c r="G207" s="4">
        <f>VLOOKUP($A207,[1]中未分析60315!$A:$M,13,0)</f>
        <v>64</v>
      </c>
      <c r="H207" s="3" t="s">
        <v>39</v>
      </c>
      <c r="I207" s="3" t="s">
        <v>418</v>
      </c>
    </row>
    <row r="208" customHeight="1" spans="1:9">
      <c r="A208" s="4" t="s">
        <v>419</v>
      </c>
      <c r="B208" s="4">
        <f>VLOOKUP($A208,[1]中未分析60315!$A:$M,8,0)</f>
        <v>40</v>
      </c>
      <c r="C208" s="4">
        <f>VLOOKUP($A208,[1]中未分析60315!$A:$M,9,0)</f>
        <v>39</v>
      </c>
      <c r="D208" s="4">
        <f>VLOOKUP($A208,[1]中未分析60315!$A:$M,10,0)</f>
        <v>37</v>
      </c>
      <c r="E208" s="4">
        <f>VLOOKUP($A208,[1]中未分析60315!$A:$M,11,0)</f>
        <v>36</v>
      </c>
      <c r="F208" s="4">
        <f>VLOOKUP($A208,[1]中未分析60315!$A:$M,12,0)</f>
        <v>34</v>
      </c>
      <c r="G208" s="4">
        <f>VLOOKUP($A208,[1]中未分析60315!$A:$M,13,0)</f>
        <v>33</v>
      </c>
      <c r="H208" s="3" t="s">
        <v>10</v>
      </c>
      <c r="I208" s="3" t="s">
        <v>420</v>
      </c>
    </row>
    <row r="209" customHeight="1" spans="1:9">
      <c r="A209" s="4" t="s">
        <v>421</v>
      </c>
      <c r="B209" s="4">
        <f>VLOOKUP($A209,[1]中未分析60315!$A:$M,8,0)</f>
        <v>37</v>
      </c>
      <c r="C209" s="4">
        <f>VLOOKUP($A209,[1]中未分析60315!$A:$M,9,0)</f>
        <v>35</v>
      </c>
      <c r="D209" s="4">
        <f>VLOOKUP($A209,[1]中未分析60315!$A:$M,10,0)</f>
        <v>34</v>
      </c>
      <c r="E209" s="4">
        <f>VLOOKUP($A209,[1]中未分析60315!$A:$M,11,0)</f>
        <v>33</v>
      </c>
      <c r="F209" s="4">
        <f>VLOOKUP($A209,[1]中未分析60315!$A:$M,12,0)</f>
        <v>31</v>
      </c>
      <c r="G209" s="4">
        <f>VLOOKUP($A209,[1]中未分析60315!$A:$M,13,0)</f>
        <v>30</v>
      </c>
      <c r="H209" s="3" t="s">
        <v>10</v>
      </c>
      <c r="I209" s="3" t="s">
        <v>422</v>
      </c>
    </row>
    <row r="210" customHeight="1" spans="1:9">
      <c r="A210" s="4" t="s">
        <v>423</v>
      </c>
      <c r="B210" s="4">
        <f>VLOOKUP($A210,[1]中未分析60315!$A:$M,8,0)</f>
        <v>36</v>
      </c>
      <c r="C210" s="4">
        <f>VLOOKUP($A210,[1]中未分析60315!$A:$M,9,0)</f>
        <v>35</v>
      </c>
      <c r="D210" s="4">
        <f>VLOOKUP($A210,[1]中未分析60315!$A:$M,10,0)</f>
        <v>33</v>
      </c>
      <c r="E210" s="4">
        <f>VLOOKUP($A210,[1]中未分析60315!$A:$M,11,0)</f>
        <v>32</v>
      </c>
      <c r="F210" s="4">
        <f>VLOOKUP($A210,[1]中未分析60315!$A:$M,12,0)</f>
        <v>31</v>
      </c>
      <c r="G210" s="4">
        <f>VLOOKUP($A210,[1]中未分析60315!$A:$M,13,0)</f>
        <v>29</v>
      </c>
      <c r="H210" s="3" t="s">
        <v>10</v>
      </c>
      <c r="I210" s="3" t="s">
        <v>424</v>
      </c>
    </row>
    <row r="211" customHeight="1" spans="1:9">
      <c r="A211" s="4" t="s">
        <v>425</v>
      </c>
      <c r="B211" s="4">
        <f>VLOOKUP($A211,[1]中未分析60315!$A:$M,8,0)</f>
        <v>42</v>
      </c>
      <c r="C211" s="4">
        <f>VLOOKUP($A211,[1]中未分析60315!$A:$M,9,0)</f>
        <v>41</v>
      </c>
      <c r="D211" s="4">
        <f>VLOOKUP($A211,[1]中未分析60315!$A:$M,10,0)</f>
        <v>39</v>
      </c>
      <c r="E211" s="4">
        <f>VLOOKUP($A211,[1]中未分析60315!$A:$M,11,0)</f>
        <v>38</v>
      </c>
      <c r="F211" s="4">
        <f>VLOOKUP($A211,[1]中未分析60315!$A:$M,12,0)</f>
        <v>36</v>
      </c>
      <c r="G211" s="4">
        <f>VLOOKUP($A211,[1]中未分析60315!$A:$M,13,0)</f>
        <v>34</v>
      </c>
      <c r="H211" s="3" t="s">
        <v>10</v>
      </c>
      <c r="I211" s="3" t="s">
        <v>426</v>
      </c>
    </row>
    <row r="212" customHeight="1" spans="1:9">
      <c r="A212" s="4" t="s">
        <v>427</v>
      </c>
      <c r="B212" s="4">
        <f>VLOOKUP($A212,[1]中未分析60315!$A:$M,8,0)</f>
        <v>42</v>
      </c>
      <c r="C212" s="4">
        <f>VLOOKUP($A212,[1]中未分析60315!$A:$M,9,0)</f>
        <v>40</v>
      </c>
      <c r="D212" s="4">
        <f>VLOOKUP($A212,[1]中未分析60315!$A:$M,10,0)</f>
        <v>39</v>
      </c>
      <c r="E212" s="4">
        <f>VLOOKUP($A212,[1]中未分析60315!$A:$M,11,0)</f>
        <v>37</v>
      </c>
      <c r="F212" s="4">
        <f>VLOOKUP($A212,[1]中未分析60315!$A:$M,12,0)</f>
        <v>36</v>
      </c>
      <c r="G212" s="4">
        <f>VLOOKUP($A212,[1]中未分析60315!$A:$M,13,0)</f>
        <v>34</v>
      </c>
      <c r="H212" s="3" t="s">
        <v>10</v>
      </c>
      <c r="I212" s="3" t="s">
        <v>428</v>
      </c>
    </row>
    <row r="213" customHeight="1" spans="1:9">
      <c r="A213" s="4" t="s">
        <v>429</v>
      </c>
      <c r="B213" s="4">
        <f>VLOOKUP($A213,[1]中未分析60315!$A:$M,8,0)</f>
        <v>42</v>
      </c>
      <c r="C213" s="4">
        <f>VLOOKUP($A213,[1]中未分析60315!$A:$M,9,0)</f>
        <v>41</v>
      </c>
      <c r="D213" s="4">
        <f>VLOOKUP($A213,[1]中未分析60315!$A:$M,10,0)</f>
        <v>39</v>
      </c>
      <c r="E213" s="4">
        <f>VLOOKUP($A213,[1]中未分析60315!$A:$M,11,0)</f>
        <v>37</v>
      </c>
      <c r="F213" s="4">
        <f>VLOOKUP($A213,[1]中未分析60315!$A:$M,12,0)</f>
        <v>36</v>
      </c>
      <c r="G213" s="4">
        <f>VLOOKUP($A213,[1]中未分析60315!$A:$M,13,0)</f>
        <v>34</v>
      </c>
      <c r="H213" s="3" t="s">
        <v>10</v>
      </c>
      <c r="I213" s="3" t="s">
        <v>430</v>
      </c>
    </row>
    <row r="214" customHeight="1" spans="1:9">
      <c r="A214" s="4" t="s">
        <v>431</v>
      </c>
      <c r="B214" s="4">
        <f>VLOOKUP($A214,[1]中未分析60315!$A:$M,8,0)</f>
        <v>31</v>
      </c>
      <c r="C214" s="4">
        <f>VLOOKUP($A214,[1]中未分析60315!$A:$M,9,0)</f>
        <v>30</v>
      </c>
      <c r="D214" s="4">
        <f>VLOOKUP($A214,[1]中未分析60315!$A:$M,10,0)</f>
        <v>29</v>
      </c>
      <c r="E214" s="4">
        <f>VLOOKUP($A214,[1]中未分析60315!$A:$M,11,0)</f>
        <v>28</v>
      </c>
      <c r="F214" s="4">
        <f>VLOOKUP($A214,[1]中未分析60315!$A:$M,12,0)</f>
        <v>27</v>
      </c>
      <c r="G214" s="4">
        <f>VLOOKUP($A214,[1]中未分析60315!$A:$M,13,0)</f>
        <v>25</v>
      </c>
      <c r="H214" s="3" t="s">
        <v>10</v>
      </c>
      <c r="I214" s="3" t="s">
        <v>432</v>
      </c>
    </row>
    <row r="215" customHeight="1" spans="1:9">
      <c r="A215" s="4" t="s">
        <v>433</v>
      </c>
      <c r="B215" s="4">
        <f>VLOOKUP($A215,[1]中未分析60315!$A:$M,8,0)</f>
        <v>36</v>
      </c>
      <c r="C215" s="4">
        <f>VLOOKUP($A215,[1]中未分析60315!$A:$M,9,0)</f>
        <v>35</v>
      </c>
      <c r="D215" s="4">
        <f>VLOOKUP($A215,[1]中未分析60315!$A:$M,10,0)</f>
        <v>33</v>
      </c>
      <c r="E215" s="4">
        <f>VLOOKUP($A215,[1]中未分析60315!$A:$M,11,0)</f>
        <v>32</v>
      </c>
      <c r="F215" s="4">
        <f>VLOOKUP($A215,[1]中未分析60315!$A:$M,12,0)</f>
        <v>31</v>
      </c>
      <c r="G215" s="4">
        <f>VLOOKUP($A215,[1]中未分析60315!$A:$M,13,0)</f>
        <v>29</v>
      </c>
      <c r="H215" s="3" t="s">
        <v>10</v>
      </c>
      <c r="I215" s="3" t="s">
        <v>434</v>
      </c>
    </row>
    <row r="216" customHeight="1" spans="1:9">
      <c r="A216" s="4" t="s">
        <v>435</v>
      </c>
      <c r="B216" s="4">
        <f>VLOOKUP($A216,[1]中未分析60315!$A:$M,8,0)</f>
        <v>22</v>
      </c>
      <c r="C216" s="4">
        <f>VLOOKUP($A216,[1]中未分析60315!$A:$M,9,0)</f>
        <v>21</v>
      </c>
      <c r="D216" s="4">
        <f>VLOOKUP($A216,[1]中未分析60315!$A:$M,10,0)</f>
        <v>20</v>
      </c>
      <c r="E216" s="4">
        <f>VLOOKUP($A216,[1]中未分析60315!$A:$M,11,0)</f>
        <v>19</v>
      </c>
      <c r="F216" s="4">
        <f>VLOOKUP($A216,[1]中未分析60315!$A:$M,12,0)</f>
        <v>18</v>
      </c>
      <c r="G216" s="4">
        <f>VLOOKUP($A216,[1]中未分析60315!$A:$M,13,0)</f>
        <v>18</v>
      </c>
      <c r="H216" s="3" t="s">
        <v>10</v>
      </c>
      <c r="I216" s="3" t="s">
        <v>436</v>
      </c>
    </row>
    <row r="217" customHeight="1" spans="1:9">
      <c r="A217" s="4" t="s">
        <v>437</v>
      </c>
      <c r="B217" s="4">
        <f>VLOOKUP($A217,[1]中未分析60315!$A:$M,8,0)</f>
        <v>37</v>
      </c>
      <c r="C217" s="4">
        <f>VLOOKUP($A217,[1]中未分析60315!$A:$M,9,0)</f>
        <v>35</v>
      </c>
      <c r="D217" s="4">
        <f>VLOOKUP($A217,[1]中未分析60315!$A:$M,10,0)</f>
        <v>34</v>
      </c>
      <c r="E217" s="4">
        <f>VLOOKUP($A217,[1]中未分析60315!$A:$M,11,0)</f>
        <v>33</v>
      </c>
      <c r="F217" s="4">
        <f>VLOOKUP($A217,[1]中未分析60315!$A:$M,12,0)</f>
        <v>31</v>
      </c>
      <c r="G217" s="4">
        <f>VLOOKUP($A217,[1]中未分析60315!$A:$M,13,0)</f>
        <v>30</v>
      </c>
      <c r="H217" s="3" t="s">
        <v>10</v>
      </c>
      <c r="I217" s="3" t="s">
        <v>438</v>
      </c>
    </row>
    <row r="218" customHeight="1" spans="1:9">
      <c r="A218" s="4" t="s">
        <v>439</v>
      </c>
      <c r="B218" s="4">
        <f>VLOOKUP($A218,[1]中未分析60315!$A:$M,8,0)</f>
        <v>42</v>
      </c>
      <c r="C218" s="4">
        <f>VLOOKUP($A218,[1]中未分析60315!$A:$M,9,0)</f>
        <v>41</v>
      </c>
      <c r="D218" s="4">
        <f>VLOOKUP($A218,[1]中未分析60315!$A:$M,10,0)</f>
        <v>39</v>
      </c>
      <c r="E218" s="4">
        <f>VLOOKUP($A218,[1]中未分析60315!$A:$M,11,0)</f>
        <v>37</v>
      </c>
      <c r="F218" s="4">
        <f>VLOOKUP($A218,[1]中未分析60315!$A:$M,12,0)</f>
        <v>36</v>
      </c>
      <c r="G218" s="4">
        <f>VLOOKUP($A218,[1]中未分析60315!$A:$M,13,0)</f>
        <v>34</v>
      </c>
      <c r="H218" s="3" t="s">
        <v>10</v>
      </c>
      <c r="I218" s="3" t="s">
        <v>440</v>
      </c>
    </row>
    <row r="219" customHeight="1" spans="1:9">
      <c r="A219" s="4" t="s">
        <v>441</v>
      </c>
      <c r="B219" s="4">
        <f>VLOOKUP($A219,[1]中未分析60315!$A:$M,8,0)</f>
        <v>101</v>
      </c>
      <c r="C219" s="4">
        <f>VLOOKUP($A219,[1]中未分析60315!$A:$M,9,0)</f>
        <v>100</v>
      </c>
      <c r="D219" s="4">
        <f>VLOOKUP($A219,[1]中未分析60315!$A:$M,10,0)</f>
        <v>98</v>
      </c>
      <c r="E219" s="4">
        <f>VLOOKUP($A219,[1]中未分析60315!$A:$M,11,0)</f>
        <v>96</v>
      </c>
      <c r="F219" s="4">
        <f>VLOOKUP($A219,[1]中未分析60315!$A:$M,12,0)</f>
        <v>95</v>
      </c>
      <c r="G219" s="4">
        <f>VLOOKUP($A219,[1]中未分析60315!$A:$M,13,0)</f>
        <v>94</v>
      </c>
      <c r="H219" s="3" t="s">
        <v>39</v>
      </c>
      <c r="I219" s="3" t="s">
        <v>442</v>
      </c>
    </row>
    <row r="220" customHeight="1" spans="1:9">
      <c r="A220" s="4" t="s">
        <v>443</v>
      </c>
      <c r="B220" s="4">
        <f>VLOOKUP($A220,[1]中未分析60315!$A:$M,8,0)</f>
        <v>34</v>
      </c>
      <c r="C220" s="4">
        <f>VLOOKUP($A220,[1]中未分析60315!$A:$M,9,0)</f>
        <v>33</v>
      </c>
      <c r="D220" s="4">
        <f>VLOOKUP($A220,[1]中未分析60315!$A:$M,10,0)</f>
        <v>32</v>
      </c>
      <c r="E220" s="4">
        <f>VLOOKUP($A220,[1]中未分析60315!$A:$M,11,0)</f>
        <v>30</v>
      </c>
      <c r="F220" s="4">
        <f>VLOOKUP($A220,[1]中未分析60315!$A:$M,12,0)</f>
        <v>29</v>
      </c>
      <c r="G220" s="4">
        <f>VLOOKUP($A220,[1]中未分析60315!$A:$M,13,0)</f>
        <v>28</v>
      </c>
      <c r="H220" s="3" t="s">
        <v>10</v>
      </c>
      <c r="I220" s="3" t="s">
        <v>444</v>
      </c>
    </row>
    <row r="221" customHeight="1" spans="1:9">
      <c r="A221" s="4" t="s">
        <v>445</v>
      </c>
      <c r="B221" s="4">
        <f>VLOOKUP($A221,[1]中未分析60315!$A:$M,8,0)</f>
        <v>40</v>
      </c>
      <c r="C221" s="4">
        <f>VLOOKUP($A221,[1]中未分析60315!$A:$M,9,0)</f>
        <v>39</v>
      </c>
      <c r="D221" s="4">
        <f>VLOOKUP($A221,[1]中未分析60315!$A:$M,10,0)</f>
        <v>37</v>
      </c>
      <c r="E221" s="4">
        <f>VLOOKUP($A221,[1]中未分析60315!$A:$M,11,0)</f>
        <v>36</v>
      </c>
      <c r="F221" s="4">
        <f>VLOOKUP($A221,[1]中未分析60315!$A:$M,12,0)</f>
        <v>35</v>
      </c>
      <c r="G221" s="4">
        <f>VLOOKUP($A221,[1]中未分析60315!$A:$M,13,0)</f>
        <v>33</v>
      </c>
      <c r="H221" s="3" t="s">
        <v>10</v>
      </c>
      <c r="I221" s="3" t="s">
        <v>35</v>
      </c>
    </row>
    <row r="222" customHeight="1" spans="1:9">
      <c r="A222" s="4" t="s">
        <v>446</v>
      </c>
      <c r="B222" s="4">
        <f>VLOOKUP($A222,[1]中未分析60315!$A:$M,8,0)</f>
        <v>36</v>
      </c>
      <c r="C222" s="4">
        <f>VLOOKUP($A222,[1]中未分析60315!$A:$M,9,0)</f>
        <v>34</v>
      </c>
      <c r="D222" s="4">
        <f>VLOOKUP($A222,[1]中未分析60315!$A:$M,10,0)</f>
        <v>33</v>
      </c>
      <c r="E222" s="4">
        <f>VLOOKUP($A222,[1]中未分析60315!$A:$M,11,0)</f>
        <v>32</v>
      </c>
      <c r="F222" s="4">
        <f>VLOOKUP($A222,[1]中未分析60315!$A:$M,12,0)</f>
        <v>30</v>
      </c>
      <c r="G222" s="4">
        <f>VLOOKUP($A222,[1]中未分析60315!$A:$M,13,0)</f>
        <v>29</v>
      </c>
      <c r="H222" s="3" t="s">
        <v>10</v>
      </c>
      <c r="I222" s="3" t="s">
        <v>447</v>
      </c>
    </row>
    <row r="223" customHeight="1" spans="1:9">
      <c r="A223" s="4" t="s">
        <v>448</v>
      </c>
      <c r="B223" s="4">
        <f>VLOOKUP($A223,[1]中未分析60315!$A:$M,8,0)</f>
        <v>35</v>
      </c>
      <c r="C223" s="4">
        <f>VLOOKUP($A223,[1]中未分析60315!$A:$M,9,0)</f>
        <v>34</v>
      </c>
      <c r="D223" s="4">
        <f>VLOOKUP($A223,[1]中未分析60315!$A:$M,10,0)</f>
        <v>33</v>
      </c>
      <c r="E223" s="4">
        <f>VLOOKUP($A223,[1]中未分析60315!$A:$M,11,0)</f>
        <v>32</v>
      </c>
      <c r="F223" s="4">
        <f>VLOOKUP($A223,[1]中未分析60315!$A:$M,12,0)</f>
        <v>30</v>
      </c>
      <c r="G223" s="4">
        <f>VLOOKUP($A223,[1]中未分析60315!$A:$M,13,0)</f>
        <v>29</v>
      </c>
      <c r="H223" s="3" t="s">
        <v>10</v>
      </c>
      <c r="I223" s="3" t="s">
        <v>449</v>
      </c>
    </row>
    <row r="224" customHeight="1" spans="1:9">
      <c r="A224" s="4" t="s">
        <v>450</v>
      </c>
      <c r="B224" s="4">
        <f>VLOOKUP($A224,[1]中未分析60315!$A:$M,8,0)</f>
        <v>41</v>
      </c>
      <c r="C224" s="4">
        <f>VLOOKUP($A224,[1]中未分析60315!$A:$M,9,0)</f>
        <v>39</v>
      </c>
      <c r="D224" s="4">
        <f>VLOOKUP($A224,[1]中未分析60315!$A:$M,10,0)</f>
        <v>38</v>
      </c>
      <c r="E224" s="4">
        <f>VLOOKUP($A224,[1]中未分析60315!$A:$M,11,0)</f>
        <v>36</v>
      </c>
      <c r="F224" s="4">
        <f>VLOOKUP($A224,[1]中未分析60315!$A:$M,12,0)</f>
        <v>35</v>
      </c>
      <c r="G224" s="4">
        <f>VLOOKUP($A224,[1]中未分析60315!$A:$M,13,0)</f>
        <v>33</v>
      </c>
      <c r="H224" s="3" t="s">
        <v>10</v>
      </c>
      <c r="I224" s="3" t="s">
        <v>451</v>
      </c>
    </row>
    <row r="225" customHeight="1" spans="1:9">
      <c r="A225" s="4" t="s">
        <v>452</v>
      </c>
      <c r="B225" s="4">
        <f>VLOOKUP($A225,[1]中未分析60315!$A:$M,8,0)</f>
        <v>29</v>
      </c>
      <c r="C225" s="4">
        <f>VLOOKUP($A225,[1]中未分析60315!$A:$M,9,0)</f>
        <v>28</v>
      </c>
      <c r="D225" s="4">
        <f>VLOOKUP($A225,[1]中未分析60315!$A:$M,10,0)</f>
        <v>27</v>
      </c>
      <c r="E225" s="4">
        <f>VLOOKUP($A225,[1]中未分析60315!$A:$M,11,0)</f>
        <v>26</v>
      </c>
      <c r="F225" s="4">
        <f>VLOOKUP($A225,[1]中未分析60315!$A:$M,12,0)</f>
        <v>25</v>
      </c>
      <c r="G225" s="4">
        <f>VLOOKUP($A225,[1]中未分析60315!$A:$M,13,0)</f>
        <v>24</v>
      </c>
      <c r="H225" s="3" t="s">
        <v>10</v>
      </c>
      <c r="I225" s="3" t="s">
        <v>453</v>
      </c>
    </row>
    <row r="226" customHeight="1" spans="1:9">
      <c r="A226" s="4" t="s">
        <v>454</v>
      </c>
      <c r="B226" s="4">
        <f>VLOOKUP($A226,[1]中未分析60315!$A:$M,8,0)</f>
        <v>32</v>
      </c>
      <c r="C226" s="4">
        <f>VLOOKUP($A226,[1]中未分析60315!$A:$M,9,0)</f>
        <v>31</v>
      </c>
      <c r="D226" s="4">
        <f>VLOOKUP($A226,[1]中未分析60315!$A:$M,10,0)</f>
        <v>29</v>
      </c>
      <c r="E226" s="4">
        <f>VLOOKUP($A226,[1]中未分析60315!$A:$M,11,0)</f>
        <v>28</v>
      </c>
      <c r="F226" s="4">
        <f>VLOOKUP($A226,[1]中未分析60315!$A:$M,12,0)</f>
        <v>27</v>
      </c>
      <c r="G226" s="4">
        <f>VLOOKUP($A226,[1]中未分析60315!$A:$M,13,0)</f>
        <v>26</v>
      </c>
      <c r="H226" s="3" t="s">
        <v>10</v>
      </c>
      <c r="I226" s="3" t="s">
        <v>455</v>
      </c>
    </row>
    <row r="227" customHeight="1" spans="1:9">
      <c r="A227" s="4" t="s">
        <v>456</v>
      </c>
      <c r="B227" s="4">
        <f>VLOOKUP($A227,[1]中未分析60315!$A:$M,8,0)</f>
        <v>54</v>
      </c>
      <c r="C227" s="4">
        <f>VLOOKUP($A227,[1]中未分析60315!$A:$M,9,0)</f>
        <v>52</v>
      </c>
      <c r="D227" s="4">
        <f>VLOOKUP($A227,[1]中未分析60315!$A:$M,10,0)</f>
        <v>50</v>
      </c>
      <c r="E227" s="4">
        <f>VLOOKUP($A227,[1]中未分析60315!$A:$M,11,0)</f>
        <v>48</v>
      </c>
      <c r="F227" s="4">
        <f>VLOOKUP($A227,[1]中未分析60315!$A:$M,12,0)</f>
        <v>46</v>
      </c>
      <c r="G227" s="4">
        <f>VLOOKUP($A227,[1]中未分析60315!$A:$M,13,0)</f>
        <v>44</v>
      </c>
      <c r="H227" s="3" t="s">
        <v>10</v>
      </c>
      <c r="I227" s="3" t="s">
        <v>457</v>
      </c>
    </row>
    <row r="228" customHeight="1" spans="1:9">
      <c r="A228" s="4" t="s">
        <v>458</v>
      </c>
      <c r="B228" s="4">
        <f>VLOOKUP($A228,[1]中未分析60315!$A:$M,8,0)</f>
        <v>61</v>
      </c>
      <c r="C228" s="4">
        <f>VLOOKUP($A228,[1]中未分析60315!$A:$M,9,0)</f>
        <v>60</v>
      </c>
      <c r="D228" s="4">
        <f>VLOOKUP($A228,[1]中未分析60315!$A:$M,10,0)</f>
        <v>59</v>
      </c>
      <c r="E228" s="4">
        <f>VLOOKUP($A228,[1]中未分析60315!$A:$M,11,0)</f>
        <v>58</v>
      </c>
      <c r="F228" s="4">
        <f>VLOOKUP($A228,[1]中未分析60315!$A:$M,12,0)</f>
        <v>57</v>
      </c>
      <c r="G228" s="4">
        <f>VLOOKUP($A228,[1]中未分析60315!$A:$M,13,0)</f>
        <v>56</v>
      </c>
      <c r="H228" s="3" t="s">
        <v>39</v>
      </c>
      <c r="I228" s="3" t="s">
        <v>459</v>
      </c>
    </row>
    <row r="229" customHeight="1" spans="1:9">
      <c r="A229" s="4" t="s">
        <v>460</v>
      </c>
      <c r="B229" s="4">
        <f>VLOOKUP($A229,[1]中未分析60315!$A:$M,8,0)</f>
        <v>63</v>
      </c>
      <c r="C229" s="4">
        <f>VLOOKUP($A229,[1]中未分析60315!$A:$M,9,0)</f>
        <v>60</v>
      </c>
      <c r="D229" s="4">
        <f>VLOOKUP($A229,[1]中未分析60315!$A:$M,10,0)</f>
        <v>58</v>
      </c>
      <c r="E229" s="4">
        <f>VLOOKUP($A229,[1]中未分析60315!$A:$M,11,0)</f>
        <v>56</v>
      </c>
      <c r="F229" s="4">
        <f>VLOOKUP($A229,[1]中未分析60315!$A:$M,12,0)</f>
        <v>54</v>
      </c>
      <c r="G229" s="4">
        <f>VLOOKUP($A229,[1]中未分析60315!$A:$M,13,0)</f>
        <v>51</v>
      </c>
      <c r="H229" s="3" t="s">
        <v>10</v>
      </c>
      <c r="I229" s="3" t="s">
        <v>461</v>
      </c>
    </row>
    <row r="230" customHeight="1" spans="1:9">
      <c r="A230" s="4" t="s">
        <v>462</v>
      </c>
      <c r="B230" s="4">
        <f>VLOOKUP($A230,[1]中未分析60315!$A:$M,8,0)</f>
        <v>43</v>
      </c>
      <c r="C230" s="4">
        <f>VLOOKUP($A230,[1]中未分析60315!$A:$M,9,0)</f>
        <v>42</v>
      </c>
      <c r="D230" s="4">
        <f>VLOOKUP($A230,[1]中未分析60315!$A:$M,10,0)</f>
        <v>40</v>
      </c>
      <c r="E230" s="4">
        <f>VLOOKUP($A230,[1]中未分析60315!$A:$M,11,0)</f>
        <v>38</v>
      </c>
      <c r="F230" s="4">
        <f>VLOOKUP($A230,[1]中未分析60315!$A:$M,12,0)</f>
        <v>37</v>
      </c>
      <c r="G230" s="4">
        <f>VLOOKUP($A230,[1]中未分析60315!$A:$M,13,0)</f>
        <v>35</v>
      </c>
      <c r="H230" s="3" t="s">
        <v>10</v>
      </c>
      <c r="I230" s="3" t="s">
        <v>463</v>
      </c>
    </row>
    <row r="231" customHeight="1" spans="1:9">
      <c r="A231" s="4" t="s">
        <v>464</v>
      </c>
      <c r="B231" s="4">
        <f>VLOOKUP($A231,[1]中未分析60315!$A:$M,8,0)</f>
        <v>21</v>
      </c>
      <c r="C231" s="4">
        <f>VLOOKUP($A231,[1]中未分析60315!$A:$M,9,0)</f>
        <v>20</v>
      </c>
      <c r="D231" s="4">
        <f>VLOOKUP($A231,[1]中未分析60315!$A:$M,10,0)</f>
        <v>20</v>
      </c>
      <c r="E231" s="4">
        <f>VLOOKUP($A231,[1]中未分析60315!$A:$M,11,0)</f>
        <v>19</v>
      </c>
      <c r="F231" s="4">
        <f>VLOOKUP($A231,[1]中未分析60315!$A:$M,12,0)</f>
        <v>18</v>
      </c>
      <c r="G231" s="4">
        <f>VLOOKUP($A231,[1]中未分析60315!$A:$M,13,0)</f>
        <v>17</v>
      </c>
      <c r="H231" s="3" t="s">
        <v>10</v>
      </c>
      <c r="I231" s="3" t="s">
        <v>465</v>
      </c>
    </row>
    <row r="232" customHeight="1" spans="1:9">
      <c r="A232" s="4" t="s">
        <v>466</v>
      </c>
      <c r="B232" s="4">
        <f>VLOOKUP($A232,[1]中未分析60315!$A:$M,8,0)</f>
        <v>51</v>
      </c>
      <c r="C232" s="4">
        <f>VLOOKUP($A232,[1]中未分析60315!$A:$M,9,0)</f>
        <v>51</v>
      </c>
      <c r="D232" s="4">
        <f>VLOOKUP($A232,[1]中未分析60315!$A:$M,10,0)</f>
        <v>50</v>
      </c>
      <c r="E232" s="4">
        <f>VLOOKUP($A232,[1]中未分析60315!$A:$M,11,0)</f>
        <v>49</v>
      </c>
      <c r="F232" s="4">
        <f>VLOOKUP($A232,[1]中未分析60315!$A:$M,12,0)</f>
        <v>48</v>
      </c>
      <c r="G232" s="4">
        <f>VLOOKUP($A232,[1]中未分析60315!$A:$M,13,0)</f>
        <v>48</v>
      </c>
      <c r="H232" s="3" t="s">
        <v>39</v>
      </c>
      <c r="I232" s="3" t="s">
        <v>467</v>
      </c>
    </row>
    <row r="233" customHeight="1" spans="1:9">
      <c r="A233" s="4" t="s">
        <v>468</v>
      </c>
      <c r="B233" s="4">
        <f>VLOOKUP($A233,[1]中未分析60315!$A:$M,8,0)</f>
        <v>26</v>
      </c>
      <c r="C233" s="4">
        <f>VLOOKUP($A233,[1]中未分析60315!$A:$M,9,0)</f>
        <v>25</v>
      </c>
      <c r="D233" s="4">
        <f>VLOOKUP($A233,[1]中未分析60315!$A:$M,10,0)</f>
        <v>24</v>
      </c>
      <c r="E233" s="4">
        <f>VLOOKUP($A233,[1]中未分析60315!$A:$M,11,0)</f>
        <v>24</v>
      </c>
      <c r="F233" s="4">
        <f>VLOOKUP($A233,[1]中未分析60315!$A:$M,12,0)</f>
        <v>23</v>
      </c>
      <c r="G233" s="4">
        <f>VLOOKUP($A233,[1]中未分析60315!$A:$M,13,0)</f>
        <v>22</v>
      </c>
      <c r="H233" s="3" t="s">
        <v>10</v>
      </c>
      <c r="I233" s="3" t="s">
        <v>469</v>
      </c>
    </row>
    <row r="234" customHeight="1" spans="1:9">
      <c r="A234" s="4" t="s">
        <v>470</v>
      </c>
      <c r="B234" s="4">
        <f>VLOOKUP($A234,[1]中未分析60315!$A:$M,8,0)</f>
        <v>55</v>
      </c>
      <c r="C234" s="4">
        <f>VLOOKUP($A234,[1]中未分析60315!$A:$M,9,0)</f>
        <v>53</v>
      </c>
      <c r="D234" s="4">
        <f>VLOOKUP($A234,[1]中未分析60315!$A:$M,10,0)</f>
        <v>51</v>
      </c>
      <c r="E234" s="4">
        <f>VLOOKUP($A234,[1]中未分析60315!$A:$M,11,0)</f>
        <v>49</v>
      </c>
      <c r="F234" s="4">
        <f>VLOOKUP($A234,[1]中未分析60315!$A:$M,12,0)</f>
        <v>47</v>
      </c>
      <c r="G234" s="4">
        <f>VLOOKUP($A234,[1]中未分析60315!$A:$M,13,0)</f>
        <v>45</v>
      </c>
      <c r="H234" s="3" t="s">
        <v>10</v>
      </c>
      <c r="I234" s="3" t="s">
        <v>471</v>
      </c>
    </row>
    <row r="235" customHeight="1" spans="1:9">
      <c r="A235" s="4" t="s">
        <v>472</v>
      </c>
      <c r="B235" s="4">
        <f>VLOOKUP($A235,[1]中未分析60315!$A:$M,8,0)</f>
        <v>42</v>
      </c>
      <c r="C235" s="4">
        <f>VLOOKUP($A235,[1]中未分析60315!$A:$M,9,0)</f>
        <v>40</v>
      </c>
      <c r="D235" s="4">
        <f>VLOOKUP($A235,[1]中未分析60315!$A:$M,10,0)</f>
        <v>39</v>
      </c>
      <c r="E235" s="4">
        <f>VLOOKUP($A235,[1]中未分析60315!$A:$M,11,0)</f>
        <v>37</v>
      </c>
      <c r="F235" s="4">
        <f>VLOOKUP($A235,[1]中未分析60315!$A:$M,12,0)</f>
        <v>36</v>
      </c>
      <c r="G235" s="4">
        <f>VLOOKUP($A235,[1]中未分析60315!$A:$M,13,0)</f>
        <v>34</v>
      </c>
      <c r="H235" s="3" t="s">
        <v>10</v>
      </c>
      <c r="I235" s="3" t="s">
        <v>473</v>
      </c>
    </row>
    <row r="236" customHeight="1" spans="1:9">
      <c r="A236" s="4" t="s">
        <v>474</v>
      </c>
      <c r="B236" s="4">
        <f>VLOOKUP($A236,[1]中未分析60315!$A:$M,8,0)</f>
        <v>29</v>
      </c>
      <c r="C236" s="4">
        <f>VLOOKUP($A236,[1]中未分析60315!$A:$M,9,0)</f>
        <v>28</v>
      </c>
      <c r="D236" s="4">
        <f>VLOOKUP($A236,[1]中未分析60315!$A:$M,10,0)</f>
        <v>27</v>
      </c>
      <c r="E236" s="4">
        <f>VLOOKUP($A236,[1]中未分析60315!$A:$M,11,0)</f>
        <v>26</v>
      </c>
      <c r="F236" s="4">
        <f>VLOOKUP($A236,[1]中未分析60315!$A:$M,12,0)</f>
        <v>25</v>
      </c>
      <c r="G236" s="4">
        <f>VLOOKUP($A236,[1]中未分析60315!$A:$M,13,0)</f>
        <v>24</v>
      </c>
      <c r="H236" s="3" t="s">
        <v>10</v>
      </c>
      <c r="I236" s="3" t="s">
        <v>475</v>
      </c>
    </row>
    <row r="237" customHeight="1" spans="1:9">
      <c r="A237" s="4" t="s">
        <v>476</v>
      </c>
      <c r="B237" s="4">
        <f>VLOOKUP($A237,[1]中未分析60315!$A:$M,8,0)</f>
        <v>30</v>
      </c>
      <c r="C237" s="4">
        <f>VLOOKUP($A237,[1]中未分析60315!$A:$M,9,0)</f>
        <v>30</v>
      </c>
      <c r="D237" s="4">
        <f>VLOOKUP($A237,[1]中未分析60315!$A:$M,10,0)</f>
        <v>29</v>
      </c>
      <c r="E237" s="4">
        <f>VLOOKUP($A237,[1]中未分析60315!$A:$M,11,0)</f>
        <v>29</v>
      </c>
      <c r="F237" s="4">
        <f>VLOOKUP($A237,[1]中未分析60315!$A:$M,12,0)</f>
        <v>28</v>
      </c>
      <c r="G237" s="4">
        <f>VLOOKUP($A237,[1]中未分析60315!$A:$M,13,0)</f>
        <v>28</v>
      </c>
      <c r="H237" s="3" t="s">
        <v>39</v>
      </c>
      <c r="I237" s="3" t="s">
        <v>477</v>
      </c>
    </row>
    <row r="238" customHeight="1" spans="1:9">
      <c r="A238" s="4" t="s">
        <v>478</v>
      </c>
      <c r="B238" s="4">
        <f>VLOOKUP($A238,[1]中未分析60315!$A:$M,8,0)</f>
        <v>42</v>
      </c>
      <c r="C238" s="4">
        <f>VLOOKUP($A238,[1]中未分析60315!$A:$M,9,0)</f>
        <v>41</v>
      </c>
      <c r="D238" s="4">
        <f>VLOOKUP($A238,[1]中未分析60315!$A:$M,10,0)</f>
        <v>39</v>
      </c>
      <c r="E238" s="4">
        <f>VLOOKUP($A238,[1]中未分析60315!$A:$M,11,0)</f>
        <v>38</v>
      </c>
      <c r="F238" s="4">
        <f>VLOOKUP($A238,[1]中未分析60315!$A:$M,12,0)</f>
        <v>36</v>
      </c>
      <c r="G238" s="4">
        <f>VLOOKUP($A238,[1]中未分析60315!$A:$M,13,0)</f>
        <v>34</v>
      </c>
      <c r="H238" s="3" t="s">
        <v>10</v>
      </c>
      <c r="I238" s="3" t="s">
        <v>479</v>
      </c>
    </row>
    <row r="239" customHeight="1" spans="1:9">
      <c r="A239" s="4" t="s">
        <v>480</v>
      </c>
      <c r="B239" s="4">
        <f>VLOOKUP($A239,[1]中未分析60315!$A:$M,8,0)</f>
        <v>37</v>
      </c>
      <c r="C239" s="4">
        <f>VLOOKUP($A239,[1]中未分析60315!$A:$M,9,0)</f>
        <v>35</v>
      </c>
      <c r="D239" s="4">
        <f>VLOOKUP($A239,[1]中未分析60315!$A:$M,10,0)</f>
        <v>34</v>
      </c>
      <c r="E239" s="4">
        <f>VLOOKUP($A239,[1]中未分析60315!$A:$M,11,0)</f>
        <v>33</v>
      </c>
      <c r="F239" s="4">
        <f>VLOOKUP($A239,[1]中未分析60315!$A:$M,12,0)</f>
        <v>31</v>
      </c>
      <c r="G239" s="4">
        <f>VLOOKUP($A239,[1]中未分析60315!$A:$M,13,0)</f>
        <v>30</v>
      </c>
      <c r="H239" s="3" t="s">
        <v>10</v>
      </c>
      <c r="I239" s="3" t="s">
        <v>481</v>
      </c>
    </row>
    <row r="240" customHeight="1" spans="1:9">
      <c r="A240" s="4" t="s">
        <v>482</v>
      </c>
      <c r="B240" s="4">
        <f>VLOOKUP($A240,[1]中未分析60315!$A:$M,8,0)</f>
        <v>173</v>
      </c>
      <c r="C240" s="4">
        <f>VLOOKUP($A240,[1]中未分析60315!$A:$M,9,0)</f>
        <v>170</v>
      </c>
      <c r="D240" s="4">
        <f>VLOOKUP($A240,[1]中未分析60315!$A:$M,10,0)</f>
        <v>167</v>
      </c>
      <c r="E240" s="4">
        <f>VLOOKUP($A240,[1]中未分析60315!$A:$M,11,0)</f>
        <v>164</v>
      </c>
      <c r="F240" s="4">
        <f>VLOOKUP($A240,[1]中未分析60315!$A:$M,12,0)</f>
        <v>163</v>
      </c>
      <c r="G240" s="4">
        <f>VLOOKUP($A240,[1]中未分析60315!$A:$M,13,0)</f>
        <v>160</v>
      </c>
      <c r="H240" s="3" t="s">
        <v>39</v>
      </c>
      <c r="I240" s="3" t="s">
        <v>483</v>
      </c>
    </row>
    <row r="241" customHeight="1" spans="1:9">
      <c r="A241" s="4" t="s">
        <v>484</v>
      </c>
      <c r="B241" s="4">
        <f>VLOOKUP($A241,[1]中未分析60315!$A:$M,8,0)</f>
        <v>31</v>
      </c>
      <c r="C241" s="4">
        <f>VLOOKUP($A241,[1]中未分析60315!$A:$M,9,0)</f>
        <v>30</v>
      </c>
      <c r="D241" s="4">
        <f>VLOOKUP($A241,[1]中未分析60315!$A:$M,10,0)</f>
        <v>29</v>
      </c>
      <c r="E241" s="4">
        <f>VLOOKUP($A241,[1]中未分析60315!$A:$M,11,0)</f>
        <v>28</v>
      </c>
      <c r="F241" s="4">
        <f>VLOOKUP($A241,[1]中未分析60315!$A:$M,12,0)</f>
        <v>26</v>
      </c>
      <c r="G241" s="4">
        <f>VLOOKUP($A241,[1]中未分析60315!$A:$M,13,0)</f>
        <v>25</v>
      </c>
      <c r="H241" s="3" t="s">
        <v>10</v>
      </c>
      <c r="I241" s="3" t="s">
        <v>485</v>
      </c>
    </row>
    <row r="242" customHeight="1" spans="1:9">
      <c r="A242" s="4" t="s">
        <v>486</v>
      </c>
      <c r="B242" s="4">
        <f>VLOOKUP($A242,[1]中未分析60315!$A:$M,8,0)</f>
        <v>44</v>
      </c>
      <c r="C242" s="4">
        <f>VLOOKUP($A242,[1]中未分析60315!$A:$M,9,0)</f>
        <v>43</v>
      </c>
      <c r="D242" s="4">
        <f>VLOOKUP($A242,[1]中未分析60315!$A:$M,10,0)</f>
        <v>43</v>
      </c>
      <c r="E242" s="4">
        <f>VLOOKUP($A242,[1]中未分析60315!$A:$M,11,0)</f>
        <v>42</v>
      </c>
      <c r="F242" s="4">
        <f>VLOOKUP($A242,[1]中未分析60315!$A:$M,12,0)</f>
        <v>41</v>
      </c>
      <c r="G242" s="4">
        <f>VLOOKUP($A242,[1]中未分析60315!$A:$M,13,0)</f>
        <v>41</v>
      </c>
      <c r="H242" s="3" t="s">
        <v>39</v>
      </c>
      <c r="I242" s="3" t="s">
        <v>487</v>
      </c>
    </row>
    <row r="243" customHeight="1" spans="1:9">
      <c r="A243" s="4" t="s">
        <v>488</v>
      </c>
      <c r="B243" s="4">
        <f>VLOOKUP($A243,[1]中未分析60315!$A:$M,8,0)</f>
        <v>47</v>
      </c>
      <c r="C243" s="4">
        <f>VLOOKUP($A243,[1]中未分析60315!$A:$M,9,0)</f>
        <v>45</v>
      </c>
      <c r="D243" s="4">
        <f>VLOOKUP($A243,[1]中未分析60315!$A:$M,10,0)</f>
        <v>44</v>
      </c>
      <c r="E243" s="4">
        <f>VLOOKUP($A243,[1]中未分析60315!$A:$M,11,0)</f>
        <v>42</v>
      </c>
      <c r="F243" s="4">
        <f>VLOOKUP($A243,[1]中未分析60315!$A:$M,12,0)</f>
        <v>40</v>
      </c>
      <c r="G243" s="4">
        <f>VLOOKUP($A243,[1]中未分析60315!$A:$M,13,0)</f>
        <v>38</v>
      </c>
      <c r="H243" s="3" t="s">
        <v>10</v>
      </c>
      <c r="I243" s="3" t="s">
        <v>489</v>
      </c>
    </row>
    <row r="244" customHeight="1" spans="1:9">
      <c r="A244" s="4" t="s">
        <v>490</v>
      </c>
      <c r="B244" s="4">
        <f>VLOOKUP($A244,[1]中未分析60315!$A:$M,8,0)</f>
        <v>32</v>
      </c>
      <c r="C244" s="4">
        <f>VLOOKUP($A244,[1]中未分析60315!$A:$M,9,0)</f>
        <v>31</v>
      </c>
      <c r="D244" s="4">
        <f>VLOOKUP($A244,[1]中未分析60315!$A:$M,10,0)</f>
        <v>29</v>
      </c>
      <c r="E244" s="4">
        <f>VLOOKUP($A244,[1]中未分析60315!$A:$M,11,0)</f>
        <v>28</v>
      </c>
      <c r="F244" s="4">
        <f>VLOOKUP($A244,[1]中未分析60315!$A:$M,12,0)</f>
        <v>27</v>
      </c>
      <c r="G244" s="4">
        <f>VLOOKUP($A244,[1]中未分析60315!$A:$M,13,0)</f>
        <v>26</v>
      </c>
      <c r="H244" s="3" t="s">
        <v>10</v>
      </c>
      <c r="I244" s="3" t="s">
        <v>491</v>
      </c>
    </row>
    <row r="245" customHeight="1" spans="1:9">
      <c r="A245" s="4" t="s">
        <v>492</v>
      </c>
      <c r="B245" s="4">
        <f>VLOOKUP($A245,[1]中未分析60315!$A:$M,8,0)</f>
        <v>27</v>
      </c>
      <c r="C245" s="4">
        <f>VLOOKUP($A245,[1]中未分析60315!$A:$M,9,0)</f>
        <v>26</v>
      </c>
      <c r="D245" s="4">
        <f>VLOOKUP($A245,[1]中未分析60315!$A:$M,10,0)</f>
        <v>25</v>
      </c>
      <c r="E245" s="4">
        <f>VLOOKUP($A245,[1]中未分析60315!$A:$M,11,0)</f>
        <v>24</v>
      </c>
      <c r="F245" s="4">
        <f>VLOOKUP($A245,[1]中未分析60315!$A:$M,12,0)</f>
        <v>23</v>
      </c>
      <c r="G245" s="4">
        <f>VLOOKUP($A245,[1]中未分析60315!$A:$M,13,0)</f>
        <v>22</v>
      </c>
      <c r="H245" s="3" t="s">
        <v>10</v>
      </c>
      <c r="I245" s="3" t="s">
        <v>493</v>
      </c>
    </row>
    <row r="246" customHeight="1" spans="1:9">
      <c r="A246" s="4" t="s">
        <v>494</v>
      </c>
      <c r="B246" s="4">
        <f>VLOOKUP($A246,[1]中未分析60315!$A:$M,8,0)</f>
        <v>113</v>
      </c>
      <c r="C246" s="4">
        <f>VLOOKUP($A246,[1]中未分析60315!$A:$M,9,0)</f>
        <v>111</v>
      </c>
      <c r="D246" s="4">
        <f>VLOOKUP($A246,[1]中未分析60315!$A:$M,10,0)</f>
        <v>109</v>
      </c>
      <c r="E246" s="4">
        <f>VLOOKUP($A246,[1]中未分析60315!$A:$M,11,0)</f>
        <v>107</v>
      </c>
      <c r="F246" s="4">
        <f>VLOOKUP($A246,[1]中未分析60315!$A:$M,12,0)</f>
        <v>106</v>
      </c>
      <c r="G246" s="4">
        <f>VLOOKUP($A246,[1]中未分析60315!$A:$M,13,0)</f>
        <v>105</v>
      </c>
      <c r="H246" s="3" t="s">
        <v>39</v>
      </c>
      <c r="I246" s="3" t="s">
        <v>495</v>
      </c>
    </row>
    <row r="247" customHeight="1" spans="1:9">
      <c r="A247" s="4" t="s">
        <v>496</v>
      </c>
      <c r="B247" s="4">
        <f>VLOOKUP($A247,[1]中未分析60315!$A:$M,8,0)</f>
        <v>60</v>
      </c>
      <c r="C247" s="4">
        <f>VLOOKUP($A247,[1]中未分析60315!$A:$M,9,0)</f>
        <v>59</v>
      </c>
      <c r="D247" s="4">
        <f>VLOOKUP($A247,[1]中未分析60315!$A:$M,10,0)</f>
        <v>58</v>
      </c>
      <c r="E247" s="4">
        <f>VLOOKUP($A247,[1]中未分析60315!$A:$M,11,0)</f>
        <v>57</v>
      </c>
      <c r="F247" s="4">
        <f>VLOOKUP($A247,[1]中未分析60315!$A:$M,12,0)</f>
        <v>56</v>
      </c>
      <c r="G247" s="4">
        <f>VLOOKUP($A247,[1]中未分析60315!$A:$M,13,0)</f>
        <v>55</v>
      </c>
      <c r="H247" s="3" t="s">
        <v>39</v>
      </c>
      <c r="I247" s="3" t="s">
        <v>497</v>
      </c>
    </row>
    <row r="248" customHeight="1" spans="1:9">
      <c r="A248" s="4" t="s">
        <v>498</v>
      </c>
      <c r="B248" s="4">
        <f>VLOOKUP($A248,[1]中未分析60315!$A:$M,8,0)</f>
        <v>35</v>
      </c>
      <c r="C248" s="4">
        <f>VLOOKUP($A248,[1]中未分析60315!$A:$M,9,0)</f>
        <v>34</v>
      </c>
      <c r="D248" s="4">
        <f>VLOOKUP($A248,[1]中未分析60315!$A:$M,10,0)</f>
        <v>32</v>
      </c>
      <c r="E248" s="4">
        <f>VLOOKUP($A248,[1]中未分析60315!$A:$M,11,0)</f>
        <v>31</v>
      </c>
      <c r="F248" s="4">
        <f>VLOOKUP($A248,[1]中未分析60315!$A:$M,12,0)</f>
        <v>30</v>
      </c>
      <c r="G248" s="4">
        <f>VLOOKUP($A248,[1]中未分析60315!$A:$M,13,0)</f>
        <v>28</v>
      </c>
      <c r="H248" s="3" t="s">
        <v>10</v>
      </c>
      <c r="I248" s="3" t="s">
        <v>135</v>
      </c>
    </row>
    <row r="249" customHeight="1" spans="1:9">
      <c r="A249" s="4" t="s">
        <v>499</v>
      </c>
      <c r="B249" s="4">
        <f>VLOOKUP($A249,[1]中未分析60315!$A:$M,8,0)</f>
        <v>37</v>
      </c>
      <c r="C249" s="4">
        <f>VLOOKUP($A249,[1]中未分析60315!$A:$M,9,0)</f>
        <v>36</v>
      </c>
      <c r="D249" s="4">
        <f>VLOOKUP($A249,[1]中未分析60315!$A:$M,10,0)</f>
        <v>34</v>
      </c>
      <c r="E249" s="4">
        <f>VLOOKUP($A249,[1]中未分析60315!$A:$M,11,0)</f>
        <v>33</v>
      </c>
      <c r="F249" s="4">
        <f>VLOOKUP($A249,[1]中未分析60315!$A:$M,12,0)</f>
        <v>32</v>
      </c>
      <c r="G249" s="4">
        <f>VLOOKUP($A249,[1]中未分析60315!$A:$M,13,0)</f>
        <v>30</v>
      </c>
      <c r="H249" s="3" t="s">
        <v>10</v>
      </c>
      <c r="I249" s="3" t="s">
        <v>77</v>
      </c>
    </row>
    <row r="250" customHeight="1" spans="1:9">
      <c r="A250" s="4" t="s">
        <v>500</v>
      </c>
      <c r="B250" s="4">
        <f>VLOOKUP($A250,[1]中未分析60315!$A:$M,8,0)</f>
        <v>31</v>
      </c>
      <c r="C250" s="4">
        <f>VLOOKUP($A250,[1]中未分析60315!$A:$M,9,0)</f>
        <v>30</v>
      </c>
      <c r="D250" s="4">
        <f>VLOOKUP($A250,[1]中未分析60315!$A:$M,10,0)</f>
        <v>29</v>
      </c>
      <c r="E250" s="4">
        <f>VLOOKUP($A250,[1]中未分析60315!$A:$M,11,0)</f>
        <v>28</v>
      </c>
      <c r="F250" s="4">
        <f>VLOOKUP($A250,[1]中未分析60315!$A:$M,12,0)</f>
        <v>27</v>
      </c>
      <c r="G250" s="4">
        <f>VLOOKUP($A250,[1]中未分析60315!$A:$M,13,0)</f>
        <v>26</v>
      </c>
      <c r="H250" s="3" t="s">
        <v>10</v>
      </c>
      <c r="I250" s="3" t="s">
        <v>501</v>
      </c>
    </row>
    <row r="251" customHeight="1" spans="1:9">
      <c r="A251" s="4" t="s">
        <v>502</v>
      </c>
      <c r="B251" s="4">
        <f>VLOOKUP($A251,[1]中未分析60315!$A:$M,8,0)</f>
        <v>31</v>
      </c>
      <c r="C251" s="4">
        <f>VLOOKUP($A251,[1]中未分析60315!$A:$M,9,0)</f>
        <v>29</v>
      </c>
      <c r="D251" s="4">
        <f>VLOOKUP($A251,[1]中未分析60315!$A:$M,10,0)</f>
        <v>28</v>
      </c>
      <c r="E251" s="4">
        <f>VLOOKUP($A251,[1]中未分析60315!$A:$M,11,0)</f>
        <v>27</v>
      </c>
      <c r="F251" s="4">
        <f>VLOOKUP($A251,[1]中未分析60315!$A:$M,12,0)</f>
        <v>26</v>
      </c>
      <c r="G251" s="4">
        <f>VLOOKUP($A251,[1]中未分析60315!$A:$M,13,0)</f>
        <v>25</v>
      </c>
      <c r="H251" s="3" t="s">
        <v>10</v>
      </c>
      <c r="I251" s="3" t="s">
        <v>503</v>
      </c>
    </row>
    <row r="252" customHeight="1" spans="1:9">
      <c r="A252" s="4" t="s">
        <v>504</v>
      </c>
      <c r="B252" s="4">
        <f>VLOOKUP($A252,[1]中未分析60315!$A:$M,8,0)</f>
        <v>28</v>
      </c>
      <c r="C252" s="4">
        <f>VLOOKUP($A252,[1]中未分析60315!$A:$M,9,0)</f>
        <v>27</v>
      </c>
      <c r="D252" s="4">
        <f>VLOOKUP($A252,[1]中未分析60315!$A:$M,10,0)</f>
        <v>26</v>
      </c>
      <c r="E252" s="4">
        <f>VLOOKUP($A252,[1]中未分析60315!$A:$M,11,0)</f>
        <v>25</v>
      </c>
      <c r="F252" s="4">
        <f>VLOOKUP($A252,[1]中未分析60315!$A:$M,12,0)</f>
        <v>24</v>
      </c>
      <c r="G252" s="4">
        <f>VLOOKUP($A252,[1]中未分析60315!$A:$M,13,0)</f>
        <v>23</v>
      </c>
      <c r="H252" s="3" t="s">
        <v>10</v>
      </c>
      <c r="I252" s="3" t="s">
        <v>505</v>
      </c>
    </row>
    <row r="253" customHeight="1" spans="1:9">
      <c r="A253" s="4" t="s">
        <v>506</v>
      </c>
      <c r="B253" s="4">
        <f>VLOOKUP($A253,[1]中未分析60315!$A:$M,8,0)</f>
        <v>36</v>
      </c>
      <c r="C253" s="4">
        <f>VLOOKUP($A253,[1]中未分析60315!$A:$M,9,0)</f>
        <v>35</v>
      </c>
      <c r="D253" s="4">
        <f>VLOOKUP($A253,[1]中未分析60315!$A:$M,10,0)</f>
        <v>34</v>
      </c>
      <c r="E253" s="4">
        <f>VLOOKUP($A253,[1]中未分析60315!$A:$M,11,0)</f>
        <v>32</v>
      </c>
      <c r="F253" s="4">
        <f>VLOOKUP($A253,[1]中未分析60315!$A:$M,12,0)</f>
        <v>31</v>
      </c>
      <c r="G253" s="4">
        <f>VLOOKUP($A253,[1]中未分析60315!$A:$M,13,0)</f>
        <v>30</v>
      </c>
      <c r="H253" s="3" t="s">
        <v>10</v>
      </c>
      <c r="I253" s="3" t="s">
        <v>507</v>
      </c>
    </row>
    <row r="254" customHeight="1" spans="1:9">
      <c r="A254" s="4" t="s">
        <v>508</v>
      </c>
      <c r="B254" s="4">
        <f>VLOOKUP($A254,[1]中未分析60315!$A:$M,8,0)</f>
        <v>31</v>
      </c>
      <c r="C254" s="4">
        <f>VLOOKUP($A254,[1]中未分析60315!$A:$M,9,0)</f>
        <v>30</v>
      </c>
      <c r="D254" s="4">
        <f>VLOOKUP($A254,[1]中未分析60315!$A:$M,10,0)</f>
        <v>29</v>
      </c>
      <c r="E254" s="4">
        <f>VLOOKUP($A254,[1]中未分析60315!$A:$M,11,0)</f>
        <v>28</v>
      </c>
      <c r="F254" s="4">
        <f>VLOOKUP($A254,[1]中未分析60315!$A:$M,12,0)</f>
        <v>27</v>
      </c>
      <c r="G254" s="4">
        <f>VLOOKUP($A254,[1]中未分析60315!$A:$M,13,0)</f>
        <v>26</v>
      </c>
      <c r="H254" s="3" t="s">
        <v>10</v>
      </c>
      <c r="I254" s="3" t="s">
        <v>509</v>
      </c>
    </row>
    <row r="255" customHeight="1" spans="1:9">
      <c r="A255" s="4" t="s">
        <v>510</v>
      </c>
      <c r="B255" s="4">
        <f>VLOOKUP($A255,[1]中未分析60315!$A:$M,8,0)</f>
        <v>31</v>
      </c>
      <c r="C255" s="4">
        <f>VLOOKUP($A255,[1]中未分析60315!$A:$M,9,0)</f>
        <v>29</v>
      </c>
      <c r="D255" s="4">
        <f>VLOOKUP($A255,[1]中未分析60315!$A:$M,10,0)</f>
        <v>28</v>
      </c>
      <c r="E255" s="4">
        <f>VLOOKUP($A255,[1]中未分析60315!$A:$M,11,0)</f>
        <v>27</v>
      </c>
      <c r="F255" s="4">
        <f>VLOOKUP($A255,[1]中未分析60315!$A:$M,12,0)</f>
        <v>26</v>
      </c>
      <c r="G255" s="4">
        <f>VLOOKUP($A255,[1]中未分析60315!$A:$M,13,0)</f>
        <v>25</v>
      </c>
      <c r="H255" s="3" t="s">
        <v>10</v>
      </c>
      <c r="I255" s="3" t="s">
        <v>511</v>
      </c>
    </row>
    <row r="256" customHeight="1" spans="1:9">
      <c r="A256" s="4" t="s">
        <v>512</v>
      </c>
      <c r="B256" s="4">
        <f>VLOOKUP($A256,[1]中未分析60315!$A:$M,8,0)</f>
        <v>41</v>
      </c>
      <c r="C256" s="4">
        <f>VLOOKUP($A256,[1]中未分析60315!$A:$M,9,0)</f>
        <v>39</v>
      </c>
      <c r="D256" s="4">
        <f>VLOOKUP($A256,[1]中未分析60315!$A:$M,10,0)</f>
        <v>38</v>
      </c>
      <c r="E256" s="4">
        <f>VLOOKUP($A256,[1]中未分析60315!$A:$M,11,0)</f>
        <v>36</v>
      </c>
      <c r="F256" s="4">
        <f>VLOOKUP($A256,[1]中未分析60315!$A:$M,12,0)</f>
        <v>35</v>
      </c>
      <c r="G256" s="4">
        <f>VLOOKUP($A256,[1]中未分析60315!$A:$M,13,0)</f>
        <v>33</v>
      </c>
      <c r="H256" s="3" t="s">
        <v>10</v>
      </c>
      <c r="I256" s="3" t="s">
        <v>513</v>
      </c>
    </row>
    <row r="257" customHeight="1" spans="1:9">
      <c r="A257" s="4" t="s">
        <v>514</v>
      </c>
      <c r="B257" s="4">
        <f>VLOOKUP($A257,[1]中未分析60315!$A:$M,8,0)</f>
        <v>125</v>
      </c>
      <c r="C257" s="4">
        <f>VLOOKUP($A257,[1]中未分析60315!$A:$M,9,0)</f>
        <v>123</v>
      </c>
      <c r="D257" s="4">
        <f>VLOOKUP($A257,[1]中未分析60315!$A:$M,10,0)</f>
        <v>121</v>
      </c>
      <c r="E257" s="4">
        <f>VLOOKUP($A257,[1]中未分析60315!$A:$M,11,0)</f>
        <v>119</v>
      </c>
      <c r="F257" s="4">
        <f>VLOOKUP($A257,[1]中未分析60315!$A:$M,12,0)</f>
        <v>118</v>
      </c>
      <c r="G257" s="4">
        <f>VLOOKUP($A257,[1]中未分析60315!$A:$M,13,0)</f>
        <v>116</v>
      </c>
      <c r="H257" s="3" t="s">
        <v>39</v>
      </c>
      <c r="I257" s="3" t="s">
        <v>515</v>
      </c>
    </row>
    <row r="258" customHeight="1" spans="1:9">
      <c r="A258" s="4" t="s">
        <v>516</v>
      </c>
      <c r="B258" s="4">
        <f>VLOOKUP($A258,[1]中未分析60315!$A:$M,8,0)</f>
        <v>31</v>
      </c>
      <c r="C258" s="4">
        <f>VLOOKUP($A258,[1]中未分析60315!$A:$M,9,0)</f>
        <v>30</v>
      </c>
      <c r="D258" s="4">
        <f>VLOOKUP($A258,[1]中未分析60315!$A:$M,10,0)</f>
        <v>29</v>
      </c>
      <c r="E258" s="4">
        <f>VLOOKUP($A258,[1]中未分析60315!$A:$M,11,0)</f>
        <v>28</v>
      </c>
      <c r="F258" s="4">
        <f>VLOOKUP($A258,[1]中未分析60315!$A:$M,12,0)</f>
        <v>27</v>
      </c>
      <c r="G258" s="4">
        <f>VLOOKUP($A258,[1]中未分析60315!$A:$M,13,0)</f>
        <v>26</v>
      </c>
      <c r="H258" s="3" t="s">
        <v>10</v>
      </c>
      <c r="I258" s="3" t="s">
        <v>517</v>
      </c>
    </row>
    <row r="259" customHeight="1" spans="1:9">
      <c r="A259" s="4" t="s">
        <v>518</v>
      </c>
      <c r="B259" s="4">
        <f>VLOOKUP($A259,[1]中未分析60315!$A:$M,8,0)</f>
        <v>31</v>
      </c>
      <c r="C259" s="4">
        <f>VLOOKUP($A259,[1]中未分析60315!$A:$M,9,0)</f>
        <v>30</v>
      </c>
      <c r="D259" s="4">
        <f>VLOOKUP($A259,[1]中未分析60315!$A:$M,10,0)</f>
        <v>29</v>
      </c>
      <c r="E259" s="4">
        <f>VLOOKUP($A259,[1]中未分析60315!$A:$M,11,0)</f>
        <v>28</v>
      </c>
      <c r="F259" s="4">
        <f>VLOOKUP($A259,[1]中未分析60315!$A:$M,12,0)</f>
        <v>27</v>
      </c>
      <c r="G259" s="4">
        <f>VLOOKUP($A259,[1]中未分析60315!$A:$M,13,0)</f>
        <v>25</v>
      </c>
      <c r="H259" s="3" t="s">
        <v>10</v>
      </c>
      <c r="I259" s="3" t="s">
        <v>519</v>
      </c>
    </row>
    <row r="260" customHeight="1" spans="1:9">
      <c r="A260" s="4" t="s">
        <v>520</v>
      </c>
      <c r="B260" s="4">
        <f>VLOOKUP($A260,[1]中未分析60315!$A:$M,8,0)</f>
        <v>42</v>
      </c>
      <c r="C260" s="4">
        <f>VLOOKUP($A260,[1]中未分析60315!$A:$M,9,0)</f>
        <v>40</v>
      </c>
      <c r="D260" s="4">
        <f>VLOOKUP($A260,[1]中未分析60315!$A:$M,10,0)</f>
        <v>39</v>
      </c>
      <c r="E260" s="4">
        <f>VLOOKUP($A260,[1]中未分析60315!$A:$M,11,0)</f>
        <v>37</v>
      </c>
      <c r="F260" s="4">
        <f>VLOOKUP($A260,[1]中未分析60315!$A:$M,12,0)</f>
        <v>35</v>
      </c>
      <c r="G260" s="4">
        <f>VLOOKUP($A260,[1]中未分析60315!$A:$M,13,0)</f>
        <v>34</v>
      </c>
      <c r="H260" s="3" t="s">
        <v>10</v>
      </c>
      <c r="I260" s="3" t="s">
        <v>521</v>
      </c>
    </row>
    <row r="261" customHeight="1" spans="1:9">
      <c r="A261" s="4" t="s">
        <v>522</v>
      </c>
      <c r="B261" s="4">
        <f>VLOOKUP($A261,[1]中未分析60315!$A:$M,8,0)</f>
        <v>41</v>
      </c>
      <c r="C261" s="4">
        <f>VLOOKUP($A261,[1]中未分析60315!$A:$M,9,0)</f>
        <v>40</v>
      </c>
      <c r="D261" s="4">
        <f>VLOOKUP($A261,[1]中未分析60315!$A:$M,10,0)</f>
        <v>38</v>
      </c>
      <c r="E261" s="4">
        <f>VLOOKUP($A261,[1]中未分析60315!$A:$M,11,0)</f>
        <v>37</v>
      </c>
      <c r="F261" s="4">
        <f>VLOOKUP($A261,[1]中未分析60315!$A:$M,12,0)</f>
        <v>35</v>
      </c>
      <c r="G261" s="4">
        <f>VLOOKUP($A261,[1]中未分析60315!$A:$M,13,0)</f>
        <v>34</v>
      </c>
      <c r="H261" s="3" t="s">
        <v>10</v>
      </c>
      <c r="I261" s="3" t="s">
        <v>523</v>
      </c>
    </row>
    <row r="262" customHeight="1" spans="1:9">
      <c r="A262" s="4" t="s">
        <v>524</v>
      </c>
      <c r="B262" s="4">
        <f>VLOOKUP($A262,[1]中未分析60315!$A:$M,8,0)</f>
        <v>87</v>
      </c>
      <c r="C262" s="4">
        <f>VLOOKUP($A262,[1]中未分析60315!$A:$M,9,0)</f>
        <v>84</v>
      </c>
      <c r="D262" s="4">
        <f>VLOOKUP($A262,[1]中未分析60315!$A:$M,10,0)</f>
        <v>81</v>
      </c>
      <c r="E262" s="4">
        <f>VLOOKUP($A262,[1]中未分析60315!$A:$M,11,0)</f>
        <v>78</v>
      </c>
      <c r="F262" s="4">
        <f>VLOOKUP($A262,[1]中未分析60315!$A:$M,12,0)</f>
        <v>75</v>
      </c>
      <c r="G262" s="4">
        <f>VLOOKUP($A262,[1]中未分析60315!$A:$M,13,0)</f>
        <v>71</v>
      </c>
      <c r="H262" s="3" t="s">
        <v>10</v>
      </c>
      <c r="I262" s="3" t="s">
        <v>525</v>
      </c>
    </row>
    <row r="263" customHeight="1" spans="1:9">
      <c r="A263" s="4" t="s">
        <v>526</v>
      </c>
      <c r="B263" s="4">
        <f>VLOOKUP($A263,[1]中未分析60315!$A:$M,8,0)</f>
        <v>54</v>
      </c>
      <c r="C263" s="4">
        <f>VLOOKUP($A263,[1]中未分析60315!$A:$M,9,0)</f>
        <v>53</v>
      </c>
      <c r="D263" s="4">
        <f>VLOOKUP($A263,[1]中未分析60315!$A:$M,10,0)</f>
        <v>52</v>
      </c>
      <c r="E263" s="4">
        <f>VLOOKUP($A263,[1]中未分析60315!$A:$M,11,0)</f>
        <v>51</v>
      </c>
      <c r="F263" s="4">
        <f>VLOOKUP($A263,[1]中未分析60315!$A:$M,12,0)</f>
        <v>51</v>
      </c>
      <c r="G263" s="4">
        <f>VLOOKUP($A263,[1]中未分析60315!$A:$M,13,0)</f>
        <v>50</v>
      </c>
      <c r="H263" s="3" t="s">
        <v>39</v>
      </c>
      <c r="I263" s="3" t="s">
        <v>527</v>
      </c>
    </row>
    <row r="264" customHeight="1" spans="1:9">
      <c r="A264" s="4" t="s">
        <v>528</v>
      </c>
      <c r="B264" s="4">
        <f>VLOOKUP($A264,[1]中未分析60315!$A:$M,8,0)</f>
        <v>38</v>
      </c>
      <c r="C264" s="4">
        <f>VLOOKUP($A264,[1]中未分析60315!$A:$M,9,0)</f>
        <v>36</v>
      </c>
      <c r="D264" s="4">
        <f>VLOOKUP($A264,[1]中未分析60315!$A:$M,10,0)</f>
        <v>35</v>
      </c>
      <c r="E264" s="4">
        <f>VLOOKUP($A264,[1]中未分析60315!$A:$M,11,0)</f>
        <v>34</v>
      </c>
      <c r="F264" s="4">
        <f>VLOOKUP($A264,[1]中未分析60315!$A:$M,12,0)</f>
        <v>32</v>
      </c>
      <c r="G264" s="4">
        <f>VLOOKUP($A264,[1]中未分析60315!$A:$M,13,0)</f>
        <v>31</v>
      </c>
      <c r="H264" s="3" t="s">
        <v>10</v>
      </c>
      <c r="I264" s="3" t="s">
        <v>529</v>
      </c>
    </row>
    <row r="265" customHeight="1" spans="1:9">
      <c r="A265" s="4" t="s">
        <v>530</v>
      </c>
      <c r="B265" s="4">
        <f>VLOOKUP($A265,[1]中未分析60315!$A:$M,8,0)</f>
        <v>110</v>
      </c>
      <c r="C265" s="4">
        <f>VLOOKUP($A265,[1]中未分析60315!$A:$M,9,0)</f>
        <v>109</v>
      </c>
      <c r="D265" s="4">
        <f>VLOOKUP($A265,[1]中未分析60315!$A:$M,10,0)</f>
        <v>107</v>
      </c>
      <c r="E265" s="4">
        <f>VLOOKUP($A265,[1]中未分析60315!$A:$M,11,0)</f>
        <v>105</v>
      </c>
      <c r="F265" s="4">
        <f>VLOOKUP($A265,[1]中未分析60315!$A:$M,12,0)</f>
        <v>104</v>
      </c>
      <c r="G265" s="4">
        <f>VLOOKUP($A265,[1]中未分析60315!$A:$M,13,0)</f>
        <v>102</v>
      </c>
      <c r="H265" s="3" t="s">
        <v>39</v>
      </c>
      <c r="I265" s="3" t="s">
        <v>531</v>
      </c>
    </row>
    <row r="266" customHeight="1" spans="1:9">
      <c r="A266" s="4" t="s">
        <v>532</v>
      </c>
      <c r="B266" s="4">
        <f>VLOOKUP($A266,[1]中未分析60315!$A:$M,8,0)</f>
        <v>44</v>
      </c>
      <c r="C266" s="4">
        <f>VLOOKUP($A266,[1]中未分析60315!$A:$M,9,0)</f>
        <v>42</v>
      </c>
      <c r="D266" s="4">
        <f>VLOOKUP($A266,[1]中未分析60315!$A:$M,10,0)</f>
        <v>41</v>
      </c>
      <c r="E266" s="4">
        <f>VLOOKUP($A266,[1]中未分析60315!$A:$M,11,0)</f>
        <v>39</v>
      </c>
      <c r="F266" s="4">
        <f>VLOOKUP($A266,[1]中未分析60315!$A:$M,12,0)</f>
        <v>37</v>
      </c>
      <c r="G266" s="4">
        <f>VLOOKUP($A266,[1]中未分析60315!$A:$M,13,0)</f>
        <v>36</v>
      </c>
      <c r="H266" s="3" t="s">
        <v>10</v>
      </c>
      <c r="I266" s="3" t="s">
        <v>533</v>
      </c>
    </row>
    <row r="267" customHeight="1" spans="1:9">
      <c r="A267" s="4" t="s">
        <v>534</v>
      </c>
      <c r="B267" s="4">
        <f>VLOOKUP($A267,[1]中未分析60315!$A:$M,8,0)</f>
        <v>65</v>
      </c>
      <c r="C267" s="4">
        <f>VLOOKUP($A267,[1]中未分析60315!$A:$M,9,0)</f>
        <v>64</v>
      </c>
      <c r="D267" s="4">
        <f>VLOOKUP($A267,[1]中未分析60315!$A:$M,10,0)</f>
        <v>63</v>
      </c>
      <c r="E267" s="4">
        <f>VLOOKUP($A267,[1]中未分析60315!$A:$M,11,0)</f>
        <v>62</v>
      </c>
      <c r="F267" s="4">
        <f>VLOOKUP($A267,[1]中未分析60315!$A:$M,12,0)</f>
        <v>61</v>
      </c>
      <c r="G267" s="4">
        <f>VLOOKUP($A267,[1]中未分析60315!$A:$M,13,0)</f>
        <v>60</v>
      </c>
      <c r="H267" s="3" t="s">
        <v>39</v>
      </c>
      <c r="I267" s="3" t="s">
        <v>535</v>
      </c>
    </row>
    <row r="268" customHeight="1" spans="1:9">
      <c r="A268" s="4" t="s">
        <v>536</v>
      </c>
      <c r="B268" s="4">
        <f>VLOOKUP($A268,[1]中未分析60315!$A:$M,8,0)</f>
        <v>53</v>
      </c>
      <c r="C268" s="4">
        <f>VLOOKUP($A268,[1]中未分析60315!$A:$M,9,0)</f>
        <v>51</v>
      </c>
      <c r="D268" s="4">
        <f>VLOOKUP($A268,[1]中未分析60315!$A:$M,10,0)</f>
        <v>49</v>
      </c>
      <c r="E268" s="4">
        <f>VLOOKUP($A268,[1]中未分析60315!$A:$M,11,0)</f>
        <v>47</v>
      </c>
      <c r="F268" s="4">
        <f>VLOOKUP($A268,[1]中未分析60315!$A:$M,12,0)</f>
        <v>46</v>
      </c>
      <c r="G268" s="4">
        <f>VLOOKUP($A268,[1]中未分析60315!$A:$M,13,0)</f>
        <v>44</v>
      </c>
      <c r="H268" s="3" t="s">
        <v>10</v>
      </c>
      <c r="I268" s="3" t="s">
        <v>537</v>
      </c>
    </row>
    <row r="269" customHeight="1" spans="1:9">
      <c r="A269" s="4" t="s">
        <v>538</v>
      </c>
      <c r="B269" s="4">
        <f>VLOOKUP($A269,[1]中未分析60315!$A:$M,8,0)</f>
        <v>41</v>
      </c>
      <c r="C269" s="4">
        <f>VLOOKUP($A269,[1]中未分析60315!$A:$M,9,0)</f>
        <v>40</v>
      </c>
      <c r="D269" s="4">
        <f>VLOOKUP($A269,[1]中未分析60315!$A:$M,10,0)</f>
        <v>38</v>
      </c>
      <c r="E269" s="4">
        <f>VLOOKUP($A269,[1]中未分析60315!$A:$M,11,0)</f>
        <v>37</v>
      </c>
      <c r="F269" s="4">
        <f>VLOOKUP($A269,[1]中未分析60315!$A:$M,12,0)</f>
        <v>35</v>
      </c>
      <c r="G269" s="4">
        <f>VLOOKUP($A269,[1]中未分析60315!$A:$M,13,0)</f>
        <v>34</v>
      </c>
      <c r="H269" s="3" t="s">
        <v>10</v>
      </c>
      <c r="I269" s="3" t="s">
        <v>539</v>
      </c>
    </row>
    <row r="270" customHeight="1" spans="1:9">
      <c r="A270" s="4" t="s">
        <v>540</v>
      </c>
      <c r="B270" s="4">
        <f>VLOOKUP($A270,[1]中未分析60315!$A:$M,8,0)</f>
        <v>112</v>
      </c>
      <c r="C270" s="4">
        <f>VLOOKUP($A270,[1]中未分析60315!$A:$M,9,0)</f>
        <v>110</v>
      </c>
      <c r="D270" s="4">
        <f>VLOOKUP($A270,[1]中未分析60315!$A:$M,10,0)</f>
        <v>108</v>
      </c>
      <c r="E270" s="4">
        <f>VLOOKUP($A270,[1]中未分析60315!$A:$M,11,0)</f>
        <v>106</v>
      </c>
      <c r="F270" s="4">
        <f>VLOOKUP($A270,[1]中未分析60315!$A:$M,12,0)</f>
        <v>105</v>
      </c>
      <c r="G270" s="4">
        <f>VLOOKUP($A270,[1]中未分析60315!$A:$M,13,0)</f>
        <v>103</v>
      </c>
      <c r="H270" s="3" t="s">
        <v>39</v>
      </c>
      <c r="I270" s="3" t="s">
        <v>541</v>
      </c>
    </row>
    <row r="271" customHeight="1" spans="1:9">
      <c r="A271" s="4" t="s">
        <v>542</v>
      </c>
      <c r="B271" s="4">
        <f>VLOOKUP($A271,[1]中未分析60315!$A:$M,8,0)</f>
        <v>31</v>
      </c>
      <c r="C271" s="4">
        <f>VLOOKUP($A271,[1]中未分析60315!$A:$M,9,0)</f>
        <v>30</v>
      </c>
      <c r="D271" s="4">
        <f>VLOOKUP($A271,[1]中未分析60315!$A:$M,10,0)</f>
        <v>29</v>
      </c>
      <c r="E271" s="4">
        <f>VLOOKUP($A271,[1]中未分析60315!$A:$M,11,0)</f>
        <v>28</v>
      </c>
      <c r="F271" s="4">
        <f>VLOOKUP($A271,[1]中未分析60315!$A:$M,12,0)</f>
        <v>27</v>
      </c>
      <c r="G271" s="4">
        <f>VLOOKUP($A271,[1]中未分析60315!$A:$M,13,0)</f>
        <v>26</v>
      </c>
      <c r="H271" s="3" t="s">
        <v>10</v>
      </c>
      <c r="I271" s="3" t="s">
        <v>543</v>
      </c>
    </row>
    <row r="272" customHeight="1" spans="1:9">
      <c r="A272" s="4" t="s">
        <v>544</v>
      </c>
      <c r="B272" s="4">
        <f>VLOOKUP($A272,[1]中未分析60315!$A:$M,8,0)</f>
        <v>45</v>
      </c>
      <c r="C272" s="4">
        <f>VLOOKUP($A272,[1]中未分析60315!$A:$M,9,0)</f>
        <v>44</v>
      </c>
      <c r="D272" s="4">
        <f>VLOOKUP($A272,[1]中未分析60315!$A:$M,10,0)</f>
        <v>42</v>
      </c>
      <c r="E272" s="4">
        <f>VLOOKUP($A272,[1]中未分析60315!$A:$M,11,0)</f>
        <v>40</v>
      </c>
      <c r="F272" s="4">
        <f>VLOOKUP($A272,[1]中未分析60315!$A:$M,12,0)</f>
        <v>39</v>
      </c>
      <c r="G272" s="4">
        <f>VLOOKUP($A272,[1]中未分析60315!$A:$M,13,0)</f>
        <v>37</v>
      </c>
      <c r="H272" s="3" t="s">
        <v>10</v>
      </c>
      <c r="I272" s="3" t="s">
        <v>545</v>
      </c>
    </row>
    <row r="273" customHeight="1" spans="1:9">
      <c r="A273" s="4" t="s">
        <v>546</v>
      </c>
      <c r="B273" s="4">
        <f>VLOOKUP($A273,[1]中未分析60315!$A:$M,8,0)</f>
        <v>34</v>
      </c>
      <c r="C273" s="4">
        <f>VLOOKUP($A273,[1]中未分析60315!$A:$M,9,0)</f>
        <v>33</v>
      </c>
      <c r="D273" s="4">
        <f>VLOOKUP($A273,[1]中未分析60315!$A:$M,10,0)</f>
        <v>32</v>
      </c>
      <c r="E273" s="4">
        <f>VLOOKUP($A273,[1]中未分析60315!$A:$M,11,0)</f>
        <v>31</v>
      </c>
      <c r="F273" s="4">
        <f>VLOOKUP($A273,[1]中未分析60315!$A:$M,12,0)</f>
        <v>29</v>
      </c>
      <c r="G273" s="4">
        <f>VLOOKUP($A273,[1]中未分析60315!$A:$M,13,0)</f>
        <v>28</v>
      </c>
      <c r="H273" s="3" t="s">
        <v>10</v>
      </c>
      <c r="I273" s="3" t="s">
        <v>547</v>
      </c>
    </row>
    <row r="274" customHeight="1" spans="1:9">
      <c r="A274" s="4" t="s">
        <v>548</v>
      </c>
      <c r="B274" s="4">
        <f>VLOOKUP($A274,[1]中未分析60315!$A:$M,8,0)</f>
        <v>37</v>
      </c>
      <c r="C274" s="4">
        <f>VLOOKUP($A274,[1]中未分析60315!$A:$M,9,0)</f>
        <v>36</v>
      </c>
      <c r="D274" s="4">
        <f>VLOOKUP($A274,[1]中未分析60315!$A:$M,10,0)</f>
        <v>34</v>
      </c>
      <c r="E274" s="4">
        <f>VLOOKUP($A274,[1]中未分析60315!$A:$M,11,0)</f>
        <v>33</v>
      </c>
      <c r="F274" s="4">
        <f>VLOOKUP($A274,[1]中未分析60315!$A:$M,12,0)</f>
        <v>32</v>
      </c>
      <c r="G274" s="4">
        <f>VLOOKUP($A274,[1]中未分析60315!$A:$M,13,0)</f>
        <v>30</v>
      </c>
      <c r="H274" s="3" t="s">
        <v>10</v>
      </c>
      <c r="I274" s="3" t="s">
        <v>549</v>
      </c>
    </row>
    <row r="275" customHeight="1" spans="1:9">
      <c r="A275" s="4" t="s">
        <v>550</v>
      </c>
      <c r="B275" s="4">
        <f>VLOOKUP($A275,[1]中未分析60315!$A:$M,8,0)</f>
        <v>184</v>
      </c>
      <c r="C275" s="4">
        <f>VLOOKUP($A275,[1]中未分析60315!$A:$M,9,0)</f>
        <v>177</v>
      </c>
      <c r="D275" s="4">
        <f>VLOOKUP($A275,[1]中未分析60315!$A:$M,10,0)</f>
        <v>171</v>
      </c>
      <c r="E275" s="4">
        <f>VLOOKUP($A275,[1]中未分析60315!$A:$M,11,0)</f>
        <v>164</v>
      </c>
      <c r="F275" s="4">
        <f>VLOOKUP($A275,[1]中未分析60315!$A:$M,12,0)</f>
        <v>157</v>
      </c>
      <c r="G275" s="4">
        <f>VLOOKUP($A275,[1]中未分析60315!$A:$M,13,0)</f>
        <v>150</v>
      </c>
      <c r="H275" s="3" t="s">
        <v>10</v>
      </c>
      <c r="I275" s="3" t="s">
        <v>551</v>
      </c>
    </row>
    <row r="276" customHeight="1" spans="1:9">
      <c r="A276" s="4" t="s">
        <v>552</v>
      </c>
      <c r="B276" s="4">
        <f>VLOOKUP($A276,[1]中未分析60315!$A:$M,8,0)</f>
        <v>36</v>
      </c>
      <c r="C276" s="4">
        <f>VLOOKUP($A276,[1]中未分析60315!$A:$M,9,0)</f>
        <v>34</v>
      </c>
      <c r="D276" s="4">
        <f>VLOOKUP($A276,[1]中未分析60315!$A:$M,10,0)</f>
        <v>33</v>
      </c>
      <c r="E276" s="4">
        <f>VLOOKUP($A276,[1]中未分析60315!$A:$M,11,0)</f>
        <v>32</v>
      </c>
      <c r="F276" s="4">
        <f>VLOOKUP($A276,[1]中未分析60315!$A:$M,12,0)</f>
        <v>31</v>
      </c>
      <c r="G276" s="4">
        <f>VLOOKUP($A276,[1]中未分析60315!$A:$M,13,0)</f>
        <v>29</v>
      </c>
      <c r="H276" s="3" t="s">
        <v>10</v>
      </c>
      <c r="I276" s="3" t="s">
        <v>553</v>
      </c>
    </row>
    <row r="277" customHeight="1" spans="1:9">
      <c r="A277" s="4" t="s">
        <v>554</v>
      </c>
      <c r="B277" s="4">
        <f>VLOOKUP($A277,[1]中未分析60315!$A:$M,8,0)</f>
        <v>42</v>
      </c>
      <c r="C277" s="4">
        <f>VLOOKUP($A277,[1]中未分析60315!$A:$M,9,0)</f>
        <v>40</v>
      </c>
      <c r="D277" s="4">
        <f>VLOOKUP($A277,[1]中未分析60315!$A:$M,10,0)</f>
        <v>39</v>
      </c>
      <c r="E277" s="4">
        <f>VLOOKUP($A277,[1]中未分析60315!$A:$M,11,0)</f>
        <v>37</v>
      </c>
      <c r="F277" s="4">
        <f>VLOOKUP($A277,[1]中未分析60315!$A:$M,12,0)</f>
        <v>35</v>
      </c>
      <c r="G277" s="4">
        <f>VLOOKUP($A277,[1]中未分析60315!$A:$M,13,0)</f>
        <v>34</v>
      </c>
      <c r="H277" s="3" t="s">
        <v>10</v>
      </c>
      <c r="I277" s="3" t="s">
        <v>555</v>
      </c>
    </row>
    <row r="278" customHeight="1" spans="1:9">
      <c r="A278" s="4" t="s">
        <v>556</v>
      </c>
      <c r="B278" s="4">
        <f>VLOOKUP($A278,[1]中未分析60315!$A:$M,8,0)</f>
        <v>30</v>
      </c>
      <c r="C278" s="4">
        <f>VLOOKUP($A278,[1]中未分析60315!$A:$M,9,0)</f>
        <v>30</v>
      </c>
      <c r="D278" s="4">
        <f>VLOOKUP($A278,[1]中未分析60315!$A:$M,10,0)</f>
        <v>29</v>
      </c>
      <c r="E278" s="4">
        <f>VLOOKUP($A278,[1]中未分析60315!$A:$M,11,0)</f>
        <v>29</v>
      </c>
      <c r="F278" s="4">
        <f>VLOOKUP($A278,[1]中未分析60315!$A:$M,12,0)</f>
        <v>28</v>
      </c>
      <c r="G278" s="4">
        <f>VLOOKUP($A278,[1]中未分析60315!$A:$M,13,0)</f>
        <v>28</v>
      </c>
      <c r="H278" s="3" t="s">
        <v>39</v>
      </c>
      <c r="I278" s="3" t="s">
        <v>557</v>
      </c>
    </row>
    <row r="279" customHeight="1" spans="1:9">
      <c r="A279" s="4" t="s">
        <v>558</v>
      </c>
      <c r="B279" s="4">
        <f>VLOOKUP($A279,[1]中未分析60315!$A:$M,8,0)</f>
        <v>46</v>
      </c>
      <c r="C279" s="4">
        <f>VLOOKUP($A279,[1]中未分析60315!$A:$M,9,0)</f>
        <v>45</v>
      </c>
      <c r="D279" s="4">
        <f>VLOOKUP($A279,[1]中未分析60315!$A:$M,10,0)</f>
        <v>43</v>
      </c>
      <c r="E279" s="4">
        <f>VLOOKUP($A279,[1]中未分析60315!$A:$M,11,0)</f>
        <v>41</v>
      </c>
      <c r="F279" s="4">
        <f>VLOOKUP($A279,[1]中未分析60315!$A:$M,12,0)</f>
        <v>40</v>
      </c>
      <c r="G279" s="4">
        <f>VLOOKUP($A279,[1]中未分析60315!$A:$M,13,0)</f>
        <v>38</v>
      </c>
      <c r="H279" s="3" t="s">
        <v>10</v>
      </c>
      <c r="I279" s="3" t="s">
        <v>559</v>
      </c>
    </row>
    <row r="280" customHeight="1" spans="1:9">
      <c r="A280" s="4" t="s">
        <v>560</v>
      </c>
      <c r="B280" s="4">
        <f>VLOOKUP($A280,[1]中未分析60315!$A:$M,8,0)</f>
        <v>49</v>
      </c>
      <c r="C280" s="4">
        <f>VLOOKUP($A280,[1]中未分析60315!$A:$M,9,0)</f>
        <v>47</v>
      </c>
      <c r="D280" s="4">
        <f>VLOOKUP($A280,[1]中未分析60315!$A:$M,10,0)</f>
        <v>45</v>
      </c>
      <c r="E280" s="4">
        <f>VLOOKUP($A280,[1]中未分析60315!$A:$M,11,0)</f>
        <v>43</v>
      </c>
      <c r="F280" s="4">
        <f>VLOOKUP($A280,[1]中未分析60315!$A:$M,12,0)</f>
        <v>42</v>
      </c>
      <c r="G280" s="4">
        <f>VLOOKUP($A280,[1]中未分析60315!$A:$M,13,0)</f>
        <v>40</v>
      </c>
      <c r="H280" s="3" t="s">
        <v>10</v>
      </c>
      <c r="I280" s="3" t="s">
        <v>561</v>
      </c>
    </row>
    <row r="281" customHeight="1" spans="1:9">
      <c r="A281" s="4" t="s">
        <v>562</v>
      </c>
      <c r="B281" s="4">
        <f>VLOOKUP($A281,[1]中未分析60315!$A:$M,8,0)</f>
        <v>35</v>
      </c>
      <c r="C281" s="4">
        <f>VLOOKUP($A281,[1]中未分析60315!$A:$M,9,0)</f>
        <v>34</v>
      </c>
      <c r="D281" s="4">
        <f>VLOOKUP($A281,[1]中未分析60315!$A:$M,10,0)</f>
        <v>32</v>
      </c>
      <c r="E281" s="4">
        <f>VLOOKUP($A281,[1]中未分析60315!$A:$M,11,0)</f>
        <v>31</v>
      </c>
      <c r="F281" s="4">
        <f>VLOOKUP($A281,[1]中未分析60315!$A:$M,12,0)</f>
        <v>30</v>
      </c>
      <c r="G281" s="4">
        <f>VLOOKUP($A281,[1]中未分析60315!$A:$M,13,0)</f>
        <v>28</v>
      </c>
      <c r="H281" s="3" t="s">
        <v>10</v>
      </c>
      <c r="I281" s="3" t="s">
        <v>563</v>
      </c>
    </row>
    <row r="282" customHeight="1" spans="1:9">
      <c r="A282" s="4" t="s">
        <v>564</v>
      </c>
      <c r="B282" s="4">
        <f>VLOOKUP($A282,[1]中未分析60315!$A:$M,8,0)</f>
        <v>33</v>
      </c>
      <c r="C282" s="4">
        <f>VLOOKUP($A282,[1]中未分析60315!$A:$M,9,0)</f>
        <v>32</v>
      </c>
      <c r="D282" s="4">
        <f>VLOOKUP($A282,[1]中未分析60315!$A:$M,10,0)</f>
        <v>31</v>
      </c>
      <c r="E282" s="4">
        <f>VLOOKUP($A282,[1]中未分析60315!$A:$M,11,0)</f>
        <v>31</v>
      </c>
      <c r="F282" s="4">
        <f>VLOOKUP($A282,[1]中未分析60315!$A:$M,12,0)</f>
        <v>31</v>
      </c>
      <c r="G282" s="4">
        <f>VLOOKUP($A282,[1]中未分析60315!$A:$M,13,0)</f>
        <v>30</v>
      </c>
      <c r="H282" s="3" t="s">
        <v>39</v>
      </c>
      <c r="I282" s="3" t="s">
        <v>565</v>
      </c>
    </row>
    <row r="283" customHeight="1" spans="1:9">
      <c r="A283" s="4" t="s">
        <v>566</v>
      </c>
      <c r="B283" s="4">
        <f>VLOOKUP($A283,[1]中未分析60315!$A:$M,8,0)</f>
        <v>32</v>
      </c>
      <c r="C283" s="4">
        <f>VLOOKUP($A283,[1]中未分析60315!$A:$M,9,0)</f>
        <v>31</v>
      </c>
      <c r="D283" s="4">
        <f>VLOOKUP($A283,[1]中未分析60315!$A:$M,10,0)</f>
        <v>30</v>
      </c>
      <c r="E283" s="4">
        <f>VLOOKUP($A283,[1]中未分析60315!$A:$M,11,0)</f>
        <v>29</v>
      </c>
      <c r="F283" s="4">
        <f>VLOOKUP($A283,[1]中未分析60315!$A:$M,12,0)</f>
        <v>27</v>
      </c>
      <c r="G283" s="4">
        <f>VLOOKUP($A283,[1]中未分析60315!$A:$M,13,0)</f>
        <v>26</v>
      </c>
      <c r="H283" s="3" t="s">
        <v>10</v>
      </c>
      <c r="I283" s="3" t="s">
        <v>567</v>
      </c>
    </row>
    <row r="284" customHeight="1" spans="1:9">
      <c r="A284" s="4" t="s">
        <v>568</v>
      </c>
      <c r="B284" s="4">
        <f>VLOOKUP($A284,[1]中未分析60315!$A:$M,8,0)</f>
        <v>30</v>
      </c>
      <c r="C284" s="4">
        <f>VLOOKUP($A284,[1]中未分析60315!$A:$M,9,0)</f>
        <v>30</v>
      </c>
      <c r="D284" s="4">
        <f>VLOOKUP($A284,[1]中未分析60315!$A:$M,10,0)</f>
        <v>29</v>
      </c>
      <c r="E284" s="4">
        <f>VLOOKUP($A284,[1]中未分析60315!$A:$M,11,0)</f>
        <v>29</v>
      </c>
      <c r="F284" s="4">
        <f>VLOOKUP($A284,[1]中未分析60315!$A:$M,12,0)</f>
        <v>28</v>
      </c>
      <c r="G284" s="4">
        <f>VLOOKUP($A284,[1]中未分析60315!$A:$M,13,0)</f>
        <v>28</v>
      </c>
      <c r="H284" s="3" t="s">
        <v>39</v>
      </c>
      <c r="I284" s="3" t="s">
        <v>569</v>
      </c>
    </row>
    <row r="285" customHeight="1" spans="1:9">
      <c r="A285" s="4" t="s">
        <v>570</v>
      </c>
      <c r="B285" s="4">
        <f>VLOOKUP($A285,[1]中未分析60315!$A:$M,8,0)</f>
        <v>40</v>
      </c>
      <c r="C285" s="4">
        <f>VLOOKUP($A285,[1]中未分析60315!$A:$M,9,0)</f>
        <v>39</v>
      </c>
      <c r="D285" s="4">
        <f>VLOOKUP($A285,[1]中未分析60315!$A:$M,10,0)</f>
        <v>37</v>
      </c>
      <c r="E285" s="4">
        <f>VLOOKUP($A285,[1]中未分析60315!$A:$M,11,0)</f>
        <v>36</v>
      </c>
      <c r="F285" s="4">
        <f>VLOOKUP($A285,[1]中未分析60315!$A:$M,12,0)</f>
        <v>34</v>
      </c>
      <c r="G285" s="4">
        <f>VLOOKUP($A285,[1]中未分析60315!$A:$M,13,0)</f>
        <v>33</v>
      </c>
      <c r="H285" s="3" t="s">
        <v>10</v>
      </c>
      <c r="I285" s="3" t="s">
        <v>37</v>
      </c>
    </row>
    <row r="286" customHeight="1" spans="1:9">
      <c r="A286" s="4" t="s">
        <v>571</v>
      </c>
      <c r="B286" s="4">
        <f>VLOOKUP($A286,[1]中未分析60315!$A:$M,8,0)</f>
        <v>40</v>
      </c>
      <c r="C286" s="4">
        <f>VLOOKUP($A286,[1]中未分析60315!$A:$M,9,0)</f>
        <v>39</v>
      </c>
      <c r="D286" s="4">
        <f>VLOOKUP($A286,[1]中未分析60315!$A:$M,10,0)</f>
        <v>37</v>
      </c>
      <c r="E286" s="4">
        <f>VLOOKUP($A286,[1]中未分析60315!$A:$M,11,0)</f>
        <v>36</v>
      </c>
      <c r="F286" s="4">
        <f>VLOOKUP($A286,[1]中未分析60315!$A:$M,12,0)</f>
        <v>34</v>
      </c>
      <c r="G286" s="4">
        <f>VLOOKUP($A286,[1]中未分析60315!$A:$M,13,0)</f>
        <v>33</v>
      </c>
      <c r="H286" s="3" t="s">
        <v>10</v>
      </c>
      <c r="I286" s="3" t="s">
        <v>572</v>
      </c>
    </row>
    <row r="287" customHeight="1" spans="1:9">
      <c r="A287" s="4" t="s">
        <v>573</v>
      </c>
      <c r="B287" s="4">
        <f>VLOOKUP($A287,[1]中未分析60315!$A:$M,8,0)</f>
        <v>70</v>
      </c>
      <c r="C287" s="4">
        <f>VLOOKUP($A287,[1]中未分析60315!$A:$M,9,0)</f>
        <v>69</v>
      </c>
      <c r="D287" s="4">
        <f>VLOOKUP($A287,[1]中未分析60315!$A:$M,10,0)</f>
        <v>68</v>
      </c>
      <c r="E287" s="4">
        <f>VLOOKUP($A287,[1]中未分析60315!$A:$M,11,0)</f>
        <v>67</v>
      </c>
      <c r="F287" s="4">
        <f>VLOOKUP($A287,[1]中未分析60315!$A:$M,12,0)</f>
        <v>66</v>
      </c>
      <c r="G287" s="4">
        <f>VLOOKUP($A287,[1]中未分析60315!$A:$M,13,0)</f>
        <v>65</v>
      </c>
      <c r="H287" s="3" t="s">
        <v>39</v>
      </c>
      <c r="I287" s="3" t="s">
        <v>574</v>
      </c>
    </row>
    <row r="288" customHeight="1" spans="1:9">
      <c r="A288" s="4" t="s">
        <v>575</v>
      </c>
      <c r="B288" s="4">
        <f>VLOOKUP($A288,[1]中未分析60315!$A:$M,8,0)</f>
        <v>42</v>
      </c>
      <c r="C288" s="4">
        <f>VLOOKUP($A288,[1]中未分析60315!$A:$M,9,0)</f>
        <v>40</v>
      </c>
      <c r="D288" s="4">
        <f>VLOOKUP($A288,[1]中未分析60315!$A:$M,10,0)</f>
        <v>39</v>
      </c>
      <c r="E288" s="4">
        <f>VLOOKUP($A288,[1]中未分析60315!$A:$M,11,0)</f>
        <v>37</v>
      </c>
      <c r="F288" s="4">
        <f>VLOOKUP($A288,[1]中未分析60315!$A:$M,12,0)</f>
        <v>36</v>
      </c>
      <c r="G288" s="4">
        <f>VLOOKUP($A288,[1]中未分析60315!$A:$M,13,0)</f>
        <v>34</v>
      </c>
      <c r="H288" s="3" t="s">
        <v>10</v>
      </c>
      <c r="I288" s="3" t="s">
        <v>576</v>
      </c>
    </row>
    <row r="289" customHeight="1" spans="1:9">
      <c r="A289" s="4" t="s">
        <v>577</v>
      </c>
      <c r="B289" s="4">
        <f>VLOOKUP($A289,[1]中未分析60315!$A:$M,8,0)</f>
        <v>36</v>
      </c>
      <c r="C289" s="4">
        <f>VLOOKUP($A289,[1]中未分析60315!$A:$M,9,0)</f>
        <v>35</v>
      </c>
      <c r="D289" s="4">
        <f>VLOOKUP($A289,[1]中未分析60315!$A:$M,10,0)</f>
        <v>34</v>
      </c>
      <c r="E289" s="4">
        <f>VLOOKUP($A289,[1]中未分析60315!$A:$M,11,0)</f>
        <v>32</v>
      </c>
      <c r="F289" s="4">
        <f>VLOOKUP($A289,[1]中未分析60315!$A:$M,12,0)</f>
        <v>31</v>
      </c>
      <c r="G289" s="4">
        <f>VLOOKUP($A289,[1]中未分析60315!$A:$M,13,0)</f>
        <v>30</v>
      </c>
      <c r="H289" s="3" t="s">
        <v>10</v>
      </c>
      <c r="I289" s="3" t="s">
        <v>578</v>
      </c>
    </row>
    <row r="290" customHeight="1" spans="1:9">
      <c r="A290" s="4" t="s">
        <v>579</v>
      </c>
      <c r="B290" s="4">
        <f>VLOOKUP($A290,[1]中未分析60315!$A:$M,8,0)</f>
        <v>137</v>
      </c>
      <c r="C290" s="4">
        <f>VLOOKUP($A290,[1]中未分析60315!$A:$M,9,0)</f>
        <v>135</v>
      </c>
      <c r="D290" s="4">
        <f>VLOOKUP($A290,[1]中未分析60315!$A:$M,10,0)</f>
        <v>133</v>
      </c>
      <c r="E290" s="4">
        <f>VLOOKUP($A290,[1]中未分析60315!$A:$M,11,0)</f>
        <v>131</v>
      </c>
      <c r="F290" s="4">
        <f>VLOOKUP($A290,[1]中未分析60315!$A:$M,12,0)</f>
        <v>129</v>
      </c>
      <c r="G290" s="4">
        <f>VLOOKUP($A290,[1]中未分析60315!$A:$M,13,0)</f>
        <v>127</v>
      </c>
      <c r="H290" s="3" t="s">
        <v>39</v>
      </c>
      <c r="I290" s="3" t="s">
        <v>580</v>
      </c>
    </row>
    <row r="291" customHeight="1" spans="1:9">
      <c r="A291" s="4" t="s">
        <v>581</v>
      </c>
      <c r="B291" s="4">
        <f>VLOOKUP($A291,[1]中未分析60315!$A:$M,8,0)</f>
        <v>57</v>
      </c>
      <c r="C291" s="4">
        <f>VLOOKUP($A291,[1]中未分析60315!$A:$M,9,0)</f>
        <v>56</v>
      </c>
      <c r="D291" s="4">
        <f>VLOOKUP($A291,[1]中未分析60315!$A:$M,10,0)</f>
        <v>55</v>
      </c>
      <c r="E291" s="4">
        <f>VLOOKUP($A291,[1]中未分析60315!$A:$M,11,0)</f>
        <v>54</v>
      </c>
      <c r="F291" s="4">
        <f>VLOOKUP($A291,[1]中未分析60315!$A:$M,12,0)</f>
        <v>53</v>
      </c>
      <c r="G291" s="4">
        <f>VLOOKUP($A291,[1]中未分析60315!$A:$M,13,0)</f>
        <v>52</v>
      </c>
      <c r="H291" s="3" t="s">
        <v>39</v>
      </c>
      <c r="I291" s="3" t="s">
        <v>582</v>
      </c>
    </row>
    <row r="292" customHeight="1" spans="1:9">
      <c r="A292" s="4" t="s">
        <v>583</v>
      </c>
      <c r="B292" s="4">
        <f>VLOOKUP($A292,[1]中未分析60315!$A:$M,8,0)</f>
        <v>48</v>
      </c>
      <c r="C292" s="4">
        <f>VLOOKUP($A292,[1]中未分析60315!$A:$M,9,0)</f>
        <v>47</v>
      </c>
      <c r="D292" s="4">
        <f>VLOOKUP($A292,[1]中未分析60315!$A:$M,10,0)</f>
        <v>46</v>
      </c>
      <c r="E292" s="4">
        <f>VLOOKUP($A292,[1]中未分析60315!$A:$M,11,0)</f>
        <v>46</v>
      </c>
      <c r="F292" s="4">
        <f>VLOOKUP($A292,[1]中未分析60315!$A:$M,12,0)</f>
        <v>45</v>
      </c>
      <c r="G292" s="4">
        <f>VLOOKUP($A292,[1]中未分析60315!$A:$M,13,0)</f>
        <v>44</v>
      </c>
      <c r="H292" s="3" t="s">
        <v>39</v>
      </c>
      <c r="I292" s="3" t="s">
        <v>584</v>
      </c>
    </row>
    <row r="293" customHeight="1" spans="1:9">
      <c r="A293" s="4" t="s">
        <v>585</v>
      </c>
      <c r="B293" s="4">
        <f>VLOOKUP($A293,[1]中未分析60315!$A:$M,8,0)</f>
        <v>48</v>
      </c>
      <c r="C293" s="4">
        <f>VLOOKUP($A293,[1]中未分析60315!$A:$M,9,0)</f>
        <v>47</v>
      </c>
      <c r="D293" s="4">
        <f>VLOOKUP($A293,[1]中未分析60315!$A:$M,10,0)</f>
        <v>46</v>
      </c>
      <c r="E293" s="4">
        <f>VLOOKUP($A293,[1]中未分析60315!$A:$M,11,0)</f>
        <v>45</v>
      </c>
      <c r="F293" s="4">
        <f>VLOOKUP($A293,[1]中未分析60315!$A:$M,12,0)</f>
        <v>45</v>
      </c>
      <c r="G293" s="4">
        <f>VLOOKUP($A293,[1]中未分析60315!$A:$M,13,0)</f>
        <v>44</v>
      </c>
      <c r="H293" s="3" t="s">
        <v>39</v>
      </c>
      <c r="I293" s="3" t="s">
        <v>586</v>
      </c>
    </row>
    <row r="294" customHeight="1" spans="1:9">
      <c r="A294" s="4" t="s">
        <v>587</v>
      </c>
      <c r="B294" s="4">
        <f>VLOOKUP($A294,[1]中未分析60315!$A:$M,8,0)</f>
        <v>44</v>
      </c>
      <c r="C294" s="4">
        <f>VLOOKUP($A294,[1]中未分析60315!$A:$M,9,0)</f>
        <v>43</v>
      </c>
      <c r="D294" s="4">
        <f>VLOOKUP($A294,[1]中未分析60315!$A:$M,10,0)</f>
        <v>42</v>
      </c>
      <c r="E294" s="4">
        <f>VLOOKUP($A294,[1]中未分析60315!$A:$M,11,0)</f>
        <v>42</v>
      </c>
      <c r="F294" s="4">
        <f>VLOOKUP($A294,[1]中未分析60315!$A:$M,12,0)</f>
        <v>41</v>
      </c>
      <c r="G294" s="4">
        <f>VLOOKUP($A294,[1]中未分析60315!$A:$M,13,0)</f>
        <v>41</v>
      </c>
      <c r="H294" s="3" t="s">
        <v>39</v>
      </c>
      <c r="I294" s="3" t="s">
        <v>588</v>
      </c>
    </row>
    <row r="295" customHeight="1" spans="1:9">
      <c r="A295" s="4" t="s">
        <v>589</v>
      </c>
      <c r="B295" s="4">
        <f>VLOOKUP($A295,[1]中未分析60315!$A:$M,8,0)</f>
        <v>45</v>
      </c>
      <c r="C295" s="4">
        <f>VLOOKUP($A295,[1]中未分析60315!$A:$M,9,0)</f>
        <v>43</v>
      </c>
      <c r="D295" s="4">
        <f>VLOOKUP($A295,[1]中未分析60315!$A:$M,10,0)</f>
        <v>42</v>
      </c>
      <c r="E295" s="4">
        <f>VLOOKUP($A295,[1]中未分析60315!$A:$M,11,0)</f>
        <v>40</v>
      </c>
      <c r="F295" s="4">
        <f>VLOOKUP($A295,[1]中未分析60315!$A:$M,12,0)</f>
        <v>38</v>
      </c>
      <c r="G295" s="4">
        <f>VLOOKUP($A295,[1]中未分析60315!$A:$M,13,0)</f>
        <v>37</v>
      </c>
      <c r="H295" s="3" t="s">
        <v>10</v>
      </c>
      <c r="I295" s="3" t="s">
        <v>590</v>
      </c>
    </row>
    <row r="296" customHeight="1" spans="1:9">
      <c r="A296" s="4" t="s">
        <v>591</v>
      </c>
      <c r="B296" s="4">
        <f>VLOOKUP($A296,[1]中未分析60315!$A:$M,8,0)</f>
        <v>44</v>
      </c>
      <c r="C296" s="4">
        <f>VLOOKUP($A296,[1]中未分析60315!$A:$M,9,0)</f>
        <v>43</v>
      </c>
      <c r="D296" s="4">
        <f>VLOOKUP($A296,[1]中未分析60315!$A:$M,10,0)</f>
        <v>41</v>
      </c>
      <c r="E296" s="4">
        <f>VLOOKUP($A296,[1]中未分析60315!$A:$M,11,0)</f>
        <v>39</v>
      </c>
      <c r="F296" s="4">
        <f>VLOOKUP($A296,[1]中未分析60315!$A:$M,12,0)</f>
        <v>38</v>
      </c>
      <c r="G296" s="4">
        <f>VLOOKUP($A296,[1]中未分析60315!$A:$M,13,0)</f>
        <v>36</v>
      </c>
      <c r="H296" s="3" t="s">
        <v>10</v>
      </c>
      <c r="I296" s="3" t="s">
        <v>592</v>
      </c>
    </row>
    <row r="297" customHeight="1" spans="1:9">
      <c r="A297" s="4" t="s">
        <v>593</v>
      </c>
      <c r="B297" s="4">
        <f>VLOOKUP($A297,[1]中未分析60315!$A:$M,8,0)</f>
        <v>30</v>
      </c>
      <c r="C297" s="4">
        <f>VLOOKUP($A297,[1]中未分析60315!$A:$M,9,0)</f>
        <v>29</v>
      </c>
      <c r="D297" s="4">
        <f>VLOOKUP($A297,[1]中未分析60315!$A:$M,10,0)</f>
        <v>28</v>
      </c>
      <c r="E297" s="4">
        <f>VLOOKUP($A297,[1]中未分析60315!$A:$M,11,0)</f>
        <v>27</v>
      </c>
      <c r="F297" s="4">
        <f>VLOOKUP($A297,[1]中未分析60315!$A:$M,12,0)</f>
        <v>25</v>
      </c>
      <c r="G297" s="4">
        <f>VLOOKUP($A297,[1]中未分析60315!$A:$M,13,0)</f>
        <v>24</v>
      </c>
      <c r="H297" s="3" t="s">
        <v>10</v>
      </c>
      <c r="I297" s="3" t="s">
        <v>594</v>
      </c>
    </row>
    <row r="298" customHeight="1" spans="1:9">
      <c r="A298" s="4" t="s">
        <v>595</v>
      </c>
      <c r="B298" s="4">
        <f>VLOOKUP($A298,[1]中未分析60315!$A:$M,8,0)</f>
        <v>50</v>
      </c>
      <c r="C298" s="4">
        <f>VLOOKUP($A298,[1]中未分析60315!$A:$M,9,0)</f>
        <v>49</v>
      </c>
      <c r="D298" s="4">
        <f>VLOOKUP($A298,[1]中未分析60315!$A:$M,10,0)</f>
        <v>48</v>
      </c>
      <c r="E298" s="4">
        <f>VLOOKUP($A298,[1]中未分析60315!$A:$M,11,0)</f>
        <v>48</v>
      </c>
      <c r="F298" s="4">
        <f>VLOOKUP($A298,[1]中未分析60315!$A:$M,12,0)</f>
        <v>47</v>
      </c>
      <c r="G298" s="4">
        <f>VLOOKUP($A298,[1]中未分析60315!$A:$M,13,0)</f>
        <v>46</v>
      </c>
      <c r="H298" s="3" t="s">
        <v>39</v>
      </c>
      <c r="I298" s="3" t="s">
        <v>596</v>
      </c>
    </row>
    <row r="299" customHeight="1" spans="1:9">
      <c r="A299" s="4" t="s">
        <v>597</v>
      </c>
      <c r="B299" s="4">
        <f>VLOOKUP($A299,[1]中未分析60315!$A:$M,8,0)</f>
        <v>42</v>
      </c>
      <c r="C299" s="4">
        <f>VLOOKUP($A299,[1]中未分析60315!$A:$M,9,0)</f>
        <v>40</v>
      </c>
      <c r="D299" s="4">
        <f>VLOOKUP($A299,[1]中未分析60315!$A:$M,10,0)</f>
        <v>39</v>
      </c>
      <c r="E299" s="4">
        <f>VLOOKUP($A299,[1]中未分析60315!$A:$M,11,0)</f>
        <v>37</v>
      </c>
      <c r="F299" s="4">
        <f>VLOOKUP($A299,[1]中未分析60315!$A:$M,12,0)</f>
        <v>36</v>
      </c>
      <c r="G299" s="4">
        <f>VLOOKUP($A299,[1]中未分析60315!$A:$M,13,0)</f>
        <v>34</v>
      </c>
      <c r="H299" s="3" t="s">
        <v>10</v>
      </c>
      <c r="I299" s="3" t="s">
        <v>598</v>
      </c>
    </row>
    <row r="300" customHeight="1" spans="1:9">
      <c r="A300" s="4" t="s">
        <v>599</v>
      </c>
      <c r="B300" s="4">
        <f>VLOOKUP($A300,[1]中未分析60315!$A:$M,8,0)</f>
        <v>34</v>
      </c>
      <c r="C300" s="4">
        <f>VLOOKUP($A300,[1]中未分析60315!$A:$M,9,0)</f>
        <v>33</v>
      </c>
      <c r="D300" s="4">
        <f>VLOOKUP($A300,[1]中未分析60315!$A:$M,10,0)</f>
        <v>32</v>
      </c>
      <c r="E300" s="4">
        <f>VLOOKUP($A300,[1]中未分析60315!$A:$M,11,0)</f>
        <v>30</v>
      </c>
      <c r="F300" s="4">
        <f>VLOOKUP($A300,[1]中未分析60315!$A:$M,12,0)</f>
        <v>29</v>
      </c>
      <c r="G300" s="4">
        <f>VLOOKUP($A300,[1]中未分析60315!$A:$M,13,0)</f>
        <v>28</v>
      </c>
      <c r="H300" s="3" t="s">
        <v>10</v>
      </c>
      <c r="I300" s="3" t="s">
        <v>600</v>
      </c>
    </row>
    <row r="301" customHeight="1" spans="1:9">
      <c r="A301" s="4" t="s">
        <v>601</v>
      </c>
      <c r="B301" s="4">
        <f>VLOOKUP($A301,[1]中未分析60315!$A:$M,8,0)</f>
        <v>40</v>
      </c>
      <c r="C301" s="4">
        <f>VLOOKUP($A301,[1]中未分析60315!$A:$M,9,0)</f>
        <v>38</v>
      </c>
      <c r="D301" s="4">
        <f>VLOOKUP($A301,[1]中未分析60315!$A:$M,10,0)</f>
        <v>37</v>
      </c>
      <c r="E301" s="4">
        <f>VLOOKUP($A301,[1]中未分析60315!$A:$M,11,0)</f>
        <v>35</v>
      </c>
      <c r="F301" s="4">
        <f>VLOOKUP($A301,[1]中未分析60315!$A:$M,12,0)</f>
        <v>34</v>
      </c>
      <c r="G301" s="4">
        <f>VLOOKUP($A301,[1]中未分析60315!$A:$M,13,0)</f>
        <v>32</v>
      </c>
      <c r="H301" s="3" t="s">
        <v>10</v>
      </c>
      <c r="I301" s="3" t="s">
        <v>602</v>
      </c>
    </row>
    <row r="302" customHeight="1" spans="1:9">
      <c r="A302" s="4" t="s">
        <v>603</v>
      </c>
      <c r="B302" s="4">
        <f>VLOOKUP($A302,[1]中未分析60315!$A:$M,8,0)</f>
        <v>32</v>
      </c>
      <c r="C302" s="4">
        <f>VLOOKUP($A302,[1]中未分析60315!$A:$M,9,0)</f>
        <v>31</v>
      </c>
      <c r="D302" s="4">
        <f>VLOOKUP($A302,[1]中未分析60315!$A:$M,10,0)</f>
        <v>29</v>
      </c>
      <c r="E302" s="4">
        <f>VLOOKUP($A302,[1]中未分析60315!$A:$M,11,0)</f>
        <v>28</v>
      </c>
      <c r="F302" s="4">
        <f>VLOOKUP($A302,[1]中未分析60315!$A:$M,12,0)</f>
        <v>27</v>
      </c>
      <c r="G302" s="4">
        <f>VLOOKUP($A302,[1]中未分析60315!$A:$M,13,0)</f>
        <v>26</v>
      </c>
      <c r="H302" s="3" t="s">
        <v>10</v>
      </c>
      <c r="I302" s="3" t="s">
        <v>604</v>
      </c>
    </row>
    <row r="303" customHeight="1" spans="1:9">
      <c r="A303" s="4" t="s">
        <v>605</v>
      </c>
      <c r="B303" s="4">
        <f>VLOOKUP($A303,[1]中未分析60315!$A:$M,8,0)</f>
        <v>52</v>
      </c>
      <c r="C303" s="4">
        <f>VLOOKUP($A303,[1]中未分析60315!$A:$M,9,0)</f>
        <v>52</v>
      </c>
      <c r="D303" s="4">
        <f>VLOOKUP($A303,[1]中未分析60315!$A:$M,10,0)</f>
        <v>51</v>
      </c>
      <c r="E303" s="4">
        <f>VLOOKUP($A303,[1]中未分析60315!$A:$M,11,0)</f>
        <v>50</v>
      </c>
      <c r="F303" s="4">
        <f>VLOOKUP($A303,[1]中未分析60315!$A:$M,12,0)</f>
        <v>49</v>
      </c>
      <c r="G303" s="4">
        <f>VLOOKUP($A303,[1]中未分析60315!$A:$M,13,0)</f>
        <v>48</v>
      </c>
      <c r="H303" s="3" t="s">
        <v>39</v>
      </c>
      <c r="I303" s="3" t="s">
        <v>606</v>
      </c>
    </row>
    <row r="304" customHeight="1" spans="1:9">
      <c r="A304" s="4" t="s">
        <v>607</v>
      </c>
      <c r="B304" s="4">
        <f>VLOOKUP($A304,[1]中未分析60315!$A:$M,8,0)</f>
        <v>38</v>
      </c>
      <c r="C304" s="4">
        <f>VLOOKUP($A304,[1]中未分析60315!$A:$M,9,0)</f>
        <v>36</v>
      </c>
      <c r="D304" s="4">
        <f>VLOOKUP($A304,[1]中未分析60315!$A:$M,10,0)</f>
        <v>35</v>
      </c>
      <c r="E304" s="4">
        <f>VLOOKUP($A304,[1]中未分析60315!$A:$M,11,0)</f>
        <v>33</v>
      </c>
      <c r="F304" s="4">
        <f>VLOOKUP($A304,[1]中未分析60315!$A:$M,12,0)</f>
        <v>32</v>
      </c>
      <c r="G304" s="4">
        <f>VLOOKUP($A304,[1]中未分析60315!$A:$M,13,0)</f>
        <v>31</v>
      </c>
      <c r="H304" s="3" t="s">
        <v>10</v>
      </c>
      <c r="I304" s="3" t="s">
        <v>608</v>
      </c>
    </row>
    <row r="305" customHeight="1" spans="1:9">
      <c r="A305" s="4" t="s">
        <v>609</v>
      </c>
      <c r="B305" s="4">
        <f>VLOOKUP($A305,[1]中未分析60315!$A:$M,8,0)</f>
        <v>69</v>
      </c>
      <c r="C305" s="4">
        <f>VLOOKUP($A305,[1]中未分析60315!$A:$M,9,0)</f>
        <v>68</v>
      </c>
      <c r="D305" s="4">
        <f>VLOOKUP($A305,[1]中未分析60315!$A:$M,10,0)</f>
        <v>67</v>
      </c>
      <c r="E305" s="4">
        <f>VLOOKUP($A305,[1]中未分析60315!$A:$M,11,0)</f>
        <v>66</v>
      </c>
      <c r="F305" s="4">
        <f>VLOOKUP($A305,[1]中未分析60315!$A:$M,12,0)</f>
        <v>65</v>
      </c>
      <c r="G305" s="4">
        <f>VLOOKUP($A305,[1]中未分析60315!$A:$M,13,0)</f>
        <v>64</v>
      </c>
      <c r="H305" s="3" t="s">
        <v>39</v>
      </c>
      <c r="I305" s="3" t="s">
        <v>610</v>
      </c>
    </row>
    <row r="306" customHeight="1" spans="1:9">
      <c r="A306" s="4" t="s">
        <v>611</v>
      </c>
      <c r="B306" s="4">
        <f>VLOOKUP($A306,[1]中未分析60315!$A:$M,8,0)</f>
        <v>42</v>
      </c>
      <c r="C306" s="4">
        <f>VLOOKUP($A306,[1]中未分析60315!$A:$M,9,0)</f>
        <v>40</v>
      </c>
      <c r="D306" s="4">
        <f>VLOOKUP($A306,[1]中未分析60315!$A:$M,10,0)</f>
        <v>39</v>
      </c>
      <c r="E306" s="4">
        <f>VLOOKUP($A306,[1]中未分析60315!$A:$M,11,0)</f>
        <v>37</v>
      </c>
      <c r="F306" s="4">
        <f>VLOOKUP($A306,[1]中未分析60315!$A:$M,12,0)</f>
        <v>36</v>
      </c>
      <c r="G306" s="4">
        <f>VLOOKUP($A306,[1]中未分析60315!$A:$M,13,0)</f>
        <v>34</v>
      </c>
      <c r="H306" s="3" t="s">
        <v>10</v>
      </c>
      <c r="I306" s="3" t="s">
        <v>612</v>
      </c>
    </row>
    <row r="307" customHeight="1" spans="1:9">
      <c r="A307" s="4" t="s">
        <v>613</v>
      </c>
      <c r="B307" s="4">
        <f>VLOOKUP($A307,[1]中未分析60315!$A:$M,8,0)</f>
        <v>23</v>
      </c>
      <c r="C307" s="4">
        <f>VLOOKUP($A307,[1]中未分析60315!$A:$M,9,0)</f>
        <v>22</v>
      </c>
      <c r="D307" s="4">
        <f>VLOOKUP($A307,[1]中未分析60315!$A:$M,10,0)</f>
        <v>21</v>
      </c>
      <c r="E307" s="4">
        <f>VLOOKUP($A307,[1]中未分析60315!$A:$M,11,0)</f>
        <v>20</v>
      </c>
      <c r="F307" s="4">
        <f>VLOOKUP($A307,[1]中未分析60315!$A:$M,12,0)</f>
        <v>19</v>
      </c>
      <c r="G307" s="4">
        <f>VLOOKUP($A307,[1]中未分析60315!$A:$M,13,0)</f>
        <v>19</v>
      </c>
      <c r="H307" s="3" t="s">
        <v>10</v>
      </c>
      <c r="I307" s="3" t="s">
        <v>614</v>
      </c>
    </row>
    <row r="308" customHeight="1" spans="1:9">
      <c r="A308" s="4" t="s">
        <v>615</v>
      </c>
      <c r="B308" s="4">
        <f>VLOOKUP($A308,[1]中未分析60315!$A:$M,8,0)</f>
        <v>83</v>
      </c>
      <c r="C308" s="4">
        <f>VLOOKUP($A308,[1]中未分析60315!$A:$M,9,0)</f>
        <v>80</v>
      </c>
      <c r="D308" s="4">
        <f>VLOOKUP($A308,[1]中未分析60315!$A:$M,10,0)</f>
        <v>77</v>
      </c>
      <c r="E308" s="4">
        <f>VLOOKUP($A308,[1]中未分析60315!$A:$M,11,0)</f>
        <v>74</v>
      </c>
      <c r="F308" s="4">
        <f>VLOOKUP($A308,[1]中未分析60315!$A:$M,12,0)</f>
        <v>71</v>
      </c>
      <c r="G308" s="4">
        <f>VLOOKUP($A308,[1]中未分析60315!$A:$M,13,0)</f>
        <v>68</v>
      </c>
      <c r="H308" s="3" t="s">
        <v>10</v>
      </c>
      <c r="I308" s="3" t="s">
        <v>616</v>
      </c>
    </row>
    <row r="309" customHeight="1" spans="1:9">
      <c r="A309" s="4" t="s">
        <v>617</v>
      </c>
      <c r="B309" s="4">
        <f>VLOOKUP($A309,[1]中未分析60315!$A:$M,8,0)</f>
        <v>44</v>
      </c>
      <c r="C309" s="4">
        <f>VLOOKUP($A309,[1]中未分析60315!$A:$M,9,0)</f>
        <v>42</v>
      </c>
      <c r="D309" s="4">
        <f>VLOOKUP($A309,[1]中未分析60315!$A:$M,10,0)</f>
        <v>41</v>
      </c>
      <c r="E309" s="4">
        <f>VLOOKUP($A309,[1]中未分析60315!$A:$M,11,0)</f>
        <v>39</v>
      </c>
      <c r="F309" s="4">
        <f>VLOOKUP($A309,[1]中未分析60315!$A:$M,12,0)</f>
        <v>38</v>
      </c>
      <c r="G309" s="4">
        <f>VLOOKUP($A309,[1]中未分析60315!$A:$M,13,0)</f>
        <v>36</v>
      </c>
      <c r="H309" s="3" t="s">
        <v>10</v>
      </c>
      <c r="I309" s="3" t="s">
        <v>618</v>
      </c>
    </row>
    <row r="310" customHeight="1" spans="1:9">
      <c r="A310" s="4" t="s">
        <v>619</v>
      </c>
      <c r="B310" s="4">
        <f>VLOOKUP($A310,[1]中未分析60315!$A:$M,8,0)</f>
        <v>40</v>
      </c>
      <c r="C310" s="4">
        <f>VLOOKUP($A310,[1]中未分析60315!$A:$M,9,0)</f>
        <v>39</v>
      </c>
      <c r="D310" s="4">
        <f>VLOOKUP($A310,[1]中未分析60315!$A:$M,10,0)</f>
        <v>37</v>
      </c>
      <c r="E310" s="4">
        <f>VLOOKUP($A310,[1]中未分析60315!$A:$M,11,0)</f>
        <v>36</v>
      </c>
      <c r="F310" s="4">
        <f>VLOOKUP($A310,[1]中未分析60315!$A:$M,12,0)</f>
        <v>34</v>
      </c>
      <c r="G310" s="4">
        <f>VLOOKUP($A310,[1]中未分析60315!$A:$M,13,0)</f>
        <v>33</v>
      </c>
      <c r="H310" s="3" t="s">
        <v>10</v>
      </c>
      <c r="I310" s="3" t="s">
        <v>179</v>
      </c>
    </row>
    <row r="311" customHeight="1" spans="1:9">
      <c r="A311" s="4" t="s">
        <v>620</v>
      </c>
      <c r="B311" s="4">
        <f>VLOOKUP($A311,[1]中未分析60315!$A:$M,8,0)</f>
        <v>34</v>
      </c>
      <c r="C311" s="4">
        <f>VLOOKUP($A311,[1]中未分析60315!$A:$M,9,0)</f>
        <v>33</v>
      </c>
      <c r="D311" s="4">
        <f>VLOOKUP($A311,[1]中未分析60315!$A:$M,10,0)</f>
        <v>31</v>
      </c>
      <c r="E311" s="4">
        <f>VLOOKUP($A311,[1]中未分析60315!$A:$M,11,0)</f>
        <v>30</v>
      </c>
      <c r="F311" s="4">
        <f>VLOOKUP($A311,[1]中未分析60315!$A:$M,12,0)</f>
        <v>29</v>
      </c>
      <c r="G311" s="4">
        <f>VLOOKUP($A311,[1]中未分析60315!$A:$M,13,0)</f>
        <v>28</v>
      </c>
      <c r="H311" s="3" t="s">
        <v>10</v>
      </c>
      <c r="I311" s="3" t="s">
        <v>31</v>
      </c>
    </row>
    <row r="312" customHeight="1" spans="1:9">
      <c r="A312" s="4" t="s">
        <v>621</v>
      </c>
      <c r="B312" s="4">
        <f>VLOOKUP($A312,[1]中未分析60315!$A:$M,8,0)</f>
        <v>37</v>
      </c>
      <c r="C312" s="4">
        <f>VLOOKUP($A312,[1]中未分析60315!$A:$M,9,0)</f>
        <v>35</v>
      </c>
      <c r="D312" s="4">
        <f>VLOOKUP($A312,[1]中未分析60315!$A:$M,10,0)</f>
        <v>34</v>
      </c>
      <c r="E312" s="4">
        <f>VLOOKUP($A312,[1]中未分析60315!$A:$M,11,0)</f>
        <v>33</v>
      </c>
      <c r="F312" s="4">
        <f>VLOOKUP($A312,[1]中未分析60315!$A:$M,12,0)</f>
        <v>31</v>
      </c>
      <c r="G312" s="4">
        <f>VLOOKUP($A312,[1]中未分析60315!$A:$M,13,0)</f>
        <v>30</v>
      </c>
      <c r="H312" s="3" t="s">
        <v>10</v>
      </c>
      <c r="I312" s="3" t="s">
        <v>622</v>
      </c>
    </row>
    <row r="313" customHeight="1" spans="1:9">
      <c r="A313" s="4" t="s">
        <v>623</v>
      </c>
      <c r="B313" s="4">
        <f>VLOOKUP($A313,[1]中未分析60315!$A:$M,8,0)</f>
        <v>37</v>
      </c>
      <c r="C313" s="4">
        <f>VLOOKUP($A313,[1]中未分析60315!$A:$M,9,0)</f>
        <v>35</v>
      </c>
      <c r="D313" s="4">
        <f>VLOOKUP($A313,[1]中未分析60315!$A:$M,10,0)</f>
        <v>34</v>
      </c>
      <c r="E313" s="4">
        <f>VLOOKUP($A313,[1]中未分析60315!$A:$M,11,0)</f>
        <v>33</v>
      </c>
      <c r="F313" s="4">
        <f>VLOOKUP($A313,[1]中未分析60315!$A:$M,12,0)</f>
        <v>31</v>
      </c>
      <c r="G313" s="4">
        <f>VLOOKUP($A313,[1]中未分析60315!$A:$M,13,0)</f>
        <v>30</v>
      </c>
      <c r="H313" s="3" t="s">
        <v>10</v>
      </c>
      <c r="I313" s="3" t="s">
        <v>624</v>
      </c>
    </row>
    <row r="314" customHeight="1" spans="1:9">
      <c r="A314" s="4" t="s">
        <v>625</v>
      </c>
      <c r="B314" s="4">
        <f>VLOOKUP($A314,[1]中未分析60315!$A:$M,8,0)</f>
        <v>46</v>
      </c>
      <c r="C314" s="4">
        <f>VLOOKUP($A314,[1]中未分析60315!$A:$M,9,0)</f>
        <v>45</v>
      </c>
      <c r="D314" s="4">
        <f>VLOOKUP($A314,[1]中未分析60315!$A:$M,10,0)</f>
        <v>45</v>
      </c>
      <c r="E314" s="4">
        <f>VLOOKUP($A314,[1]中未分析60315!$A:$M,11,0)</f>
        <v>44</v>
      </c>
      <c r="F314" s="4">
        <f>VLOOKUP($A314,[1]中未分析60315!$A:$M,12,0)</f>
        <v>44</v>
      </c>
      <c r="G314" s="4">
        <f>VLOOKUP($A314,[1]中未分析60315!$A:$M,13,0)</f>
        <v>43</v>
      </c>
      <c r="H314" s="3" t="s">
        <v>39</v>
      </c>
      <c r="I314" s="3" t="s">
        <v>626</v>
      </c>
    </row>
    <row r="315" customHeight="1" spans="1:9">
      <c r="A315" s="4" t="s">
        <v>627</v>
      </c>
      <c r="B315" s="4">
        <f>VLOOKUP($A315,[1]中未分析60315!$A:$M,8,0)</f>
        <v>42</v>
      </c>
      <c r="C315" s="4">
        <f>VLOOKUP($A315,[1]中未分析60315!$A:$M,9,0)</f>
        <v>41</v>
      </c>
      <c r="D315" s="4">
        <f>VLOOKUP($A315,[1]中未分析60315!$A:$M,10,0)</f>
        <v>39</v>
      </c>
      <c r="E315" s="4">
        <f>VLOOKUP($A315,[1]中未分析60315!$A:$M,11,0)</f>
        <v>38</v>
      </c>
      <c r="F315" s="4">
        <f>VLOOKUP($A315,[1]中未分析60315!$A:$M,12,0)</f>
        <v>36</v>
      </c>
      <c r="G315" s="4">
        <f>VLOOKUP($A315,[1]中未分析60315!$A:$M,13,0)</f>
        <v>34</v>
      </c>
      <c r="H315" s="3" t="s">
        <v>10</v>
      </c>
      <c r="I315" s="3" t="s">
        <v>628</v>
      </c>
    </row>
    <row r="316" customHeight="1" spans="1:9">
      <c r="A316" s="4" t="s">
        <v>629</v>
      </c>
      <c r="B316" s="4">
        <f>VLOOKUP($A316,[1]中未分析60315!$A:$M,8,0)</f>
        <v>53</v>
      </c>
      <c r="C316" s="4">
        <f>VLOOKUP($A316,[1]中未分析60315!$A:$M,9,0)</f>
        <v>52</v>
      </c>
      <c r="D316" s="4">
        <f>VLOOKUP($A316,[1]中未分析60315!$A:$M,10,0)</f>
        <v>51</v>
      </c>
      <c r="E316" s="4">
        <f>VLOOKUP($A316,[1]中未分析60315!$A:$M,11,0)</f>
        <v>50</v>
      </c>
      <c r="F316" s="4">
        <f>VLOOKUP($A316,[1]中未分析60315!$A:$M,12,0)</f>
        <v>50</v>
      </c>
      <c r="G316" s="4">
        <f>VLOOKUP($A316,[1]中未分析60315!$A:$M,13,0)</f>
        <v>49</v>
      </c>
      <c r="H316" s="3" t="s">
        <v>39</v>
      </c>
      <c r="I316" s="3" t="s">
        <v>630</v>
      </c>
    </row>
    <row r="317" customHeight="1" spans="1:9">
      <c r="A317" s="4" t="s">
        <v>631</v>
      </c>
      <c r="B317" s="4">
        <f>VLOOKUP($A317,[1]中未分析60315!$A:$M,8,0)</f>
        <v>38</v>
      </c>
      <c r="C317" s="4">
        <f>VLOOKUP($A317,[1]中未分析60315!$A:$M,9,0)</f>
        <v>37</v>
      </c>
      <c r="D317" s="4">
        <f>VLOOKUP($A317,[1]中未分析60315!$A:$M,10,0)</f>
        <v>35</v>
      </c>
      <c r="E317" s="4">
        <f>VLOOKUP($A317,[1]中未分析60315!$A:$M,11,0)</f>
        <v>34</v>
      </c>
      <c r="F317" s="4">
        <f>VLOOKUP($A317,[1]中未分析60315!$A:$M,12,0)</f>
        <v>33</v>
      </c>
      <c r="G317" s="4">
        <f>VLOOKUP($A317,[1]中未分析60315!$A:$M,13,0)</f>
        <v>31</v>
      </c>
      <c r="H317" s="3" t="s">
        <v>10</v>
      </c>
      <c r="I317" s="3" t="s">
        <v>632</v>
      </c>
    </row>
    <row r="318" customHeight="1" spans="1:9">
      <c r="A318" s="4" t="s">
        <v>633</v>
      </c>
      <c r="B318" s="4">
        <f>VLOOKUP($A318,[1]中未分析60315!$A:$M,8,0)</f>
        <v>22</v>
      </c>
      <c r="C318" s="4">
        <f>VLOOKUP($A318,[1]中未分析60315!$A:$M,9,0)</f>
        <v>21</v>
      </c>
      <c r="D318" s="4">
        <f>VLOOKUP($A318,[1]中未分析60315!$A:$M,10,0)</f>
        <v>20</v>
      </c>
      <c r="E318" s="4">
        <f>VLOOKUP($A318,[1]中未分析60315!$A:$M,11,0)</f>
        <v>19</v>
      </c>
      <c r="F318" s="4">
        <f>VLOOKUP($A318,[1]中未分析60315!$A:$M,12,0)</f>
        <v>19</v>
      </c>
      <c r="G318" s="4">
        <f>VLOOKUP($A318,[1]中未分析60315!$A:$M,13,0)</f>
        <v>18</v>
      </c>
      <c r="H318" s="3" t="s">
        <v>10</v>
      </c>
      <c r="I318" s="3" t="s">
        <v>634</v>
      </c>
    </row>
    <row r="319" customHeight="1" spans="1:9">
      <c r="A319" s="4" t="s">
        <v>635</v>
      </c>
      <c r="B319" s="4">
        <f>VLOOKUP($A319,[1]中未分析60315!$A:$M,8,0)</f>
        <v>40</v>
      </c>
      <c r="C319" s="4">
        <f>VLOOKUP($A319,[1]中未分析60315!$A:$M,9,0)</f>
        <v>39</v>
      </c>
      <c r="D319" s="4">
        <f>VLOOKUP($A319,[1]中未分析60315!$A:$M,10,0)</f>
        <v>37</v>
      </c>
      <c r="E319" s="4">
        <f>VLOOKUP($A319,[1]中未分析60315!$A:$M,11,0)</f>
        <v>36</v>
      </c>
      <c r="F319" s="4">
        <f>VLOOKUP($A319,[1]中未分析60315!$A:$M,12,0)</f>
        <v>34</v>
      </c>
      <c r="G319" s="4">
        <f>VLOOKUP($A319,[1]中未分析60315!$A:$M,13,0)</f>
        <v>33</v>
      </c>
      <c r="H319" s="3" t="s">
        <v>10</v>
      </c>
      <c r="I319" s="3" t="s">
        <v>636</v>
      </c>
    </row>
    <row r="320" customHeight="1" spans="1:9">
      <c r="A320" s="4" t="s">
        <v>637</v>
      </c>
      <c r="B320" s="4">
        <f>VLOOKUP($A320,[1]中未分析60315!$A:$M,8,0)</f>
        <v>37</v>
      </c>
      <c r="C320" s="4">
        <f>VLOOKUP($A320,[1]中未分析60315!$A:$M,9,0)</f>
        <v>36</v>
      </c>
      <c r="D320" s="4">
        <f>VLOOKUP($A320,[1]中未分析60315!$A:$M,10,0)</f>
        <v>35</v>
      </c>
      <c r="E320" s="4">
        <f>VLOOKUP($A320,[1]中未分析60315!$A:$M,11,0)</f>
        <v>33</v>
      </c>
      <c r="F320" s="4">
        <f>VLOOKUP($A320,[1]中未分析60315!$A:$M,12,0)</f>
        <v>32</v>
      </c>
      <c r="G320" s="4">
        <f>VLOOKUP($A320,[1]中未分析60315!$A:$M,13,0)</f>
        <v>30</v>
      </c>
      <c r="H320" s="3" t="s">
        <v>10</v>
      </c>
      <c r="I320" s="3" t="s">
        <v>638</v>
      </c>
    </row>
    <row r="321" customHeight="1" spans="1:9">
      <c r="A321" s="4" t="s">
        <v>639</v>
      </c>
      <c r="B321" s="4">
        <f>VLOOKUP($A321,[1]中未分析60315!$A:$M,8,0)</f>
        <v>37</v>
      </c>
      <c r="C321" s="4">
        <f>VLOOKUP($A321,[1]中未分析60315!$A:$M,9,0)</f>
        <v>36</v>
      </c>
      <c r="D321" s="4">
        <f>VLOOKUP($A321,[1]中未分析60315!$A:$M,10,0)</f>
        <v>34</v>
      </c>
      <c r="E321" s="4">
        <f>VLOOKUP($A321,[1]中未分析60315!$A:$M,11,0)</f>
        <v>33</v>
      </c>
      <c r="F321" s="4">
        <f>VLOOKUP($A321,[1]中未分析60315!$A:$M,12,0)</f>
        <v>32</v>
      </c>
      <c r="G321" s="4">
        <f>VLOOKUP($A321,[1]中未分析60315!$A:$M,13,0)</f>
        <v>30</v>
      </c>
      <c r="H321" s="3" t="s">
        <v>10</v>
      </c>
      <c r="I321" s="3" t="s">
        <v>640</v>
      </c>
    </row>
    <row r="322" customHeight="1" spans="1:9">
      <c r="A322" s="4" t="s">
        <v>641</v>
      </c>
      <c r="B322" s="4">
        <f>VLOOKUP($A322,[1]中未分析60315!$A:$M,8,0)</f>
        <v>29</v>
      </c>
      <c r="C322" s="4">
        <f>VLOOKUP($A322,[1]中未分析60315!$A:$M,9,0)</f>
        <v>28</v>
      </c>
      <c r="D322" s="4">
        <f>VLOOKUP($A322,[1]中未分析60315!$A:$M,10,0)</f>
        <v>27</v>
      </c>
      <c r="E322" s="4">
        <f>VLOOKUP($A322,[1]中未分析60315!$A:$M,11,0)</f>
        <v>26</v>
      </c>
      <c r="F322" s="4">
        <f>VLOOKUP($A322,[1]中未分析60315!$A:$M,12,0)</f>
        <v>25</v>
      </c>
      <c r="G322" s="4">
        <f>VLOOKUP($A322,[1]中未分析60315!$A:$M,13,0)</f>
        <v>24</v>
      </c>
      <c r="H322" s="3" t="s">
        <v>10</v>
      </c>
      <c r="I322" s="3" t="s">
        <v>642</v>
      </c>
    </row>
    <row r="323" customHeight="1" spans="1:9">
      <c r="A323" s="4" t="s">
        <v>643</v>
      </c>
      <c r="B323" s="4">
        <f>VLOOKUP($A323,[1]中未分析60315!$A:$M,8,0)</f>
        <v>41</v>
      </c>
      <c r="C323" s="4">
        <f>VLOOKUP($A323,[1]中未分析60315!$A:$M,9,0)</f>
        <v>39</v>
      </c>
      <c r="D323" s="4">
        <f>VLOOKUP($A323,[1]中未分析60315!$A:$M,10,0)</f>
        <v>38</v>
      </c>
      <c r="E323" s="4">
        <f>VLOOKUP($A323,[1]中未分析60315!$A:$M,11,0)</f>
        <v>36</v>
      </c>
      <c r="F323" s="4">
        <f>VLOOKUP($A323,[1]中未分析60315!$A:$M,12,0)</f>
        <v>35</v>
      </c>
      <c r="G323" s="4">
        <f>VLOOKUP($A323,[1]中未分析60315!$A:$M,13,0)</f>
        <v>33</v>
      </c>
      <c r="H323" s="3" t="s">
        <v>10</v>
      </c>
      <c r="I323" s="3" t="s">
        <v>644</v>
      </c>
    </row>
    <row r="324" customHeight="1" spans="1:9">
      <c r="A324" s="4" t="s">
        <v>645</v>
      </c>
      <c r="B324" s="4">
        <f>VLOOKUP($A324,[1]中未分析60315!$A:$M,8,0)</f>
        <v>41</v>
      </c>
      <c r="C324" s="4">
        <f>VLOOKUP($A324,[1]中未分析60315!$A:$M,9,0)</f>
        <v>40</v>
      </c>
      <c r="D324" s="4">
        <f>VLOOKUP($A324,[1]中未分析60315!$A:$M,10,0)</f>
        <v>38</v>
      </c>
      <c r="E324" s="4">
        <f>VLOOKUP($A324,[1]中未分析60315!$A:$M,11,0)</f>
        <v>37</v>
      </c>
      <c r="F324" s="4">
        <f>VLOOKUP($A324,[1]中未分析60315!$A:$M,12,0)</f>
        <v>35</v>
      </c>
      <c r="G324" s="4">
        <f>VLOOKUP($A324,[1]中未分析60315!$A:$M,13,0)</f>
        <v>34</v>
      </c>
      <c r="H324" s="3" t="s">
        <v>10</v>
      </c>
      <c r="I324" s="3" t="s">
        <v>646</v>
      </c>
    </row>
    <row r="325" customHeight="1" spans="1:9">
      <c r="A325" s="4" t="s">
        <v>647</v>
      </c>
      <c r="B325" s="4">
        <f>VLOOKUP($A325,[1]中未分析60315!$A:$M,8,0)</f>
        <v>50</v>
      </c>
      <c r="C325" s="4">
        <f>VLOOKUP($A325,[1]中未分析60315!$A:$M,9,0)</f>
        <v>49</v>
      </c>
      <c r="D325" s="4">
        <f>VLOOKUP($A325,[1]中未分析60315!$A:$M,10,0)</f>
        <v>48</v>
      </c>
      <c r="E325" s="4">
        <f>VLOOKUP($A325,[1]中未分析60315!$A:$M,11,0)</f>
        <v>48</v>
      </c>
      <c r="F325" s="4">
        <f>VLOOKUP($A325,[1]中未分析60315!$A:$M,12,0)</f>
        <v>47</v>
      </c>
      <c r="G325" s="4">
        <f>VLOOKUP($A325,[1]中未分析60315!$A:$M,13,0)</f>
        <v>46</v>
      </c>
      <c r="H325" s="3" t="s">
        <v>39</v>
      </c>
      <c r="I325" s="3" t="s">
        <v>310</v>
      </c>
    </row>
    <row r="326" customHeight="1" spans="1:9">
      <c r="A326" s="4" t="s">
        <v>648</v>
      </c>
      <c r="B326" s="4">
        <f>VLOOKUP($A326,[1]中未分析60315!$A:$M,8,0)</f>
        <v>34</v>
      </c>
      <c r="C326" s="4">
        <f>VLOOKUP($A326,[1]中未分析60315!$A:$M,9,0)</f>
        <v>32</v>
      </c>
      <c r="D326" s="4">
        <f>VLOOKUP($A326,[1]中未分析60315!$A:$M,10,0)</f>
        <v>31</v>
      </c>
      <c r="E326" s="4">
        <f>VLOOKUP($A326,[1]中未分析60315!$A:$M,11,0)</f>
        <v>30</v>
      </c>
      <c r="F326" s="4">
        <f>VLOOKUP($A326,[1]中未分析60315!$A:$M,12,0)</f>
        <v>29</v>
      </c>
      <c r="G326" s="4">
        <f>VLOOKUP($A326,[1]中未分析60315!$A:$M,13,0)</f>
        <v>28</v>
      </c>
      <c r="H326" s="3" t="s">
        <v>10</v>
      </c>
      <c r="I326" s="3" t="s">
        <v>649</v>
      </c>
    </row>
    <row r="327" customHeight="1" spans="1:9">
      <c r="A327" s="4" t="s">
        <v>650</v>
      </c>
      <c r="B327" s="4">
        <f>VLOOKUP($A327,[1]中未分析60315!$A:$M,8,0)</f>
        <v>43</v>
      </c>
      <c r="C327" s="4">
        <f>VLOOKUP($A327,[1]中未分析60315!$A:$M,9,0)</f>
        <v>42</v>
      </c>
      <c r="D327" s="4">
        <f>VLOOKUP($A327,[1]中未分析60315!$A:$M,10,0)</f>
        <v>40</v>
      </c>
      <c r="E327" s="4">
        <f>VLOOKUP($A327,[1]中未分析60315!$A:$M,11,0)</f>
        <v>39</v>
      </c>
      <c r="F327" s="4">
        <f>VLOOKUP($A327,[1]中未分析60315!$A:$M,12,0)</f>
        <v>37</v>
      </c>
      <c r="G327" s="4">
        <f>VLOOKUP($A327,[1]中未分析60315!$A:$M,13,0)</f>
        <v>35</v>
      </c>
      <c r="H327" s="3" t="s">
        <v>10</v>
      </c>
      <c r="I327" s="3" t="s">
        <v>651</v>
      </c>
    </row>
    <row r="328" customHeight="1" spans="1:9">
      <c r="A328" s="4" t="s">
        <v>652</v>
      </c>
      <c r="B328" s="4">
        <f>VLOOKUP($A328,[1]中未分析60315!$A:$M,8,0)</f>
        <v>56</v>
      </c>
      <c r="C328" s="4">
        <f>VLOOKUP($A328,[1]中未分析60315!$A:$M,9,0)</f>
        <v>55</v>
      </c>
      <c r="D328" s="4">
        <f>VLOOKUP($A328,[1]中未分析60315!$A:$M,10,0)</f>
        <v>54</v>
      </c>
      <c r="E328" s="4">
        <f>VLOOKUP($A328,[1]中未分析60315!$A:$M,11,0)</f>
        <v>53</v>
      </c>
      <c r="F328" s="4">
        <f>VLOOKUP($A328,[1]中未分析60315!$A:$M,12,0)</f>
        <v>53</v>
      </c>
      <c r="G328" s="4">
        <f>VLOOKUP($A328,[1]中未分析60315!$A:$M,13,0)</f>
        <v>52</v>
      </c>
      <c r="H328" s="3" t="s">
        <v>39</v>
      </c>
      <c r="I328" s="3" t="s">
        <v>653</v>
      </c>
    </row>
    <row r="329" customHeight="1" spans="1:9">
      <c r="A329" s="4" t="s">
        <v>654</v>
      </c>
      <c r="B329" s="4">
        <f>VLOOKUP($A329,[1]中未分析60315!$A:$M,8,0)</f>
        <v>57</v>
      </c>
      <c r="C329" s="4">
        <f>VLOOKUP($A329,[1]中未分析60315!$A:$M,9,0)</f>
        <v>56</v>
      </c>
      <c r="D329" s="4">
        <f>VLOOKUP($A329,[1]中未分析60315!$A:$M,10,0)</f>
        <v>55</v>
      </c>
      <c r="E329" s="4">
        <f>VLOOKUP($A329,[1]中未分析60315!$A:$M,11,0)</f>
        <v>54</v>
      </c>
      <c r="F329" s="4">
        <f>VLOOKUP($A329,[1]中未分析60315!$A:$M,12,0)</f>
        <v>53</v>
      </c>
      <c r="G329" s="4">
        <f>VLOOKUP($A329,[1]中未分析60315!$A:$M,13,0)</f>
        <v>52</v>
      </c>
      <c r="H329" s="3" t="s">
        <v>39</v>
      </c>
      <c r="I329" s="3" t="s">
        <v>655</v>
      </c>
    </row>
    <row r="330" customHeight="1" spans="1:9">
      <c r="A330" s="4" t="s">
        <v>656</v>
      </c>
      <c r="B330" s="4">
        <f>VLOOKUP($A330,[1]中未分析60315!$A:$M,8,0)</f>
        <v>30</v>
      </c>
      <c r="C330" s="4">
        <f>VLOOKUP($A330,[1]中未分析60315!$A:$M,9,0)</f>
        <v>29</v>
      </c>
      <c r="D330" s="4">
        <f>VLOOKUP($A330,[1]中未分析60315!$A:$M,10,0)</f>
        <v>28</v>
      </c>
      <c r="E330" s="4">
        <f>VLOOKUP($A330,[1]中未分析60315!$A:$M,11,0)</f>
        <v>27</v>
      </c>
      <c r="F330" s="4">
        <f>VLOOKUP($A330,[1]中未分析60315!$A:$M,12,0)</f>
        <v>26</v>
      </c>
      <c r="G330" s="4">
        <f>VLOOKUP($A330,[1]中未分析60315!$A:$M,13,0)</f>
        <v>24</v>
      </c>
      <c r="H330" s="3" t="s">
        <v>10</v>
      </c>
      <c r="I330" s="3" t="s">
        <v>657</v>
      </c>
    </row>
    <row r="331" customHeight="1" spans="1:9">
      <c r="A331" s="4" t="s">
        <v>658</v>
      </c>
      <c r="B331" s="4">
        <f>VLOOKUP($A331,[1]中未分析60315!$A:$M,8,0)</f>
        <v>48</v>
      </c>
      <c r="C331" s="4">
        <f>VLOOKUP($A331,[1]中未分析60315!$A:$M,9,0)</f>
        <v>47</v>
      </c>
      <c r="D331" s="4">
        <f>VLOOKUP($A331,[1]中未分析60315!$A:$M,10,0)</f>
        <v>46</v>
      </c>
      <c r="E331" s="4">
        <f>VLOOKUP($A331,[1]中未分析60315!$A:$M,11,0)</f>
        <v>45</v>
      </c>
      <c r="F331" s="4">
        <f>VLOOKUP($A331,[1]中未分析60315!$A:$M,12,0)</f>
        <v>45</v>
      </c>
      <c r="G331" s="4">
        <f>VLOOKUP($A331,[1]中未分析60315!$A:$M,13,0)</f>
        <v>44</v>
      </c>
      <c r="H331" s="3" t="s">
        <v>39</v>
      </c>
      <c r="I331" s="3" t="s">
        <v>310</v>
      </c>
    </row>
    <row r="332" customHeight="1" spans="1:9">
      <c r="A332" s="4" t="s">
        <v>659</v>
      </c>
      <c r="B332" s="4">
        <f>VLOOKUP($A332,[1]中未分析60315!$A:$M,8,0)</f>
        <v>38</v>
      </c>
      <c r="C332" s="4">
        <f>VLOOKUP($A332,[1]中未分析60315!$A:$M,9,0)</f>
        <v>36</v>
      </c>
      <c r="D332" s="4">
        <f>VLOOKUP($A332,[1]中未分析60315!$A:$M,10,0)</f>
        <v>35</v>
      </c>
      <c r="E332" s="4">
        <f>VLOOKUP($A332,[1]中未分析60315!$A:$M,11,0)</f>
        <v>34</v>
      </c>
      <c r="F332" s="4">
        <f>VLOOKUP($A332,[1]中未分析60315!$A:$M,12,0)</f>
        <v>32</v>
      </c>
      <c r="G332" s="4">
        <f>VLOOKUP($A332,[1]中未分析60315!$A:$M,13,0)</f>
        <v>31</v>
      </c>
      <c r="H332" s="3" t="s">
        <v>10</v>
      </c>
      <c r="I332" s="3" t="s">
        <v>660</v>
      </c>
    </row>
    <row r="333" customHeight="1" spans="1:9">
      <c r="A333" s="4" t="s">
        <v>661</v>
      </c>
      <c r="B333" s="4">
        <f>VLOOKUP($A333,[1]中未分析60315!$A:$M,8,0)</f>
        <v>44</v>
      </c>
      <c r="C333" s="4">
        <f>VLOOKUP($A333,[1]中未分析60315!$A:$M,9,0)</f>
        <v>42</v>
      </c>
      <c r="D333" s="4">
        <f>VLOOKUP($A333,[1]中未分析60315!$A:$M,10,0)</f>
        <v>41</v>
      </c>
      <c r="E333" s="4">
        <f>VLOOKUP($A333,[1]中未分析60315!$A:$M,11,0)</f>
        <v>39</v>
      </c>
      <c r="F333" s="4">
        <f>VLOOKUP($A333,[1]中未分析60315!$A:$M,12,0)</f>
        <v>37</v>
      </c>
      <c r="G333" s="4">
        <f>VLOOKUP($A333,[1]中未分析60315!$A:$M,13,0)</f>
        <v>36</v>
      </c>
      <c r="H333" s="3" t="s">
        <v>10</v>
      </c>
      <c r="I333" s="3" t="s">
        <v>662</v>
      </c>
    </row>
    <row r="334" customHeight="1" spans="1:9">
      <c r="A334" s="4" t="s">
        <v>663</v>
      </c>
      <c r="B334" s="4">
        <f>VLOOKUP($A334,[1]中未分析60315!$A:$M,8,0)</f>
        <v>38</v>
      </c>
      <c r="C334" s="4">
        <f>VLOOKUP($A334,[1]中未分析60315!$A:$M,9,0)</f>
        <v>37</v>
      </c>
      <c r="D334" s="4">
        <f>VLOOKUP($A334,[1]中未分析60315!$A:$M,10,0)</f>
        <v>35</v>
      </c>
      <c r="E334" s="4">
        <f>VLOOKUP($A334,[1]中未分析60315!$A:$M,11,0)</f>
        <v>34</v>
      </c>
      <c r="F334" s="4">
        <f>VLOOKUP($A334,[1]中未分析60315!$A:$M,12,0)</f>
        <v>33</v>
      </c>
      <c r="G334" s="4">
        <f>VLOOKUP($A334,[1]中未分析60315!$A:$M,13,0)</f>
        <v>31</v>
      </c>
      <c r="H334" s="3" t="s">
        <v>10</v>
      </c>
      <c r="I334" s="3" t="s">
        <v>664</v>
      </c>
    </row>
    <row r="335" customHeight="1" spans="1:9">
      <c r="A335" s="4" t="s">
        <v>665</v>
      </c>
      <c r="B335" s="4">
        <f>VLOOKUP($A335,[1]中未分析60315!$A:$M,8,0)</f>
        <v>90</v>
      </c>
      <c r="C335" s="4">
        <f>VLOOKUP($A335,[1]中未分析60315!$A:$M,9,0)</f>
        <v>87</v>
      </c>
      <c r="D335" s="4">
        <f>VLOOKUP($A335,[1]中未分析60315!$A:$M,10,0)</f>
        <v>84</v>
      </c>
      <c r="E335" s="4">
        <f>VLOOKUP($A335,[1]中未分析60315!$A:$M,11,0)</f>
        <v>80</v>
      </c>
      <c r="F335" s="4">
        <f>VLOOKUP($A335,[1]中未分析60315!$A:$M,12,0)</f>
        <v>77</v>
      </c>
      <c r="G335" s="4">
        <f>VLOOKUP($A335,[1]中未分析60315!$A:$M,13,0)</f>
        <v>74</v>
      </c>
      <c r="H335" s="3" t="s">
        <v>10</v>
      </c>
      <c r="I335" s="3" t="s">
        <v>666</v>
      </c>
    </row>
    <row r="336" customHeight="1" spans="1:9">
      <c r="A336" s="4" t="s">
        <v>667</v>
      </c>
      <c r="B336" s="4">
        <f>VLOOKUP($A336,[1]中未分析60315!$A:$M,8,0)</f>
        <v>48</v>
      </c>
      <c r="C336" s="4">
        <f>VLOOKUP($A336,[1]中未分析60315!$A:$M,9,0)</f>
        <v>47</v>
      </c>
      <c r="D336" s="4">
        <f>VLOOKUP($A336,[1]中未分析60315!$A:$M,10,0)</f>
        <v>46</v>
      </c>
      <c r="E336" s="4">
        <f>VLOOKUP($A336,[1]中未分析60315!$A:$M,11,0)</f>
        <v>45</v>
      </c>
      <c r="F336" s="4">
        <f>VLOOKUP($A336,[1]中未分析60315!$A:$M,12,0)</f>
        <v>45</v>
      </c>
      <c r="G336" s="4">
        <f>VLOOKUP($A336,[1]中未分析60315!$A:$M,13,0)</f>
        <v>44</v>
      </c>
      <c r="H336" s="3" t="s">
        <v>39</v>
      </c>
      <c r="I336" s="3" t="s">
        <v>668</v>
      </c>
    </row>
    <row r="337" customHeight="1" spans="1:9">
      <c r="A337" s="4" t="s">
        <v>669</v>
      </c>
      <c r="B337" s="4">
        <f>VLOOKUP($A337,[1]中未分析60315!$A:$M,8,0)</f>
        <v>22</v>
      </c>
      <c r="C337" s="4">
        <f>VLOOKUP($A337,[1]中未分析60315!$A:$M,9,0)</f>
        <v>21</v>
      </c>
      <c r="D337" s="4">
        <f>VLOOKUP($A337,[1]中未分析60315!$A:$M,10,0)</f>
        <v>20</v>
      </c>
      <c r="E337" s="4">
        <f>VLOOKUP($A337,[1]中未分析60315!$A:$M,11,0)</f>
        <v>19</v>
      </c>
      <c r="F337" s="4">
        <f>VLOOKUP($A337,[1]中未分析60315!$A:$M,12,0)</f>
        <v>19</v>
      </c>
      <c r="G337" s="4">
        <f>VLOOKUP($A337,[1]中未分析60315!$A:$M,13,0)</f>
        <v>18</v>
      </c>
      <c r="H337" s="3" t="s">
        <v>10</v>
      </c>
      <c r="I337" s="3" t="s">
        <v>670</v>
      </c>
    </row>
    <row r="338" customHeight="1" spans="1:9">
      <c r="A338" s="4" t="s">
        <v>671</v>
      </c>
      <c r="B338" s="4">
        <f>VLOOKUP($A338,[1]中未分析60315!$A:$M,8,0)</f>
        <v>55</v>
      </c>
      <c r="C338" s="4">
        <f>VLOOKUP($A338,[1]中未分析60315!$A:$M,9,0)</f>
        <v>54</v>
      </c>
      <c r="D338" s="4">
        <f>VLOOKUP($A338,[1]中未分析60315!$A:$M,10,0)</f>
        <v>53</v>
      </c>
      <c r="E338" s="4">
        <f>VLOOKUP($A338,[1]中未分析60315!$A:$M,11,0)</f>
        <v>52</v>
      </c>
      <c r="F338" s="4">
        <f>VLOOKUP($A338,[1]中未分析60315!$A:$M,12,0)</f>
        <v>52</v>
      </c>
      <c r="G338" s="4">
        <f>VLOOKUP($A338,[1]中未分析60315!$A:$M,13,0)</f>
        <v>51</v>
      </c>
      <c r="H338" s="3" t="s">
        <v>39</v>
      </c>
      <c r="I338" s="3" t="s">
        <v>672</v>
      </c>
    </row>
    <row r="339" customHeight="1" spans="1:9">
      <c r="A339" s="4" t="s">
        <v>673</v>
      </c>
      <c r="B339" s="4">
        <f>VLOOKUP($A339,[1]中未分析60315!$A:$M,8,0)</f>
        <v>37</v>
      </c>
      <c r="C339" s="4">
        <f>VLOOKUP($A339,[1]中未分析60315!$A:$M,9,0)</f>
        <v>35</v>
      </c>
      <c r="D339" s="4">
        <f>VLOOKUP($A339,[1]中未分析60315!$A:$M,10,0)</f>
        <v>34</v>
      </c>
      <c r="E339" s="4">
        <f>VLOOKUP($A339,[1]中未分析60315!$A:$M,11,0)</f>
        <v>33</v>
      </c>
      <c r="F339" s="4">
        <f>VLOOKUP($A339,[1]中未分析60315!$A:$M,12,0)</f>
        <v>31</v>
      </c>
      <c r="G339" s="4">
        <f>VLOOKUP($A339,[1]中未分析60315!$A:$M,13,0)</f>
        <v>30</v>
      </c>
      <c r="H339" s="3" t="s">
        <v>10</v>
      </c>
      <c r="I339" s="3" t="s">
        <v>674</v>
      </c>
    </row>
    <row r="340" customHeight="1" spans="1:9">
      <c r="A340" s="4" t="s">
        <v>675</v>
      </c>
      <c r="B340" s="4">
        <f>VLOOKUP($A340,[1]中未分析60315!$A:$M,8,0)</f>
        <v>26</v>
      </c>
      <c r="C340" s="4">
        <f>VLOOKUP($A340,[1]中未分析60315!$A:$M,9,0)</f>
        <v>25</v>
      </c>
      <c r="D340" s="4">
        <f>VLOOKUP($A340,[1]中未分析60315!$A:$M,10,0)</f>
        <v>24</v>
      </c>
      <c r="E340" s="4">
        <f>VLOOKUP($A340,[1]中未分析60315!$A:$M,11,0)</f>
        <v>23</v>
      </c>
      <c r="F340" s="4">
        <f>VLOOKUP($A340,[1]中未分析60315!$A:$M,12,0)</f>
        <v>22</v>
      </c>
      <c r="G340" s="4">
        <f>VLOOKUP($A340,[1]中未分析60315!$A:$M,13,0)</f>
        <v>21</v>
      </c>
      <c r="H340" s="3" t="s">
        <v>10</v>
      </c>
      <c r="I340" s="3" t="s">
        <v>676</v>
      </c>
    </row>
    <row r="341" customHeight="1" spans="1:9">
      <c r="A341" s="4" t="s">
        <v>677</v>
      </c>
      <c r="B341" s="4">
        <f>VLOOKUP($A341,[1]中未分析60315!$A:$M,8,0)</f>
        <v>36</v>
      </c>
      <c r="C341" s="4">
        <f>VLOOKUP($A341,[1]中未分析60315!$A:$M,9,0)</f>
        <v>35</v>
      </c>
      <c r="D341" s="4">
        <f>VLOOKUP($A341,[1]中未分析60315!$A:$M,10,0)</f>
        <v>34</v>
      </c>
      <c r="E341" s="4">
        <f>VLOOKUP($A341,[1]中未分析60315!$A:$M,11,0)</f>
        <v>32</v>
      </c>
      <c r="F341" s="4">
        <f>VLOOKUP($A341,[1]中未分析60315!$A:$M,12,0)</f>
        <v>31</v>
      </c>
      <c r="G341" s="4">
        <f>VLOOKUP($A341,[1]中未分析60315!$A:$M,13,0)</f>
        <v>30</v>
      </c>
      <c r="H341" s="3" t="s">
        <v>10</v>
      </c>
      <c r="I341" s="3" t="s">
        <v>678</v>
      </c>
    </row>
    <row r="342" customHeight="1" spans="1:9">
      <c r="A342" s="4" t="s">
        <v>679</v>
      </c>
      <c r="B342" s="4">
        <f>VLOOKUP($A342,[1]中未分析60315!$A:$M,8,0)</f>
        <v>35</v>
      </c>
      <c r="C342" s="4">
        <f>VLOOKUP($A342,[1]中未分析60315!$A:$M,9,0)</f>
        <v>33</v>
      </c>
      <c r="D342" s="4">
        <f>VLOOKUP($A342,[1]中未分析60315!$A:$M,10,0)</f>
        <v>32</v>
      </c>
      <c r="E342" s="4">
        <f>VLOOKUP($A342,[1]中未分析60315!$A:$M,11,0)</f>
        <v>31</v>
      </c>
      <c r="F342" s="4">
        <f>VLOOKUP($A342,[1]中未分析60315!$A:$M,12,0)</f>
        <v>30</v>
      </c>
      <c r="G342" s="4">
        <f>VLOOKUP($A342,[1]中未分析60315!$A:$M,13,0)</f>
        <v>28</v>
      </c>
      <c r="H342" s="3" t="s">
        <v>10</v>
      </c>
      <c r="I342" s="3" t="s">
        <v>680</v>
      </c>
    </row>
    <row r="343" customHeight="1" spans="1:9">
      <c r="A343" s="4" t="s">
        <v>681</v>
      </c>
      <c r="B343" s="4">
        <f>VLOOKUP($A343,[1]中未分析60315!$A:$M,8,0)</f>
        <v>24</v>
      </c>
      <c r="C343" s="4">
        <f>VLOOKUP($A343,[1]中未分析60315!$A:$M,9,0)</f>
        <v>23</v>
      </c>
      <c r="D343" s="4">
        <f>VLOOKUP($A343,[1]中未分析60315!$A:$M,10,0)</f>
        <v>22</v>
      </c>
      <c r="E343" s="4">
        <f>VLOOKUP($A343,[1]中未分析60315!$A:$M,11,0)</f>
        <v>21</v>
      </c>
      <c r="F343" s="4">
        <f>VLOOKUP($A343,[1]中未分析60315!$A:$M,12,0)</f>
        <v>21</v>
      </c>
      <c r="G343" s="4">
        <f>VLOOKUP($A343,[1]中未分析60315!$A:$M,13,0)</f>
        <v>20</v>
      </c>
      <c r="H343" s="3" t="s">
        <v>10</v>
      </c>
      <c r="I343" s="3" t="s">
        <v>682</v>
      </c>
    </row>
    <row r="344" customHeight="1" spans="1:9">
      <c r="A344" s="4" t="s">
        <v>683</v>
      </c>
      <c r="B344" s="4">
        <f>VLOOKUP($A344,[1]中未分析60315!$A:$M,8,0)</f>
        <v>53</v>
      </c>
      <c r="C344" s="4">
        <f>VLOOKUP($A344,[1]中未分析60315!$A:$M,9,0)</f>
        <v>52</v>
      </c>
      <c r="D344" s="4">
        <f>VLOOKUP($A344,[1]中未分析60315!$A:$M,10,0)</f>
        <v>51</v>
      </c>
      <c r="E344" s="4">
        <f>VLOOKUP($A344,[1]中未分析60315!$A:$M,11,0)</f>
        <v>50</v>
      </c>
      <c r="F344" s="4">
        <f>VLOOKUP($A344,[1]中未分析60315!$A:$M,12,0)</f>
        <v>50</v>
      </c>
      <c r="G344" s="4">
        <f>VLOOKUP($A344,[1]中未分析60315!$A:$M,13,0)</f>
        <v>49</v>
      </c>
      <c r="H344" s="3" t="s">
        <v>39</v>
      </c>
      <c r="I344" s="3" t="s">
        <v>684</v>
      </c>
    </row>
    <row r="345" customHeight="1" spans="1:9">
      <c r="A345" s="4" t="s">
        <v>685</v>
      </c>
      <c r="B345" s="4">
        <f>VLOOKUP($A345,[1]中未分析60315!$A:$M,8,0)</f>
        <v>37</v>
      </c>
      <c r="C345" s="4">
        <f>VLOOKUP($A345,[1]中未分析60315!$A:$M,9,0)</f>
        <v>36</v>
      </c>
      <c r="D345" s="4">
        <f>VLOOKUP($A345,[1]中未分析60315!$A:$M,10,0)</f>
        <v>34</v>
      </c>
      <c r="E345" s="4">
        <f>VLOOKUP($A345,[1]中未分析60315!$A:$M,11,0)</f>
        <v>33</v>
      </c>
      <c r="F345" s="4">
        <f>VLOOKUP($A345,[1]中未分析60315!$A:$M,12,0)</f>
        <v>32</v>
      </c>
      <c r="G345" s="4">
        <f>VLOOKUP($A345,[1]中未分析60315!$A:$M,13,0)</f>
        <v>30</v>
      </c>
      <c r="H345" s="3" t="s">
        <v>10</v>
      </c>
      <c r="I345" s="3" t="s">
        <v>686</v>
      </c>
    </row>
    <row r="346" customHeight="1" spans="1:9">
      <c r="A346" s="4" t="s">
        <v>687</v>
      </c>
      <c r="B346" s="4">
        <f>VLOOKUP($A346,[1]中未分析60315!$A:$M,8,0)</f>
        <v>33</v>
      </c>
      <c r="C346" s="4">
        <f>VLOOKUP($A346,[1]中未分析60315!$A:$M,9,0)</f>
        <v>32</v>
      </c>
      <c r="D346" s="4">
        <f>VLOOKUP($A346,[1]中未分析60315!$A:$M,10,0)</f>
        <v>31</v>
      </c>
      <c r="E346" s="4">
        <f>VLOOKUP($A346,[1]中未分析60315!$A:$M,11,0)</f>
        <v>29</v>
      </c>
      <c r="F346" s="4">
        <f>VLOOKUP($A346,[1]中未分析60315!$A:$M,12,0)</f>
        <v>28</v>
      </c>
      <c r="G346" s="4">
        <f>VLOOKUP($A346,[1]中未分析60315!$A:$M,13,0)</f>
        <v>27</v>
      </c>
      <c r="H346" s="3" t="s">
        <v>10</v>
      </c>
      <c r="I346" s="3" t="s">
        <v>688</v>
      </c>
    </row>
    <row r="347" customHeight="1" spans="1:9">
      <c r="A347" s="4" t="s">
        <v>689</v>
      </c>
      <c r="B347" s="4">
        <f>VLOOKUP($A347,[1]中未分析60315!$A:$M,8,0)</f>
        <v>23</v>
      </c>
      <c r="C347" s="4">
        <f>VLOOKUP($A347,[1]中未分析60315!$A:$M,9,0)</f>
        <v>22</v>
      </c>
      <c r="D347" s="4">
        <f>VLOOKUP($A347,[1]中未分析60315!$A:$M,10,0)</f>
        <v>21</v>
      </c>
      <c r="E347" s="4">
        <f>VLOOKUP($A347,[1]中未分析60315!$A:$M,11,0)</f>
        <v>20</v>
      </c>
      <c r="F347" s="4">
        <f>VLOOKUP($A347,[1]中未分析60315!$A:$M,12,0)</f>
        <v>19</v>
      </c>
      <c r="G347" s="4">
        <f>VLOOKUP($A347,[1]中未分析60315!$A:$M,13,0)</f>
        <v>18</v>
      </c>
      <c r="H347" s="3" t="s">
        <v>10</v>
      </c>
      <c r="I347" s="3" t="s">
        <v>690</v>
      </c>
    </row>
    <row r="348" customHeight="1" spans="1:9">
      <c r="A348" s="4" t="s">
        <v>691</v>
      </c>
      <c r="B348" s="4">
        <f>VLOOKUP($A348,[1]中未分析60315!$A:$M,8,0)</f>
        <v>27</v>
      </c>
      <c r="C348" s="4">
        <f>VLOOKUP($A348,[1]中未分析60315!$A:$M,9,0)</f>
        <v>26</v>
      </c>
      <c r="D348" s="4">
        <f>VLOOKUP($A348,[1]中未分析60315!$A:$M,10,0)</f>
        <v>25</v>
      </c>
      <c r="E348" s="4">
        <f>VLOOKUP($A348,[1]中未分析60315!$A:$M,11,0)</f>
        <v>24</v>
      </c>
      <c r="F348" s="4">
        <f>VLOOKUP($A348,[1]中未分析60315!$A:$M,12,0)</f>
        <v>23</v>
      </c>
      <c r="G348" s="4">
        <f>VLOOKUP($A348,[1]中未分析60315!$A:$M,13,0)</f>
        <v>22</v>
      </c>
      <c r="H348" s="3" t="s">
        <v>10</v>
      </c>
      <c r="I348" s="3" t="s">
        <v>692</v>
      </c>
    </row>
    <row r="349" customHeight="1" spans="1:9">
      <c r="A349" s="4" t="s">
        <v>693</v>
      </c>
      <c r="B349" s="4">
        <f>VLOOKUP($A349,[1]中未分析60315!$A:$M,8,0)</f>
        <v>32</v>
      </c>
      <c r="C349" s="4">
        <f>VLOOKUP($A349,[1]中未分析60315!$A:$M,9,0)</f>
        <v>31</v>
      </c>
      <c r="D349" s="4">
        <f>VLOOKUP($A349,[1]中未分析60315!$A:$M,10,0)</f>
        <v>30</v>
      </c>
      <c r="E349" s="4">
        <f>VLOOKUP($A349,[1]中未分析60315!$A:$M,11,0)</f>
        <v>29</v>
      </c>
      <c r="F349" s="4">
        <f>VLOOKUP($A349,[1]中未分析60315!$A:$M,12,0)</f>
        <v>28</v>
      </c>
      <c r="G349" s="4">
        <f>VLOOKUP($A349,[1]中未分析60315!$A:$M,13,0)</f>
        <v>26</v>
      </c>
      <c r="H349" s="3" t="s">
        <v>10</v>
      </c>
      <c r="I349" s="3" t="s">
        <v>694</v>
      </c>
    </row>
    <row r="350" customHeight="1" spans="1:9">
      <c r="A350" s="4" t="s">
        <v>695</v>
      </c>
      <c r="B350" s="4">
        <f>VLOOKUP($A350,[1]中未分析60315!$A:$M,8,0)</f>
        <v>20</v>
      </c>
      <c r="C350" s="4">
        <f>VLOOKUP($A350,[1]中未分析60315!$A:$M,9,0)</f>
        <v>20</v>
      </c>
      <c r="D350" s="4">
        <f>VLOOKUP($A350,[1]中未分析60315!$A:$M,10,0)</f>
        <v>19</v>
      </c>
      <c r="E350" s="4">
        <f>VLOOKUP($A350,[1]中未分析60315!$A:$M,11,0)</f>
        <v>18</v>
      </c>
      <c r="F350" s="4">
        <f>VLOOKUP($A350,[1]中未分析60315!$A:$M,12,0)</f>
        <v>17</v>
      </c>
      <c r="G350" s="4">
        <f>VLOOKUP($A350,[1]中未分析60315!$A:$M,13,0)</f>
        <v>17</v>
      </c>
      <c r="H350" s="3" t="s">
        <v>10</v>
      </c>
      <c r="I350" s="3" t="s">
        <v>497</v>
      </c>
    </row>
    <row r="351" customHeight="1" spans="1:9">
      <c r="A351" s="4" t="s">
        <v>696</v>
      </c>
      <c r="B351" s="4">
        <f>VLOOKUP($A351,[1]中未分析60315!$A:$M,8,0)</f>
        <v>24</v>
      </c>
      <c r="C351" s="4">
        <f>VLOOKUP($A351,[1]中未分析60315!$A:$M,9,0)</f>
        <v>23</v>
      </c>
      <c r="D351" s="4">
        <f>VLOOKUP($A351,[1]中未分析60315!$A:$M,10,0)</f>
        <v>23</v>
      </c>
      <c r="E351" s="4">
        <f>VLOOKUP($A351,[1]中未分析60315!$A:$M,11,0)</f>
        <v>22</v>
      </c>
      <c r="F351" s="4">
        <f>VLOOKUP($A351,[1]中未分析60315!$A:$M,12,0)</f>
        <v>21</v>
      </c>
      <c r="G351" s="4">
        <f>VLOOKUP($A351,[1]中未分析60315!$A:$M,13,0)</f>
        <v>20</v>
      </c>
      <c r="H351" s="3" t="s">
        <v>10</v>
      </c>
      <c r="I351" s="3" t="s">
        <v>697</v>
      </c>
    </row>
    <row r="352" customHeight="1" spans="1:9">
      <c r="A352" s="4" t="s">
        <v>698</v>
      </c>
      <c r="B352" s="4">
        <f>VLOOKUP($A352,[1]中未分析60315!$A:$M,8,0)</f>
        <v>35</v>
      </c>
      <c r="C352" s="4">
        <f>VLOOKUP($A352,[1]中未分析60315!$A:$M,9,0)</f>
        <v>34</v>
      </c>
      <c r="D352" s="4">
        <f>VLOOKUP($A352,[1]中未分析60315!$A:$M,10,0)</f>
        <v>32</v>
      </c>
      <c r="E352" s="4">
        <f>VLOOKUP($A352,[1]中未分析60315!$A:$M,11,0)</f>
        <v>31</v>
      </c>
      <c r="F352" s="4">
        <f>VLOOKUP($A352,[1]中未分析60315!$A:$M,12,0)</f>
        <v>30</v>
      </c>
      <c r="G352" s="4">
        <f>VLOOKUP($A352,[1]中未分析60315!$A:$M,13,0)</f>
        <v>28</v>
      </c>
      <c r="H352" s="3" t="s">
        <v>10</v>
      </c>
      <c r="I352" s="3" t="s">
        <v>699</v>
      </c>
    </row>
    <row r="353" customHeight="1" spans="1:9">
      <c r="A353" s="4" t="s">
        <v>700</v>
      </c>
      <c r="B353" s="4">
        <f>VLOOKUP($A353,[1]中未分析60315!$A:$M,8,0)</f>
        <v>42</v>
      </c>
      <c r="C353" s="4">
        <f>VLOOKUP($A353,[1]中未分析60315!$A:$M,9,0)</f>
        <v>41</v>
      </c>
      <c r="D353" s="4">
        <f>VLOOKUP($A353,[1]中未分析60315!$A:$M,10,0)</f>
        <v>39</v>
      </c>
      <c r="E353" s="4">
        <f>VLOOKUP($A353,[1]中未分析60315!$A:$M,11,0)</f>
        <v>38</v>
      </c>
      <c r="F353" s="4">
        <f>VLOOKUP($A353,[1]中未分析60315!$A:$M,12,0)</f>
        <v>36</v>
      </c>
      <c r="G353" s="4">
        <f>VLOOKUP($A353,[1]中未分析60315!$A:$M,13,0)</f>
        <v>35</v>
      </c>
      <c r="H353" s="3" t="s">
        <v>10</v>
      </c>
      <c r="I353" s="3" t="s">
        <v>701</v>
      </c>
    </row>
    <row r="354" customHeight="1" spans="1:9">
      <c r="A354" s="4" t="s">
        <v>702</v>
      </c>
      <c r="B354" s="4">
        <f>VLOOKUP($A354,[1]中未分析60315!$A:$M,8,0)</f>
        <v>38</v>
      </c>
      <c r="C354" s="4">
        <f>VLOOKUP($A354,[1]中未分析60315!$A:$M,9,0)</f>
        <v>37</v>
      </c>
      <c r="D354" s="4">
        <f>VLOOKUP($A354,[1]中未分析60315!$A:$M,10,0)</f>
        <v>35</v>
      </c>
      <c r="E354" s="4">
        <f>VLOOKUP($A354,[1]中未分析60315!$A:$M,11,0)</f>
        <v>34</v>
      </c>
      <c r="F354" s="4">
        <f>VLOOKUP($A354,[1]中未分析60315!$A:$M,12,0)</f>
        <v>33</v>
      </c>
      <c r="G354" s="4">
        <f>VLOOKUP($A354,[1]中未分析60315!$A:$M,13,0)</f>
        <v>31</v>
      </c>
      <c r="H354" s="3" t="s">
        <v>10</v>
      </c>
      <c r="I354" s="3" t="s">
        <v>703</v>
      </c>
    </row>
    <row r="355" customHeight="1" spans="1:9">
      <c r="A355" s="4" t="s">
        <v>704</v>
      </c>
      <c r="B355" s="4">
        <f>VLOOKUP($A355,[1]中未分析60315!$A:$M,8,0)</f>
        <v>30</v>
      </c>
      <c r="C355" s="4">
        <f>VLOOKUP($A355,[1]中未分析60315!$A:$M,9,0)</f>
        <v>29</v>
      </c>
      <c r="D355" s="4">
        <f>VLOOKUP($A355,[1]中未分析60315!$A:$M,10,0)</f>
        <v>28</v>
      </c>
      <c r="E355" s="4">
        <f>VLOOKUP($A355,[1]中未分析60315!$A:$M,11,0)</f>
        <v>27</v>
      </c>
      <c r="F355" s="4">
        <f>VLOOKUP($A355,[1]中未分析60315!$A:$M,12,0)</f>
        <v>26</v>
      </c>
      <c r="G355" s="4">
        <f>VLOOKUP($A355,[1]中未分析60315!$A:$M,13,0)</f>
        <v>25</v>
      </c>
      <c r="H355" s="3" t="s">
        <v>10</v>
      </c>
      <c r="I355" s="3" t="s">
        <v>705</v>
      </c>
    </row>
    <row r="356" customHeight="1" spans="1:9">
      <c r="A356" s="4" t="s">
        <v>706</v>
      </c>
      <c r="B356" s="4">
        <f>VLOOKUP($A356,[1]中未分析60315!$A:$M,8,0)</f>
        <v>83</v>
      </c>
      <c r="C356" s="4">
        <f>VLOOKUP($A356,[1]中未分析60315!$A:$M,9,0)</f>
        <v>80</v>
      </c>
      <c r="D356" s="4">
        <f>VLOOKUP($A356,[1]中未分析60315!$A:$M,10,0)</f>
        <v>77</v>
      </c>
      <c r="E356" s="4">
        <f>VLOOKUP($A356,[1]中未分析60315!$A:$M,11,0)</f>
        <v>74</v>
      </c>
      <c r="F356" s="4">
        <f>VLOOKUP($A356,[1]中未分析60315!$A:$M,12,0)</f>
        <v>71</v>
      </c>
      <c r="G356" s="4">
        <f>VLOOKUP($A356,[1]中未分析60315!$A:$M,13,0)</f>
        <v>68</v>
      </c>
      <c r="H356" s="3" t="s">
        <v>10</v>
      </c>
      <c r="I356" s="3" t="s">
        <v>616</v>
      </c>
    </row>
    <row r="357" customHeight="1" spans="1:9">
      <c r="A357" s="4" t="s">
        <v>707</v>
      </c>
      <c r="B357" s="4">
        <f>VLOOKUP($A357,[1]中未分析60315!$A:$M,8,0)</f>
        <v>60</v>
      </c>
      <c r="C357" s="4">
        <f>VLOOKUP($A357,[1]中未分析60315!$A:$M,9,0)</f>
        <v>59</v>
      </c>
      <c r="D357" s="4">
        <f>VLOOKUP($A357,[1]中未分析60315!$A:$M,10,0)</f>
        <v>58</v>
      </c>
      <c r="E357" s="4">
        <f>VLOOKUP($A357,[1]中未分析60315!$A:$M,11,0)</f>
        <v>57</v>
      </c>
      <c r="F357" s="4">
        <f>VLOOKUP($A357,[1]中未分析60315!$A:$M,12,0)</f>
        <v>57</v>
      </c>
      <c r="G357" s="4">
        <f>VLOOKUP($A357,[1]中未分析60315!$A:$M,13,0)</f>
        <v>56</v>
      </c>
      <c r="H357" s="3" t="s">
        <v>39</v>
      </c>
      <c r="I357" s="3" t="s">
        <v>708</v>
      </c>
    </row>
    <row r="358" customHeight="1" spans="1:9">
      <c r="A358" s="4" t="s">
        <v>709</v>
      </c>
      <c r="B358" s="4">
        <f>VLOOKUP($A358,[1]中未分析60315!$A:$M,8,0)</f>
        <v>48</v>
      </c>
      <c r="C358" s="4">
        <f>VLOOKUP($A358,[1]中未分析60315!$A:$M,9,0)</f>
        <v>47</v>
      </c>
      <c r="D358" s="4">
        <f>VLOOKUP($A358,[1]中未分析60315!$A:$M,10,0)</f>
        <v>46</v>
      </c>
      <c r="E358" s="4">
        <f>VLOOKUP($A358,[1]中未分析60315!$A:$M,11,0)</f>
        <v>45</v>
      </c>
      <c r="F358" s="4">
        <f>VLOOKUP($A358,[1]中未分析60315!$A:$M,12,0)</f>
        <v>45</v>
      </c>
      <c r="G358" s="4">
        <f>VLOOKUP($A358,[1]中未分析60315!$A:$M,13,0)</f>
        <v>44</v>
      </c>
      <c r="H358" s="3" t="s">
        <v>39</v>
      </c>
      <c r="I358" s="3" t="s">
        <v>710</v>
      </c>
    </row>
    <row r="359" customHeight="1" spans="1:9">
      <c r="A359" s="4" t="s">
        <v>711</v>
      </c>
      <c r="B359" s="4">
        <f>VLOOKUP($A359,[1]中未分析60315!$A:$M,8,0)</f>
        <v>189</v>
      </c>
      <c r="C359" s="4">
        <f>VLOOKUP($A359,[1]中未分析60315!$A:$M,9,0)</f>
        <v>182</v>
      </c>
      <c r="D359" s="4">
        <f>VLOOKUP($A359,[1]中未分析60315!$A:$M,10,0)</f>
        <v>175</v>
      </c>
      <c r="E359" s="4">
        <f>VLOOKUP($A359,[1]中未分析60315!$A:$M,11,0)</f>
        <v>168</v>
      </c>
      <c r="F359" s="4">
        <f>VLOOKUP($A359,[1]中未分析60315!$A:$M,12,0)</f>
        <v>161</v>
      </c>
      <c r="G359" s="4">
        <f>VLOOKUP($A359,[1]中未分析60315!$A:$M,13,0)</f>
        <v>154</v>
      </c>
      <c r="H359" s="3" t="s">
        <v>10</v>
      </c>
      <c r="I359" s="3" t="s">
        <v>712</v>
      </c>
    </row>
    <row r="360" customHeight="1" spans="1:9">
      <c r="A360" s="4" t="s">
        <v>713</v>
      </c>
      <c r="B360" s="4">
        <f>VLOOKUP($A360,[1]中未分析60315!$A:$M,8,0)</f>
        <v>29</v>
      </c>
      <c r="C360" s="4">
        <f>VLOOKUP($A360,[1]中未分析60315!$A:$M,9,0)</f>
        <v>28</v>
      </c>
      <c r="D360" s="4">
        <f>VLOOKUP($A360,[1]中未分析60315!$A:$M,10,0)</f>
        <v>27</v>
      </c>
      <c r="E360" s="4">
        <f>VLOOKUP($A360,[1]中未分析60315!$A:$M,11,0)</f>
        <v>26</v>
      </c>
      <c r="F360" s="4">
        <f>VLOOKUP($A360,[1]中未分析60315!$A:$M,12,0)</f>
        <v>25</v>
      </c>
      <c r="G360" s="4">
        <f>VLOOKUP($A360,[1]中未分析60315!$A:$M,13,0)</f>
        <v>24</v>
      </c>
      <c r="H360" s="3" t="s">
        <v>10</v>
      </c>
      <c r="I360" s="3" t="s">
        <v>714</v>
      </c>
    </row>
    <row r="361" customHeight="1" spans="1:9">
      <c r="A361" s="4" t="s">
        <v>715</v>
      </c>
      <c r="B361" s="4">
        <f>VLOOKUP($A361,[1]中未分析60315!$A:$M,8,0)</f>
        <v>171</v>
      </c>
      <c r="C361" s="4">
        <f>VLOOKUP($A361,[1]中未分析60315!$A:$M,9,0)</f>
        <v>168</v>
      </c>
      <c r="D361" s="4">
        <f>VLOOKUP($A361,[1]中未分析60315!$A:$M,10,0)</f>
        <v>165</v>
      </c>
      <c r="E361" s="4">
        <f>VLOOKUP($A361,[1]中未分析60315!$A:$M,11,0)</f>
        <v>162</v>
      </c>
      <c r="F361" s="4">
        <f>VLOOKUP($A361,[1]中未分析60315!$A:$M,12,0)</f>
        <v>161</v>
      </c>
      <c r="G361" s="4">
        <f>VLOOKUP($A361,[1]中未分析60315!$A:$M,13,0)</f>
        <v>158</v>
      </c>
      <c r="H361" s="3" t="s">
        <v>39</v>
      </c>
      <c r="I361" s="3" t="s">
        <v>716</v>
      </c>
    </row>
    <row r="362" customHeight="1" spans="1:9">
      <c r="A362" s="4" t="s">
        <v>717</v>
      </c>
      <c r="B362" s="4">
        <f>VLOOKUP($A362,[1]中未分析60315!$A:$M,8,0)</f>
        <v>38</v>
      </c>
      <c r="C362" s="4">
        <f>VLOOKUP($A362,[1]中未分析60315!$A:$M,9,0)</f>
        <v>36</v>
      </c>
      <c r="D362" s="4">
        <f>VLOOKUP($A362,[1]中未分析60315!$A:$M,10,0)</f>
        <v>35</v>
      </c>
      <c r="E362" s="4">
        <f>VLOOKUP($A362,[1]中未分析60315!$A:$M,11,0)</f>
        <v>33</v>
      </c>
      <c r="F362" s="4">
        <f>VLOOKUP($A362,[1]中未分析60315!$A:$M,12,0)</f>
        <v>32</v>
      </c>
      <c r="G362" s="4">
        <f>VLOOKUP($A362,[1]中未分析60315!$A:$M,13,0)</f>
        <v>31</v>
      </c>
      <c r="H362" s="3" t="s">
        <v>10</v>
      </c>
      <c r="I362" s="3" t="s">
        <v>718</v>
      </c>
    </row>
    <row r="363" customHeight="1" spans="1:9">
      <c r="A363" s="4" t="s">
        <v>719</v>
      </c>
      <c r="B363" s="4">
        <f>VLOOKUP($A363,[1]中未分析60315!$A:$M,8,0)</f>
        <v>43</v>
      </c>
      <c r="C363" s="4">
        <f>VLOOKUP($A363,[1]中未分析60315!$A:$M,9,0)</f>
        <v>41</v>
      </c>
      <c r="D363" s="4">
        <f>VLOOKUP($A363,[1]中未分析60315!$A:$M,10,0)</f>
        <v>40</v>
      </c>
      <c r="E363" s="4">
        <f>VLOOKUP($A363,[1]中未分析60315!$A:$M,11,0)</f>
        <v>38</v>
      </c>
      <c r="F363" s="4">
        <f>VLOOKUP($A363,[1]中未分析60315!$A:$M,12,0)</f>
        <v>36</v>
      </c>
      <c r="G363" s="4">
        <f>VLOOKUP($A363,[1]中未分析60315!$A:$M,13,0)</f>
        <v>35</v>
      </c>
      <c r="H363" s="3" t="s">
        <v>10</v>
      </c>
      <c r="I363" s="3" t="s">
        <v>720</v>
      </c>
    </row>
    <row r="364" customHeight="1" spans="1:9">
      <c r="A364" s="4" t="s">
        <v>721</v>
      </c>
      <c r="B364" s="4">
        <f>VLOOKUP($A364,[1]中未分析60315!$A:$M,8,0)</f>
        <v>35</v>
      </c>
      <c r="C364" s="4">
        <f>VLOOKUP($A364,[1]中未分析60315!$A:$M,9,0)</f>
        <v>34</v>
      </c>
      <c r="D364" s="4">
        <f>VLOOKUP($A364,[1]中未分析60315!$A:$M,10,0)</f>
        <v>32</v>
      </c>
      <c r="E364" s="4">
        <f>VLOOKUP($A364,[1]中未分析60315!$A:$M,11,0)</f>
        <v>31</v>
      </c>
      <c r="F364" s="4">
        <f>VLOOKUP($A364,[1]中未分析60315!$A:$M,12,0)</f>
        <v>30</v>
      </c>
      <c r="G364" s="4">
        <f>VLOOKUP($A364,[1]中未分析60315!$A:$M,13,0)</f>
        <v>29</v>
      </c>
      <c r="H364" s="3" t="s">
        <v>10</v>
      </c>
      <c r="I364" s="3" t="s">
        <v>722</v>
      </c>
    </row>
    <row r="365" customHeight="1" spans="1:9">
      <c r="A365" s="4" t="s">
        <v>723</v>
      </c>
      <c r="B365" s="4">
        <f>VLOOKUP($A365,[1]中未分析60315!$A:$M,8,0)</f>
        <v>56</v>
      </c>
      <c r="C365" s="4">
        <f>VLOOKUP($A365,[1]中未分析60315!$A:$M,9,0)</f>
        <v>55</v>
      </c>
      <c r="D365" s="4">
        <f>VLOOKUP($A365,[1]中未分析60315!$A:$M,10,0)</f>
        <v>54</v>
      </c>
      <c r="E365" s="4">
        <f>VLOOKUP($A365,[1]中未分析60315!$A:$M,11,0)</f>
        <v>53</v>
      </c>
      <c r="F365" s="4">
        <f>VLOOKUP($A365,[1]中未分析60315!$A:$M,12,0)</f>
        <v>53</v>
      </c>
      <c r="G365" s="4">
        <f>VLOOKUP($A365,[1]中未分析60315!$A:$M,13,0)</f>
        <v>52</v>
      </c>
      <c r="H365" s="3" t="s">
        <v>39</v>
      </c>
      <c r="I365" s="3" t="s">
        <v>724</v>
      </c>
    </row>
    <row r="366" customHeight="1" spans="1:9">
      <c r="A366" s="4" t="s">
        <v>725</v>
      </c>
      <c r="B366" s="4">
        <f>VLOOKUP($A366,[1]中未分析60315!$A:$M,8,0)</f>
        <v>52</v>
      </c>
      <c r="C366" s="4">
        <f>VLOOKUP($A366,[1]中未分析60315!$A:$M,9,0)</f>
        <v>50</v>
      </c>
      <c r="D366" s="4">
        <f>VLOOKUP($A366,[1]中未分析60315!$A:$M,10,0)</f>
        <v>48</v>
      </c>
      <c r="E366" s="4">
        <f>VLOOKUP($A366,[1]中未分析60315!$A:$M,11,0)</f>
        <v>46</v>
      </c>
      <c r="F366" s="4">
        <f>VLOOKUP($A366,[1]中未分析60315!$A:$M,12,0)</f>
        <v>45</v>
      </c>
      <c r="G366" s="4">
        <f>VLOOKUP($A366,[1]中未分析60315!$A:$M,13,0)</f>
        <v>43</v>
      </c>
      <c r="H366" s="3" t="s">
        <v>10</v>
      </c>
      <c r="I366" s="3" t="s">
        <v>726</v>
      </c>
    </row>
    <row r="367" customHeight="1" spans="1:9">
      <c r="A367" s="4" t="s">
        <v>727</v>
      </c>
      <c r="B367" s="4">
        <f>VLOOKUP($A367,[1]中未分析60315!$A:$M,8,0)</f>
        <v>116</v>
      </c>
      <c r="C367" s="4">
        <f>VLOOKUP($A367,[1]中未分析60315!$A:$M,9,0)</f>
        <v>114</v>
      </c>
      <c r="D367" s="4">
        <f>VLOOKUP($A367,[1]中未分析60315!$A:$M,10,0)</f>
        <v>112</v>
      </c>
      <c r="E367" s="4">
        <f>VLOOKUP($A367,[1]中未分析60315!$A:$M,11,0)</f>
        <v>110</v>
      </c>
      <c r="F367" s="4">
        <f>VLOOKUP($A367,[1]中未分析60315!$A:$M,12,0)</f>
        <v>109</v>
      </c>
      <c r="G367" s="4">
        <f>VLOOKUP($A367,[1]中未分析60315!$A:$M,13,0)</f>
        <v>108</v>
      </c>
      <c r="H367" s="3" t="s">
        <v>39</v>
      </c>
      <c r="I367" s="3" t="s">
        <v>728</v>
      </c>
    </row>
    <row r="368" customHeight="1" spans="1:9">
      <c r="A368" s="4" t="s">
        <v>729</v>
      </c>
      <c r="B368" s="4">
        <f>VLOOKUP($A368,[1]中未分析60315!$A:$M,8,0)</f>
        <v>31</v>
      </c>
      <c r="C368" s="4">
        <f>VLOOKUP($A368,[1]中未分析60315!$A:$M,9,0)</f>
        <v>30</v>
      </c>
      <c r="D368" s="4">
        <f>VLOOKUP($A368,[1]中未分析60315!$A:$M,10,0)</f>
        <v>28</v>
      </c>
      <c r="E368" s="4">
        <f>VLOOKUP($A368,[1]中未分析60315!$A:$M,11,0)</f>
        <v>27</v>
      </c>
      <c r="F368" s="4">
        <f>VLOOKUP($A368,[1]中未分析60315!$A:$M,12,0)</f>
        <v>26</v>
      </c>
      <c r="G368" s="4">
        <f>VLOOKUP($A368,[1]中未分析60315!$A:$M,13,0)</f>
        <v>25</v>
      </c>
      <c r="H368" s="3" t="s">
        <v>10</v>
      </c>
      <c r="I368" s="3" t="s">
        <v>730</v>
      </c>
    </row>
    <row r="369" customHeight="1" spans="1:9">
      <c r="A369" s="4" t="s">
        <v>731</v>
      </c>
      <c r="B369" s="4">
        <f>VLOOKUP($A369,[1]中未分析60315!$A:$M,8,0)</f>
        <v>25</v>
      </c>
      <c r="C369" s="4">
        <f>VLOOKUP($A369,[1]中未分析60315!$A:$M,9,0)</f>
        <v>24</v>
      </c>
      <c r="D369" s="4">
        <f>VLOOKUP($A369,[1]中未分析60315!$A:$M,10,0)</f>
        <v>23</v>
      </c>
      <c r="E369" s="4">
        <f>VLOOKUP($A369,[1]中未分析60315!$A:$M,11,0)</f>
        <v>22</v>
      </c>
      <c r="F369" s="4">
        <f>VLOOKUP($A369,[1]中未分析60315!$A:$M,12,0)</f>
        <v>21</v>
      </c>
      <c r="G369" s="4">
        <f>VLOOKUP($A369,[1]中未分析60315!$A:$M,13,0)</f>
        <v>20</v>
      </c>
      <c r="H369" s="3" t="s">
        <v>10</v>
      </c>
      <c r="I369" s="3" t="s">
        <v>732</v>
      </c>
    </row>
    <row r="370" customHeight="1" spans="1:9">
      <c r="A370" s="4" t="s">
        <v>733</v>
      </c>
      <c r="B370" s="4">
        <f>VLOOKUP($A370,[1]中未分析60315!$A:$M,8,0)</f>
        <v>31</v>
      </c>
      <c r="C370" s="4">
        <f>VLOOKUP($A370,[1]中未分析60315!$A:$M,9,0)</f>
        <v>30</v>
      </c>
      <c r="D370" s="4">
        <f>VLOOKUP($A370,[1]中未分析60315!$A:$M,10,0)</f>
        <v>29</v>
      </c>
      <c r="E370" s="4">
        <f>VLOOKUP($A370,[1]中未分析60315!$A:$M,11,0)</f>
        <v>28</v>
      </c>
      <c r="F370" s="4">
        <f>VLOOKUP($A370,[1]中未分析60315!$A:$M,12,0)</f>
        <v>27</v>
      </c>
      <c r="G370" s="4">
        <f>VLOOKUP($A370,[1]中未分析60315!$A:$M,13,0)</f>
        <v>25</v>
      </c>
      <c r="H370" s="3" t="s">
        <v>10</v>
      </c>
      <c r="I370" s="3" t="s">
        <v>734</v>
      </c>
    </row>
    <row r="371" customHeight="1" spans="1:9">
      <c r="A371" s="4" t="s">
        <v>735</v>
      </c>
      <c r="B371" s="4">
        <f>VLOOKUP($A371,[1]中未分析60315!$A:$M,8,0)</f>
        <v>61</v>
      </c>
      <c r="C371" s="4">
        <f>VLOOKUP($A371,[1]中未分析60315!$A:$M,9,0)</f>
        <v>59</v>
      </c>
      <c r="D371" s="4">
        <f>VLOOKUP($A371,[1]中未分析60315!$A:$M,10,0)</f>
        <v>56</v>
      </c>
      <c r="E371" s="4">
        <f>VLOOKUP($A371,[1]中未分析60315!$A:$M,11,0)</f>
        <v>54</v>
      </c>
      <c r="F371" s="4">
        <f>VLOOKUP($A371,[1]中未分析60315!$A:$M,12,0)</f>
        <v>52</v>
      </c>
      <c r="G371" s="4">
        <f>VLOOKUP($A371,[1]中未分析60315!$A:$M,13,0)</f>
        <v>50</v>
      </c>
      <c r="H371" s="3" t="s">
        <v>10</v>
      </c>
      <c r="I371" s="3" t="s">
        <v>736</v>
      </c>
    </row>
    <row r="372" customHeight="1" spans="1:9">
      <c r="A372" s="4" t="s">
        <v>737</v>
      </c>
      <c r="B372" s="4">
        <f>VLOOKUP($A372,[1]中未分析60315!$A:$M,8,0)</f>
        <v>39</v>
      </c>
      <c r="C372" s="4">
        <f>VLOOKUP($A372,[1]中未分析60315!$A:$M,9,0)</f>
        <v>38</v>
      </c>
      <c r="D372" s="4">
        <f>VLOOKUP($A372,[1]中未分析60315!$A:$M,10,0)</f>
        <v>37</v>
      </c>
      <c r="E372" s="4">
        <f>VLOOKUP($A372,[1]中未分析60315!$A:$M,11,0)</f>
        <v>35</v>
      </c>
      <c r="F372" s="4">
        <f>VLOOKUP($A372,[1]中未分析60315!$A:$M,12,0)</f>
        <v>34</v>
      </c>
      <c r="G372" s="4">
        <f>VLOOKUP($A372,[1]中未分析60315!$A:$M,13,0)</f>
        <v>32</v>
      </c>
      <c r="H372" s="3" t="s">
        <v>10</v>
      </c>
      <c r="I372" s="3" t="s">
        <v>738</v>
      </c>
    </row>
    <row r="373" customHeight="1" spans="1:9">
      <c r="A373" s="4" t="s">
        <v>739</v>
      </c>
      <c r="B373" s="4">
        <f>VLOOKUP($A373,[1]中未分析60315!$A:$M,8,0)</f>
        <v>75</v>
      </c>
      <c r="C373" s="4">
        <f>VLOOKUP($A373,[1]中未分析60315!$A:$M,9,0)</f>
        <v>72</v>
      </c>
      <c r="D373" s="4">
        <f>VLOOKUP($A373,[1]中未分析60315!$A:$M,10,0)</f>
        <v>70</v>
      </c>
      <c r="E373" s="4">
        <f>VLOOKUP($A373,[1]中未分析60315!$A:$M,11,0)</f>
        <v>67</v>
      </c>
      <c r="F373" s="4">
        <f>VLOOKUP($A373,[1]中未分析60315!$A:$M,12,0)</f>
        <v>64</v>
      </c>
      <c r="G373" s="4">
        <f>VLOOKUP($A373,[1]中未分析60315!$A:$M,13,0)</f>
        <v>61</v>
      </c>
      <c r="H373" s="3" t="s">
        <v>10</v>
      </c>
      <c r="I373" s="3" t="s">
        <v>740</v>
      </c>
    </row>
    <row r="374" customHeight="1" spans="1:9">
      <c r="A374" s="4" t="s">
        <v>741</v>
      </c>
      <c r="B374" s="4">
        <f>VLOOKUP($A374,[1]中未分析60315!$A:$M,8,0)</f>
        <v>37</v>
      </c>
      <c r="C374" s="4">
        <f>VLOOKUP($A374,[1]中未分析60315!$A:$M,9,0)</f>
        <v>36</v>
      </c>
      <c r="D374" s="4">
        <f>VLOOKUP($A374,[1]中未分析60315!$A:$M,10,0)</f>
        <v>34</v>
      </c>
      <c r="E374" s="4">
        <f>VLOOKUP($A374,[1]中未分析60315!$A:$M,11,0)</f>
        <v>33</v>
      </c>
      <c r="F374" s="4">
        <f>VLOOKUP($A374,[1]中未分析60315!$A:$M,12,0)</f>
        <v>32</v>
      </c>
      <c r="G374" s="4">
        <f>VLOOKUP($A374,[1]中未分析60315!$A:$M,13,0)</f>
        <v>30</v>
      </c>
      <c r="H374" s="3" t="s">
        <v>10</v>
      </c>
      <c r="I374" s="3" t="s">
        <v>742</v>
      </c>
    </row>
    <row r="375" customHeight="1" spans="1:9">
      <c r="A375" s="4" t="s">
        <v>743</v>
      </c>
      <c r="B375" s="4">
        <f>VLOOKUP($A375,[1]中未分析60315!$A:$M,8,0)</f>
        <v>69</v>
      </c>
      <c r="C375" s="4">
        <f>VLOOKUP($A375,[1]中未分析60315!$A:$M,9,0)</f>
        <v>68</v>
      </c>
      <c r="D375" s="4">
        <f>VLOOKUP($A375,[1]中未分析60315!$A:$M,10,0)</f>
        <v>67</v>
      </c>
      <c r="E375" s="4">
        <f>VLOOKUP($A375,[1]中未分析60315!$A:$M,11,0)</f>
        <v>66</v>
      </c>
      <c r="F375" s="4">
        <f>VLOOKUP($A375,[1]中未分析60315!$A:$M,12,0)</f>
        <v>65</v>
      </c>
      <c r="G375" s="4">
        <f>VLOOKUP($A375,[1]中未分析60315!$A:$M,13,0)</f>
        <v>64</v>
      </c>
      <c r="H375" s="3" t="s">
        <v>39</v>
      </c>
      <c r="I375" s="3" t="s">
        <v>744</v>
      </c>
    </row>
    <row r="376" customHeight="1" spans="1:9">
      <c r="A376" s="4" t="s">
        <v>745</v>
      </c>
      <c r="B376" s="4">
        <f>VLOOKUP($A376,[1]中未分析60315!$A:$M,8,0)</f>
        <v>68</v>
      </c>
      <c r="C376" s="4">
        <f>VLOOKUP($A376,[1]中未分析60315!$A:$M,9,0)</f>
        <v>67</v>
      </c>
      <c r="D376" s="4">
        <f>VLOOKUP($A376,[1]中未分析60315!$A:$M,10,0)</f>
        <v>66</v>
      </c>
      <c r="E376" s="4">
        <f>VLOOKUP($A376,[1]中未分析60315!$A:$M,11,0)</f>
        <v>64</v>
      </c>
      <c r="F376" s="4">
        <f>VLOOKUP($A376,[1]中未分析60315!$A:$M,12,0)</f>
        <v>64</v>
      </c>
      <c r="G376" s="4">
        <f>VLOOKUP($A376,[1]中未分析60315!$A:$M,13,0)</f>
        <v>63</v>
      </c>
      <c r="H376" s="3" t="s">
        <v>39</v>
      </c>
      <c r="I376" s="3" t="s">
        <v>746</v>
      </c>
    </row>
    <row r="377" customHeight="1" spans="1:9">
      <c r="A377" s="4" t="s">
        <v>747</v>
      </c>
      <c r="B377" s="4">
        <f>VLOOKUP($A377,[1]中未分析60315!$A:$M,8,0)</f>
        <v>44</v>
      </c>
      <c r="C377" s="4">
        <f>VLOOKUP($A377,[1]中未分析60315!$A:$M,9,0)</f>
        <v>42</v>
      </c>
      <c r="D377" s="4">
        <f>VLOOKUP($A377,[1]中未分析60315!$A:$M,10,0)</f>
        <v>41</v>
      </c>
      <c r="E377" s="4">
        <f>VLOOKUP($A377,[1]中未分析60315!$A:$M,11,0)</f>
        <v>39</v>
      </c>
      <c r="F377" s="4">
        <f>VLOOKUP($A377,[1]中未分析60315!$A:$M,12,0)</f>
        <v>37</v>
      </c>
      <c r="G377" s="4">
        <f>VLOOKUP($A377,[1]中未分析60315!$A:$M,13,0)</f>
        <v>36</v>
      </c>
      <c r="H377" s="3" t="s">
        <v>10</v>
      </c>
      <c r="I377" s="3" t="s">
        <v>748</v>
      </c>
    </row>
    <row r="378" customHeight="1" spans="1:9">
      <c r="A378" s="4" t="s">
        <v>749</v>
      </c>
      <c r="B378" s="4">
        <f>VLOOKUP($A378,[1]中未分析60315!$A:$M,8,0)</f>
        <v>44</v>
      </c>
      <c r="C378" s="4">
        <f>VLOOKUP($A378,[1]中未分析60315!$A:$M,9,0)</f>
        <v>43</v>
      </c>
      <c r="D378" s="4">
        <f>VLOOKUP($A378,[1]中未分析60315!$A:$M,10,0)</f>
        <v>43</v>
      </c>
      <c r="E378" s="4">
        <f>VLOOKUP($A378,[1]中未分析60315!$A:$M,11,0)</f>
        <v>42</v>
      </c>
      <c r="F378" s="4">
        <f>VLOOKUP($A378,[1]中未分析60315!$A:$M,12,0)</f>
        <v>42</v>
      </c>
      <c r="G378" s="4">
        <f>VLOOKUP($A378,[1]中未分析60315!$A:$M,13,0)</f>
        <v>41</v>
      </c>
      <c r="H378" s="3" t="s">
        <v>39</v>
      </c>
      <c r="I378" s="3" t="s">
        <v>750</v>
      </c>
    </row>
    <row r="379" customHeight="1" spans="1:9">
      <c r="A379" s="4" t="s">
        <v>751</v>
      </c>
      <c r="B379" s="4">
        <f>VLOOKUP($A379,[1]中未分析60315!$A:$M,8,0)</f>
        <v>42</v>
      </c>
      <c r="C379" s="4">
        <f>VLOOKUP($A379,[1]中未分析60315!$A:$M,9,0)</f>
        <v>41</v>
      </c>
      <c r="D379" s="4">
        <f>VLOOKUP($A379,[1]中未分析60315!$A:$M,10,0)</f>
        <v>39</v>
      </c>
      <c r="E379" s="4">
        <f>VLOOKUP($A379,[1]中未分析60315!$A:$M,11,0)</f>
        <v>38</v>
      </c>
      <c r="F379" s="4">
        <f>VLOOKUP($A379,[1]中未分析60315!$A:$M,12,0)</f>
        <v>36</v>
      </c>
      <c r="G379" s="4">
        <f>VLOOKUP($A379,[1]中未分析60315!$A:$M,13,0)</f>
        <v>35</v>
      </c>
      <c r="H379" s="3" t="s">
        <v>10</v>
      </c>
      <c r="I379" s="3" t="s">
        <v>752</v>
      </c>
    </row>
    <row r="380" customHeight="1" spans="1:9">
      <c r="A380" s="4" t="s">
        <v>753</v>
      </c>
      <c r="B380" s="4">
        <f>VLOOKUP($A380,[1]中未分析60315!$A:$M,8,0)</f>
        <v>63</v>
      </c>
      <c r="C380" s="4">
        <f>VLOOKUP($A380,[1]中未分析60315!$A:$M,9,0)</f>
        <v>62</v>
      </c>
      <c r="D380" s="4">
        <f>VLOOKUP($A380,[1]中未分析60315!$A:$M,10,0)</f>
        <v>61</v>
      </c>
      <c r="E380" s="4">
        <f>VLOOKUP($A380,[1]中未分析60315!$A:$M,11,0)</f>
        <v>59</v>
      </c>
      <c r="F380" s="4">
        <f>VLOOKUP($A380,[1]中未分析60315!$A:$M,12,0)</f>
        <v>59</v>
      </c>
      <c r="G380" s="4">
        <f>VLOOKUP($A380,[1]中未分析60315!$A:$M,13,0)</f>
        <v>58</v>
      </c>
      <c r="H380" s="3" t="s">
        <v>39</v>
      </c>
      <c r="I380" s="3" t="s">
        <v>754</v>
      </c>
    </row>
    <row r="381" customHeight="1" spans="1:9">
      <c r="A381" s="4" t="s">
        <v>755</v>
      </c>
      <c r="B381" s="4">
        <f>VLOOKUP($A381,[1]中未分析60315!$A:$M,8,0)</f>
        <v>22</v>
      </c>
      <c r="C381" s="4">
        <f>VLOOKUP($A381,[1]中未分析60315!$A:$M,9,0)</f>
        <v>21</v>
      </c>
      <c r="D381" s="4">
        <f>VLOOKUP($A381,[1]中未分析60315!$A:$M,10,0)</f>
        <v>20</v>
      </c>
      <c r="E381" s="4">
        <f>VLOOKUP($A381,[1]中未分析60315!$A:$M,11,0)</f>
        <v>20</v>
      </c>
      <c r="F381" s="4">
        <f>VLOOKUP($A381,[1]中未分析60315!$A:$M,12,0)</f>
        <v>19</v>
      </c>
      <c r="G381" s="4">
        <f>VLOOKUP($A381,[1]中未分析60315!$A:$M,13,0)</f>
        <v>18</v>
      </c>
      <c r="H381" s="3" t="s">
        <v>10</v>
      </c>
      <c r="I381" s="3" t="s">
        <v>756</v>
      </c>
    </row>
    <row r="382" customHeight="1" spans="1:9">
      <c r="A382" s="4" t="s">
        <v>757</v>
      </c>
      <c r="B382" s="4">
        <f>VLOOKUP($A382,[1]中未分析60315!$A:$M,8,0)</f>
        <v>44</v>
      </c>
      <c r="C382" s="4">
        <f>VLOOKUP($A382,[1]中未分析60315!$A:$M,9,0)</f>
        <v>43</v>
      </c>
      <c r="D382" s="4">
        <f>VLOOKUP($A382,[1]中未分析60315!$A:$M,10,0)</f>
        <v>43</v>
      </c>
      <c r="E382" s="4">
        <f>VLOOKUP($A382,[1]中未分析60315!$A:$M,11,0)</f>
        <v>42</v>
      </c>
      <c r="F382" s="4">
        <f>VLOOKUP($A382,[1]中未分析60315!$A:$M,12,0)</f>
        <v>42</v>
      </c>
      <c r="G382" s="4">
        <f>VLOOKUP($A382,[1]中未分析60315!$A:$M,13,0)</f>
        <v>41</v>
      </c>
      <c r="H382" s="3" t="s">
        <v>39</v>
      </c>
      <c r="I382" s="3" t="s">
        <v>758</v>
      </c>
    </row>
    <row r="383" customHeight="1" spans="1:9">
      <c r="A383" s="4" t="s">
        <v>759</v>
      </c>
      <c r="B383" s="4">
        <f>VLOOKUP($A383,[1]中未分析60315!$A:$M,8,0)</f>
        <v>30</v>
      </c>
      <c r="C383" s="4">
        <f>VLOOKUP($A383,[1]中未分析60315!$A:$M,9,0)</f>
        <v>29</v>
      </c>
      <c r="D383" s="4">
        <f>VLOOKUP($A383,[1]中未分析60315!$A:$M,10,0)</f>
        <v>28</v>
      </c>
      <c r="E383" s="4">
        <f>VLOOKUP($A383,[1]中未分析60315!$A:$M,11,0)</f>
        <v>27</v>
      </c>
      <c r="F383" s="4">
        <f>VLOOKUP($A383,[1]中未分析60315!$A:$M,12,0)</f>
        <v>26</v>
      </c>
      <c r="G383" s="4">
        <f>VLOOKUP($A383,[1]中未分析60315!$A:$M,13,0)</f>
        <v>25</v>
      </c>
      <c r="H383" s="3" t="s">
        <v>10</v>
      </c>
      <c r="I383" s="3" t="s">
        <v>760</v>
      </c>
    </row>
    <row r="384" customHeight="1" spans="1:9">
      <c r="A384" s="4" t="s">
        <v>761</v>
      </c>
      <c r="B384" s="4">
        <f>VLOOKUP($A384,[1]中未分析60315!$A:$M,8,0)</f>
        <v>38</v>
      </c>
      <c r="C384" s="4">
        <f>VLOOKUP($A384,[1]中未分析60315!$A:$M,9,0)</f>
        <v>37</v>
      </c>
      <c r="D384" s="4">
        <f>VLOOKUP($A384,[1]中未分析60315!$A:$M,10,0)</f>
        <v>36</v>
      </c>
      <c r="E384" s="4">
        <f>VLOOKUP($A384,[1]中未分析60315!$A:$M,11,0)</f>
        <v>34</v>
      </c>
      <c r="F384" s="4">
        <f>VLOOKUP($A384,[1]中未分析60315!$A:$M,12,0)</f>
        <v>33</v>
      </c>
      <c r="G384" s="4">
        <f>VLOOKUP($A384,[1]中未分析60315!$A:$M,13,0)</f>
        <v>31</v>
      </c>
      <c r="H384" s="3" t="s">
        <v>10</v>
      </c>
      <c r="I384" s="3" t="s">
        <v>762</v>
      </c>
    </row>
    <row r="385" customHeight="1" spans="1:9">
      <c r="A385" s="4" t="s">
        <v>763</v>
      </c>
      <c r="B385" s="4">
        <f>VLOOKUP($A385,[1]中未分析60315!$A:$M,8,0)</f>
        <v>61</v>
      </c>
      <c r="C385" s="4">
        <f>VLOOKUP($A385,[1]中未分析60315!$A:$M,9,0)</f>
        <v>59</v>
      </c>
      <c r="D385" s="4">
        <f>VLOOKUP($A385,[1]中未分析60315!$A:$M,10,0)</f>
        <v>57</v>
      </c>
      <c r="E385" s="4">
        <f>VLOOKUP($A385,[1]中未分析60315!$A:$M,11,0)</f>
        <v>54</v>
      </c>
      <c r="F385" s="4">
        <f>VLOOKUP($A385,[1]中未分析60315!$A:$M,12,0)</f>
        <v>52</v>
      </c>
      <c r="G385" s="4">
        <f>VLOOKUP($A385,[1]中未分析60315!$A:$M,13,0)</f>
        <v>50</v>
      </c>
      <c r="H385" s="3" t="s">
        <v>10</v>
      </c>
      <c r="I385" s="3" t="s">
        <v>764</v>
      </c>
    </row>
    <row r="386" customHeight="1" spans="1:9">
      <c r="A386" s="4" t="s">
        <v>765</v>
      </c>
      <c r="B386" s="4">
        <f>VLOOKUP($A386,[1]中未分析60315!$A:$M,8,0)</f>
        <v>127</v>
      </c>
      <c r="C386" s="4">
        <f>VLOOKUP($A386,[1]中未分析60315!$A:$M,9,0)</f>
        <v>125</v>
      </c>
      <c r="D386" s="4">
        <f>VLOOKUP($A386,[1]中未分析60315!$A:$M,10,0)</f>
        <v>123</v>
      </c>
      <c r="E386" s="4">
        <f>VLOOKUP($A386,[1]中未分析60315!$A:$M,11,0)</f>
        <v>121</v>
      </c>
      <c r="F386" s="4">
        <f>VLOOKUP($A386,[1]中未分析60315!$A:$M,12,0)</f>
        <v>120</v>
      </c>
      <c r="G386" s="4">
        <f>VLOOKUP($A386,[1]中未分析60315!$A:$M,13,0)</f>
        <v>118</v>
      </c>
      <c r="H386" s="3" t="s">
        <v>39</v>
      </c>
      <c r="I386" s="3" t="s">
        <v>113</v>
      </c>
    </row>
    <row r="387" customHeight="1" spans="1:9">
      <c r="A387" s="4" t="s">
        <v>766</v>
      </c>
      <c r="B387" s="4">
        <f>VLOOKUP($A387,[1]中未分析60315!$A:$M,8,0)</f>
        <v>40</v>
      </c>
      <c r="C387" s="4">
        <f>VLOOKUP($A387,[1]中未分析60315!$A:$M,9,0)</f>
        <v>39</v>
      </c>
      <c r="D387" s="4">
        <f>VLOOKUP($A387,[1]中未分析60315!$A:$M,10,0)</f>
        <v>37</v>
      </c>
      <c r="E387" s="4">
        <f>VLOOKUP($A387,[1]中未分析60315!$A:$M,11,0)</f>
        <v>36</v>
      </c>
      <c r="F387" s="4">
        <f>VLOOKUP($A387,[1]中未分析60315!$A:$M,12,0)</f>
        <v>34</v>
      </c>
      <c r="G387" s="4">
        <f>VLOOKUP($A387,[1]中未分析60315!$A:$M,13,0)</f>
        <v>33</v>
      </c>
      <c r="H387" s="3" t="s">
        <v>10</v>
      </c>
      <c r="I387" s="3" t="s">
        <v>767</v>
      </c>
    </row>
    <row r="388" customHeight="1" spans="1:9">
      <c r="A388" s="4" t="s">
        <v>768</v>
      </c>
      <c r="B388" s="4">
        <f>VLOOKUP($A388,[1]中未分析60315!$A:$M,8,0)</f>
        <v>43</v>
      </c>
      <c r="C388" s="4">
        <f>VLOOKUP($A388,[1]中未分析60315!$A:$M,9,0)</f>
        <v>42</v>
      </c>
      <c r="D388" s="4">
        <f>VLOOKUP($A388,[1]中未分析60315!$A:$M,10,0)</f>
        <v>40</v>
      </c>
      <c r="E388" s="4">
        <f>VLOOKUP($A388,[1]中未分析60315!$A:$M,11,0)</f>
        <v>38</v>
      </c>
      <c r="F388" s="4">
        <f>VLOOKUP($A388,[1]中未分析60315!$A:$M,12,0)</f>
        <v>37</v>
      </c>
      <c r="G388" s="4">
        <f>VLOOKUP($A388,[1]中未分析60315!$A:$M,13,0)</f>
        <v>35</v>
      </c>
      <c r="H388" s="3" t="s">
        <v>10</v>
      </c>
      <c r="I388" s="3" t="s">
        <v>769</v>
      </c>
    </row>
    <row r="389" customHeight="1" spans="1:9">
      <c r="A389" s="4" t="s">
        <v>770</v>
      </c>
      <c r="B389" s="4">
        <f>VLOOKUP($A389,[1]中未分析60315!$A:$M,8,0)</f>
        <v>42</v>
      </c>
      <c r="C389" s="4">
        <f>VLOOKUP($A389,[1]中未分析60315!$A:$M,9,0)</f>
        <v>40</v>
      </c>
      <c r="D389" s="4">
        <f>VLOOKUP($A389,[1]中未分析60315!$A:$M,10,0)</f>
        <v>39</v>
      </c>
      <c r="E389" s="4">
        <f>VLOOKUP($A389,[1]中未分析60315!$A:$M,11,0)</f>
        <v>37</v>
      </c>
      <c r="F389" s="4">
        <f>VLOOKUP($A389,[1]中未分析60315!$A:$M,12,0)</f>
        <v>36</v>
      </c>
      <c r="G389" s="4">
        <f>VLOOKUP($A389,[1]中未分析60315!$A:$M,13,0)</f>
        <v>34</v>
      </c>
      <c r="H389" s="3" t="s">
        <v>10</v>
      </c>
      <c r="I389" s="3" t="s">
        <v>771</v>
      </c>
    </row>
    <row r="390" customHeight="1" spans="1:9">
      <c r="A390" s="4" t="s">
        <v>772</v>
      </c>
      <c r="B390" s="4">
        <f>VLOOKUP($A390,[1]中未分析60315!$A:$M,8,0)</f>
        <v>41</v>
      </c>
      <c r="C390" s="4">
        <f>VLOOKUP($A390,[1]中未分析60315!$A:$M,9,0)</f>
        <v>39</v>
      </c>
      <c r="D390" s="4">
        <f>VLOOKUP($A390,[1]中未分析60315!$A:$M,10,0)</f>
        <v>38</v>
      </c>
      <c r="E390" s="4">
        <f>VLOOKUP($A390,[1]中未分析60315!$A:$M,11,0)</f>
        <v>36</v>
      </c>
      <c r="F390" s="4">
        <f>VLOOKUP($A390,[1]中未分析60315!$A:$M,12,0)</f>
        <v>35</v>
      </c>
      <c r="G390" s="4">
        <f>VLOOKUP($A390,[1]中未分析60315!$A:$M,13,0)</f>
        <v>33</v>
      </c>
      <c r="H390" s="3" t="s">
        <v>10</v>
      </c>
      <c r="I390" s="3" t="s">
        <v>773</v>
      </c>
    </row>
    <row r="391" customHeight="1" spans="1:9">
      <c r="A391" s="4" t="s">
        <v>774</v>
      </c>
      <c r="B391" s="4">
        <f>VLOOKUP($A391,[1]中未分析60315!$A:$M,8,0)</f>
        <v>40</v>
      </c>
      <c r="C391" s="4">
        <f>VLOOKUP($A391,[1]中未分析60315!$A:$M,9,0)</f>
        <v>39</v>
      </c>
      <c r="D391" s="4">
        <f>VLOOKUP($A391,[1]中未分析60315!$A:$M,10,0)</f>
        <v>37</v>
      </c>
      <c r="E391" s="4">
        <f>VLOOKUP($A391,[1]中未分析60315!$A:$M,11,0)</f>
        <v>36</v>
      </c>
      <c r="F391" s="4">
        <f>VLOOKUP($A391,[1]中未分析60315!$A:$M,12,0)</f>
        <v>34</v>
      </c>
      <c r="G391" s="4">
        <f>VLOOKUP($A391,[1]中未分析60315!$A:$M,13,0)</f>
        <v>33</v>
      </c>
      <c r="H391" s="3" t="s">
        <v>10</v>
      </c>
      <c r="I391" s="3" t="s">
        <v>775</v>
      </c>
    </row>
    <row r="392" customHeight="1" spans="1:9">
      <c r="A392" s="4" t="s">
        <v>776</v>
      </c>
      <c r="B392" s="4">
        <f>VLOOKUP($A392,[1]中未分析60315!$A:$M,8,0)</f>
        <v>129</v>
      </c>
      <c r="C392" s="4">
        <f>VLOOKUP($A392,[1]中未分析60315!$A:$M,9,0)</f>
        <v>127</v>
      </c>
      <c r="D392" s="4">
        <f>VLOOKUP($A392,[1]中未分析60315!$A:$M,10,0)</f>
        <v>124</v>
      </c>
      <c r="E392" s="4">
        <f>VLOOKUP($A392,[1]中未分析60315!$A:$M,11,0)</f>
        <v>122</v>
      </c>
      <c r="F392" s="4">
        <f>VLOOKUP($A392,[1]中未分析60315!$A:$M,12,0)</f>
        <v>121</v>
      </c>
      <c r="G392" s="4">
        <f>VLOOKUP($A392,[1]中未分析60315!$A:$M,13,0)</f>
        <v>119</v>
      </c>
      <c r="H392" s="3" t="s">
        <v>39</v>
      </c>
      <c r="I392" s="3" t="s">
        <v>616</v>
      </c>
    </row>
    <row r="393" customHeight="1" spans="1:9">
      <c r="A393" s="4" t="s">
        <v>777</v>
      </c>
      <c r="B393" s="4">
        <f>VLOOKUP($A393,[1]中未分析60315!$A:$M,8,0)</f>
        <v>149</v>
      </c>
      <c r="C393" s="4">
        <f>VLOOKUP($A393,[1]中未分析60315!$A:$M,9,0)</f>
        <v>147</v>
      </c>
      <c r="D393" s="4">
        <f>VLOOKUP($A393,[1]中未分析60315!$A:$M,10,0)</f>
        <v>144</v>
      </c>
      <c r="E393" s="4">
        <f>VLOOKUP($A393,[1]中未分析60315!$A:$M,11,0)</f>
        <v>142</v>
      </c>
      <c r="F393" s="4">
        <f>VLOOKUP($A393,[1]中未分析60315!$A:$M,12,0)</f>
        <v>141</v>
      </c>
      <c r="G393" s="4">
        <f>VLOOKUP($A393,[1]中未分析60315!$A:$M,13,0)</f>
        <v>138</v>
      </c>
      <c r="H393" s="3" t="s">
        <v>39</v>
      </c>
      <c r="I393" s="3" t="s">
        <v>778</v>
      </c>
    </row>
    <row r="394" customHeight="1" spans="1:9">
      <c r="A394" s="4" t="s">
        <v>779</v>
      </c>
      <c r="B394" s="4">
        <f>VLOOKUP($A394,[1]中未分析60315!$A:$M,8,0)</f>
        <v>39</v>
      </c>
      <c r="C394" s="4">
        <f>VLOOKUP($A394,[1]中未分析60315!$A:$M,9,0)</f>
        <v>38</v>
      </c>
      <c r="D394" s="4">
        <f>VLOOKUP($A394,[1]中未分析60315!$A:$M,10,0)</f>
        <v>36</v>
      </c>
      <c r="E394" s="4">
        <f>VLOOKUP($A394,[1]中未分析60315!$A:$M,11,0)</f>
        <v>35</v>
      </c>
      <c r="F394" s="4">
        <f>VLOOKUP($A394,[1]中未分析60315!$A:$M,12,0)</f>
        <v>33</v>
      </c>
      <c r="G394" s="4">
        <f>VLOOKUP($A394,[1]中未分析60315!$A:$M,13,0)</f>
        <v>32</v>
      </c>
      <c r="H394" s="3" t="s">
        <v>10</v>
      </c>
      <c r="I394" s="3" t="s">
        <v>780</v>
      </c>
    </row>
    <row r="395" customHeight="1" spans="1:9">
      <c r="A395" s="4" t="s">
        <v>781</v>
      </c>
      <c r="B395" s="4">
        <f>VLOOKUP($A395,[1]中未分析60315!$A:$M,8,0)</f>
        <v>46</v>
      </c>
      <c r="C395" s="4">
        <f>VLOOKUP($A395,[1]中未分析60315!$A:$M,9,0)</f>
        <v>45</v>
      </c>
      <c r="D395" s="4">
        <f>VLOOKUP($A395,[1]中未分析60315!$A:$M,10,0)</f>
        <v>45</v>
      </c>
      <c r="E395" s="4">
        <f>VLOOKUP($A395,[1]中未分析60315!$A:$M,11,0)</f>
        <v>44</v>
      </c>
      <c r="F395" s="4">
        <f>VLOOKUP($A395,[1]中未分析60315!$A:$M,12,0)</f>
        <v>44</v>
      </c>
      <c r="G395" s="4">
        <f>VLOOKUP($A395,[1]中未分析60315!$A:$M,13,0)</f>
        <v>43</v>
      </c>
      <c r="H395" s="3" t="s">
        <v>39</v>
      </c>
      <c r="I395" s="3" t="s">
        <v>782</v>
      </c>
    </row>
    <row r="396" customHeight="1" spans="1:9">
      <c r="A396" s="4" t="s">
        <v>783</v>
      </c>
      <c r="B396" s="4">
        <f>VLOOKUP($A396,[1]中未分析60315!$A:$M,8,0)</f>
        <v>51</v>
      </c>
      <c r="C396" s="4">
        <f>VLOOKUP($A396,[1]中未分析60315!$A:$M,9,0)</f>
        <v>50</v>
      </c>
      <c r="D396" s="4">
        <f>VLOOKUP($A396,[1]中未分析60315!$A:$M,10,0)</f>
        <v>49</v>
      </c>
      <c r="E396" s="4">
        <f>VLOOKUP($A396,[1]中未分析60315!$A:$M,11,0)</f>
        <v>48</v>
      </c>
      <c r="F396" s="4">
        <f>VLOOKUP($A396,[1]中未分析60315!$A:$M,12,0)</f>
        <v>48</v>
      </c>
      <c r="G396" s="4">
        <f>VLOOKUP($A396,[1]中未分析60315!$A:$M,13,0)</f>
        <v>47</v>
      </c>
      <c r="H396" s="3" t="s">
        <v>39</v>
      </c>
      <c r="I396" s="3" t="s">
        <v>784</v>
      </c>
    </row>
    <row r="397" customHeight="1" spans="1:9">
      <c r="A397" s="4" t="s">
        <v>785</v>
      </c>
      <c r="B397" s="4">
        <f>VLOOKUP($A397,[1]中未分析60315!$A:$M,8,0)</f>
        <v>44</v>
      </c>
      <c r="C397" s="4">
        <f>VLOOKUP($A397,[1]中未分析60315!$A:$M,9,0)</f>
        <v>43</v>
      </c>
      <c r="D397" s="4">
        <f>VLOOKUP($A397,[1]中未分析60315!$A:$M,10,0)</f>
        <v>41</v>
      </c>
      <c r="E397" s="4">
        <f>VLOOKUP($A397,[1]中未分析60315!$A:$M,11,0)</f>
        <v>40</v>
      </c>
      <c r="F397" s="4">
        <f>VLOOKUP($A397,[1]中未分析60315!$A:$M,12,0)</f>
        <v>38</v>
      </c>
      <c r="G397" s="4">
        <f>VLOOKUP($A397,[1]中未分析60315!$A:$M,13,0)</f>
        <v>36</v>
      </c>
      <c r="H397" s="3" t="s">
        <v>10</v>
      </c>
      <c r="I397" s="3" t="s">
        <v>786</v>
      </c>
    </row>
    <row r="398" customHeight="1" spans="1:9">
      <c r="A398" s="4" t="s">
        <v>787</v>
      </c>
      <c r="B398" s="4">
        <f>VLOOKUP($A398,[1]中未分析60315!$A:$M,8,0)</f>
        <v>38</v>
      </c>
      <c r="C398" s="4">
        <f>VLOOKUP($A398,[1]中未分析60315!$A:$M,9,0)</f>
        <v>37</v>
      </c>
      <c r="D398" s="4">
        <f>VLOOKUP($A398,[1]中未分析60315!$A:$M,10,0)</f>
        <v>35</v>
      </c>
      <c r="E398" s="4">
        <f>VLOOKUP($A398,[1]中未分析60315!$A:$M,11,0)</f>
        <v>34</v>
      </c>
      <c r="F398" s="4">
        <f>VLOOKUP($A398,[1]中未分析60315!$A:$M,12,0)</f>
        <v>32</v>
      </c>
      <c r="G398" s="4">
        <f>VLOOKUP($A398,[1]中未分析60315!$A:$M,13,0)</f>
        <v>31</v>
      </c>
      <c r="H398" s="3" t="s">
        <v>10</v>
      </c>
      <c r="I398" s="3" t="s">
        <v>788</v>
      </c>
    </row>
    <row r="399" customHeight="1" spans="1:9">
      <c r="A399" s="4" t="s">
        <v>789</v>
      </c>
      <c r="B399" s="4">
        <f>VLOOKUP($A399,[1]中未分析60315!$A:$M,8,0)</f>
        <v>70</v>
      </c>
      <c r="C399" s="4">
        <f>VLOOKUP($A399,[1]中未分析60315!$A:$M,9,0)</f>
        <v>69</v>
      </c>
      <c r="D399" s="4">
        <f>VLOOKUP($A399,[1]中未分析60315!$A:$M,10,0)</f>
        <v>68</v>
      </c>
      <c r="E399" s="4">
        <f>VLOOKUP($A399,[1]中未分析60315!$A:$M,11,0)</f>
        <v>66</v>
      </c>
      <c r="F399" s="4">
        <f>VLOOKUP($A399,[1]中未分析60315!$A:$M,12,0)</f>
        <v>66</v>
      </c>
      <c r="G399" s="4">
        <f>VLOOKUP($A399,[1]中未分析60315!$A:$M,13,0)</f>
        <v>65</v>
      </c>
      <c r="H399" s="3" t="s">
        <v>39</v>
      </c>
      <c r="I399" s="3" t="s">
        <v>750</v>
      </c>
    </row>
    <row r="400" customHeight="1" spans="1:9">
      <c r="A400" s="4" t="s">
        <v>790</v>
      </c>
      <c r="B400" s="4">
        <f>VLOOKUP($A400,[1]中未分析60315!$A:$M,8,0)</f>
        <v>34</v>
      </c>
      <c r="C400" s="4">
        <f>VLOOKUP($A400,[1]中未分析60315!$A:$M,9,0)</f>
        <v>33</v>
      </c>
      <c r="D400" s="4">
        <f>VLOOKUP($A400,[1]中未分析60315!$A:$M,10,0)</f>
        <v>33</v>
      </c>
      <c r="E400" s="4">
        <f>VLOOKUP($A400,[1]中未分析60315!$A:$M,11,0)</f>
        <v>32</v>
      </c>
      <c r="F400" s="4">
        <f>VLOOKUP($A400,[1]中未分析60315!$A:$M,12,0)</f>
        <v>32</v>
      </c>
      <c r="G400" s="4">
        <f>VLOOKUP($A400,[1]中未分析60315!$A:$M,13,0)</f>
        <v>31</v>
      </c>
      <c r="H400" s="3" t="s">
        <v>39</v>
      </c>
      <c r="I400" s="3" t="s">
        <v>791</v>
      </c>
    </row>
    <row r="401" customHeight="1" spans="1:9">
      <c r="A401" s="4" t="s">
        <v>792</v>
      </c>
      <c r="B401" s="4">
        <f>VLOOKUP($A401,[1]中未分析60315!$A:$M,8,0)</f>
        <v>31</v>
      </c>
      <c r="C401" s="4">
        <f>VLOOKUP($A401,[1]中未分析60315!$A:$M,9,0)</f>
        <v>30</v>
      </c>
      <c r="D401" s="4">
        <f>VLOOKUP($A401,[1]中未分析60315!$A:$M,10,0)</f>
        <v>30</v>
      </c>
      <c r="E401" s="4">
        <f>VLOOKUP($A401,[1]中未分析60315!$A:$M,11,0)</f>
        <v>29</v>
      </c>
      <c r="F401" s="4">
        <f>VLOOKUP($A401,[1]中未分析60315!$A:$M,12,0)</f>
        <v>29</v>
      </c>
      <c r="G401" s="4">
        <f>VLOOKUP($A401,[1]中未分析60315!$A:$M,13,0)</f>
        <v>29</v>
      </c>
      <c r="H401" s="3" t="s">
        <v>39</v>
      </c>
      <c r="I401" s="3" t="s">
        <v>793</v>
      </c>
    </row>
    <row r="402" customHeight="1" spans="1:9">
      <c r="A402" s="4" t="s">
        <v>794</v>
      </c>
      <c r="B402" s="4">
        <f>VLOOKUP($A402,[1]中未分析60315!$A:$M,8,0)</f>
        <v>38</v>
      </c>
      <c r="C402" s="4">
        <f>VLOOKUP($A402,[1]中未分析60315!$A:$M,9,0)</f>
        <v>38</v>
      </c>
      <c r="D402" s="4">
        <f>VLOOKUP($A402,[1]中未分析60315!$A:$M,10,0)</f>
        <v>37</v>
      </c>
      <c r="E402" s="4">
        <f>VLOOKUP($A402,[1]中未分析60315!$A:$M,11,0)</f>
        <v>37</v>
      </c>
      <c r="F402" s="4">
        <f>VLOOKUP($A402,[1]中未分析60315!$A:$M,12,0)</f>
        <v>36</v>
      </c>
      <c r="G402" s="4">
        <f>VLOOKUP($A402,[1]中未分析60315!$A:$M,13,0)</f>
        <v>36</v>
      </c>
      <c r="H402" s="3" t="s">
        <v>39</v>
      </c>
      <c r="I402" s="3" t="s">
        <v>791</v>
      </c>
    </row>
    <row r="403" customHeight="1" spans="1:9">
      <c r="A403" s="4" t="s">
        <v>795</v>
      </c>
      <c r="B403" s="4">
        <f>VLOOKUP($A403,[1]中未分析60315!$A:$M,8,0)</f>
        <v>59</v>
      </c>
      <c r="C403" s="4">
        <f>VLOOKUP($A403,[1]中未分析60315!$A:$M,9,0)</f>
        <v>56</v>
      </c>
      <c r="D403" s="4">
        <f>VLOOKUP($A403,[1]中未分析60315!$A:$M,10,0)</f>
        <v>54</v>
      </c>
      <c r="E403" s="4">
        <f>VLOOKUP($A403,[1]中未分析60315!$A:$M,11,0)</f>
        <v>52</v>
      </c>
      <c r="F403" s="4">
        <f>VLOOKUP($A403,[1]中未分析60315!$A:$M,12,0)</f>
        <v>50</v>
      </c>
      <c r="G403" s="4">
        <f>VLOOKUP($A403,[1]中未分析60315!$A:$M,13,0)</f>
        <v>48</v>
      </c>
      <c r="H403" s="3" t="s">
        <v>10</v>
      </c>
      <c r="I403" s="3" t="s">
        <v>796</v>
      </c>
    </row>
    <row r="404" customHeight="1" spans="1:9">
      <c r="A404" s="4" t="s">
        <v>797</v>
      </c>
      <c r="B404" s="4">
        <f>VLOOKUP($A404,[1]中未分析60315!$A:$M,8,0)</f>
        <v>31</v>
      </c>
      <c r="C404" s="4">
        <f>VLOOKUP($A404,[1]中未分析60315!$A:$M,9,0)</f>
        <v>30</v>
      </c>
      <c r="D404" s="4">
        <f>VLOOKUP($A404,[1]中未分析60315!$A:$M,10,0)</f>
        <v>29</v>
      </c>
      <c r="E404" s="4">
        <f>VLOOKUP($A404,[1]中未分析60315!$A:$M,11,0)</f>
        <v>28</v>
      </c>
      <c r="F404" s="4">
        <f>VLOOKUP($A404,[1]中未分析60315!$A:$M,12,0)</f>
        <v>27</v>
      </c>
      <c r="G404" s="4">
        <f>VLOOKUP($A404,[1]中未分析60315!$A:$M,13,0)</f>
        <v>26</v>
      </c>
      <c r="H404" s="3" t="s">
        <v>10</v>
      </c>
      <c r="I404" s="3" t="s">
        <v>798</v>
      </c>
    </row>
    <row r="405" customHeight="1" spans="1:9">
      <c r="A405" s="4" t="s">
        <v>799</v>
      </c>
      <c r="B405" s="4">
        <f>VLOOKUP($A405,[1]中未分析60315!$A:$M,8,0)</f>
        <v>37</v>
      </c>
      <c r="C405" s="4">
        <f>VLOOKUP($A405,[1]中未分析60315!$A:$M,9,0)</f>
        <v>36</v>
      </c>
      <c r="D405" s="4">
        <f>VLOOKUP($A405,[1]中未分析60315!$A:$M,10,0)</f>
        <v>34</v>
      </c>
      <c r="E405" s="4">
        <f>VLOOKUP($A405,[1]中未分析60315!$A:$M,11,0)</f>
        <v>33</v>
      </c>
      <c r="F405" s="4">
        <f>VLOOKUP($A405,[1]中未分析60315!$A:$M,12,0)</f>
        <v>32</v>
      </c>
      <c r="G405" s="4">
        <f>VLOOKUP($A405,[1]中未分析60315!$A:$M,13,0)</f>
        <v>30</v>
      </c>
      <c r="H405" s="3" t="s">
        <v>10</v>
      </c>
      <c r="I405" s="3" t="s">
        <v>800</v>
      </c>
    </row>
    <row r="406" customHeight="1" spans="1:9">
      <c r="A406" s="4" t="s">
        <v>801</v>
      </c>
      <c r="B406" s="4">
        <f>VLOOKUP($A406,[1]中未分析60315!$A:$M,8,0)</f>
        <v>38</v>
      </c>
      <c r="C406" s="4">
        <f>VLOOKUP($A406,[1]中未分析60315!$A:$M,9,0)</f>
        <v>36</v>
      </c>
      <c r="D406" s="4">
        <f>VLOOKUP($A406,[1]中未分析60315!$A:$M,10,0)</f>
        <v>35</v>
      </c>
      <c r="E406" s="4">
        <f>VLOOKUP($A406,[1]中未分析60315!$A:$M,11,0)</f>
        <v>34</v>
      </c>
      <c r="F406" s="4">
        <f>VLOOKUP($A406,[1]中未分析60315!$A:$M,12,0)</f>
        <v>32</v>
      </c>
      <c r="G406" s="4">
        <f>VLOOKUP($A406,[1]中未分析60315!$A:$M,13,0)</f>
        <v>31</v>
      </c>
      <c r="H406" s="3" t="s">
        <v>10</v>
      </c>
      <c r="I406" s="3" t="s">
        <v>802</v>
      </c>
    </row>
    <row r="407" customHeight="1" spans="1:9">
      <c r="A407" s="4" t="s">
        <v>803</v>
      </c>
      <c r="B407" s="4">
        <f>VLOOKUP($A407,[1]中未分析60315!$A:$M,8,0)</f>
        <v>101</v>
      </c>
      <c r="C407" s="4">
        <f>VLOOKUP($A407,[1]中未分析60315!$A:$M,9,0)</f>
        <v>99</v>
      </c>
      <c r="D407" s="4">
        <f>VLOOKUP($A407,[1]中未分析60315!$A:$M,10,0)</f>
        <v>98</v>
      </c>
      <c r="E407" s="4">
        <f>VLOOKUP($A407,[1]中未分析60315!$A:$M,11,0)</f>
        <v>96</v>
      </c>
      <c r="F407" s="4">
        <f>VLOOKUP($A407,[1]中未分析60315!$A:$M,12,0)</f>
        <v>95</v>
      </c>
      <c r="G407" s="4">
        <f>VLOOKUP($A407,[1]中未分析60315!$A:$M,13,0)</f>
        <v>94</v>
      </c>
      <c r="H407" s="3" t="s">
        <v>39</v>
      </c>
      <c r="I407" s="3" t="s">
        <v>804</v>
      </c>
    </row>
    <row r="408" customHeight="1" spans="1:9">
      <c r="A408" s="4" t="s">
        <v>805</v>
      </c>
      <c r="B408" s="4">
        <f>VLOOKUP($A408,[1]中未分析60315!$A:$M,8,0)</f>
        <v>44</v>
      </c>
      <c r="C408" s="4">
        <f>VLOOKUP($A408,[1]中未分析60315!$A:$M,9,0)</f>
        <v>43</v>
      </c>
      <c r="D408" s="4">
        <f>VLOOKUP($A408,[1]中未分析60315!$A:$M,10,0)</f>
        <v>41</v>
      </c>
      <c r="E408" s="4">
        <f>VLOOKUP($A408,[1]中未分析60315!$A:$M,11,0)</f>
        <v>40</v>
      </c>
      <c r="F408" s="4">
        <f>VLOOKUP($A408,[1]中未分析60315!$A:$M,12,0)</f>
        <v>38</v>
      </c>
      <c r="G408" s="4">
        <f>VLOOKUP($A408,[1]中未分析60315!$A:$M,13,0)</f>
        <v>36</v>
      </c>
      <c r="H408" s="3" t="s">
        <v>10</v>
      </c>
      <c r="I408" s="3" t="s">
        <v>806</v>
      </c>
    </row>
    <row r="409" customHeight="1" spans="1:9">
      <c r="A409" s="4" t="s">
        <v>807</v>
      </c>
      <c r="B409" s="4">
        <f>VLOOKUP($A409,[1]中未分析60315!$A:$M,8,0)</f>
        <v>33</v>
      </c>
      <c r="C409" s="4">
        <f>VLOOKUP($A409,[1]中未分析60315!$A:$M,9,0)</f>
        <v>32</v>
      </c>
      <c r="D409" s="4">
        <f>VLOOKUP($A409,[1]中未分析60315!$A:$M,10,0)</f>
        <v>31</v>
      </c>
      <c r="E409" s="4">
        <f>VLOOKUP($A409,[1]中未分析60315!$A:$M,11,0)</f>
        <v>30</v>
      </c>
      <c r="F409" s="4">
        <f>VLOOKUP($A409,[1]中未分析60315!$A:$M,12,0)</f>
        <v>28</v>
      </c>
      <c r="G409" s="4">
        <f>VLOOKUP($A409,[1]中未分析60315!$A:$M,13,0)</f>
        <v>27</v>
      </c>
      <c r="H409" s="3" t="s">
        <v>10</v>
      </c>
      <c r="I409" s="3" t="s">
        <v>808</v>
      </c>
    </row>
    <row r="410" customHeight="1" spans="1:9">
      <c r="A410" s="4" t="s">
        <v>809</v>
      </c>
      <c r="B410" s="4">
        <f>VLOOKUP($A410,[1]中未分析60315!$A:$M,8,0)</f>
        <v>32</v>
      </c>
      <c r="C410" s="4">
        <f>VLOOKUP($A410,[1]中未分析60315!$A:$M,9,0)</f>
        <v>31</v>
      </c>
      <c r="D410" s="4">
        <f>VLOOKUP($A410,[1]中未分析60315!$A:$M,10,0)</f>
        <v>30</v>
      </c>
      <c r="E410" s="4">
        <f>VLOOKUP($A410,[1]中未分析60315!$A:$M,11,0)</f>
        <v>29</v>
      </c>
      <c r="F410" s="4">
        <f>VLOOKUP($A410,[1]中未分析60315!$A:$M,12,0)</f>
        <v>28</v>
      </c>
      <c r="G410" s="4">
        <f>VLOOKUP($A410,[1]中未分析60315!$A:$M,13,0)</f>
        <v>26</v>
      </c>
      <c r="H410" s="3" t="s">
        <v>10</v>
      </c>
      <c r="I410" s="3" t="s">
        <v>810</v>
      </c>
    </row>
    <row r="411" customHeight="1" spans="1:9">
      <c r="A411" s="4" t="s">
        <v>811</v>
      </c>
      <c r="B411" s="4">
        <f>VLOOKUP($A411,[1]中未分析60315!$A:$M,8,0)</f>
        <v>52</v>
      </c>
      <c r="C411" s="4">
        <f>VLOOKUP($A411,[1]中未分析60315!$A:$M,9,0)</f>
        <v>52</v>
      </c>
      <c r="D411" s="4">
        <f>VLOOKUP($A411,[1]中未分析60315!$A:$M,10,0)</f>
        <v>51</v>
      </c>
      <c r="E411" s="4">
        <f>VLOOKUP($A411,[1]中未分析60315!$A:$M,11,0)</f>
        <v>50</v>
      </c>
      <c r="F411" s="4">
        <f>VLOOKUP($A411,[1]中未分析60315!$A:$M,12,0)</f>
        <v>49</v>
      </c>
      <c r="G411" s="4">
        <f>VLOOKUP($A411,[1]中未分析60315!$A:$M,13,0)</f>
        <v>49</v>
      </c>
      <c r="H411" s="3" t="s">
        <v>39</v>
      </c>
      <c r="I411" s="3" t="s">
        <v>812</v>
      </c>
    </row>
    <row r="412" customHeight="1" spans="1:9">
      <c r="A412" s="4" t="s">
        <v>813</v>
      </c>
      <c r="B412" s="4">
        <f>VLOOKUP($A412,[1]中未分析60315!$A:$M,8,0)</f>
        <v>43</v>
      </c>
      <c r="C412" s="4">
        <f>VLOOKUP($A412,[1]中未分析60315!$A:$M,9,0)</f>
        <v>42</v>
      </c>
      <c r="D412" s="4">
        <f>VLOOKUP($A412,[1]中未分析60315!$A:$M,10,0)</f>
        <v>40</v>
      </c>
      <c r="E412" s="4">
        <f>VLOOKUP($A412,[1]中未分析60315!$A:$M,11,0)</f>
        <v>39</v>
      </c>
      <c r="F412" s="4">
        <f>VLOOKUP($A412,[1]中未分析60315!$A:$M,12,0)</f>
        <v>37</v>
      </c>
      <c r="G412" s="4">
        <f>VLOOKUP($A412,[1]中未分析60315!$A:$M,13,0)</f>
        <v>35</v>
      </c>
      <c r="H412" s="3" t="s">
        <v>10</v>
      </c>
      <c r="I412" s="3" t="s">
        <v>814</v>
      </c>
    </row>
    <row r="413" customHeight="1" spans="1:9">
      <c r="A413" s="4" t="s">
        <v>815</v>
      </c>
      <c r="B413" s="4">
        <f>VLOOKUP($A413,[1]中未分析60315!$A:$M,8,0)</f>
        <v>52</v>
      </c>
      <c r="C413" s="4">
        <f>VLOOKUP($A413,[1]中未分析60315!$A:$M,9,0)</f>
        <v>52</v>
      </c>
      <c r="D413" s="4">
        <f>VLOOKUP($A413,[1]中未分析60315!$A:$M,10,0)</f>
        <v>51</v>
      </c>
      <c r="E413" s="4">
        <f>VLOOKUP($A413,[1]中未分析60315!$A:$M,11,0)</f>
        <v>50</v>
      </c>
      <c r="F413" s="4">
        <f>VLOOKUP($A413,[1]中未分析60315!$A:$M,12,0)</f>
        <v>49</v>
      </c>
      <c r="G413" s="4">
        <f>VLOOKUP($A413,[1]中未分析60315!$A:$M,13,0)</f>
        <v>49</v>
      </c>
      <c r="H413" s="3" t="s">
        <v>39</v>
      </c>
      <c r="I413" s="3" t="s">
        <v>816</v>
      </c>
    </row>
    <row r="414" customHeight="1" spans="1:9">
      <c r="A414" s="4" t="s">
        <v>817</v>
      </c>
      <c r="B414" s="4">
        <f>VLOOKUP($A414,[1]中未分析60315!$A:$M,8,0)</f>
        <v>50</v>
      </c>
      <c r="C414" s="4">
        <f>VLOOKUP($A414,[1]中未分析60315!$A:$M,9,0)</f>
        <v>49</v>
      </c>
      <c r="D414" s="4">
        <f>VLOOKUP($A414,[1]中未分析60315!$A:$M,10,0)</f>
        <v>48</v>
      </c>
      <c r="E414" s="4">
        <f>VLOOKUP($A414,[1]中未分析60315!$A:$M,11,0)</f>
        <v>47</v>
      </c>
      <c r="F414" s="4">
        <f>VLOOKUP($A414,[1]中未分析60315!$A:$M,12,0)</f>
        <v>47</v>
      </c>
      <c r="G414" s="4">
        <f>VLOOKUP($A414,[1]中未分析60315!$A:$M,13,0)</f>
        <v>46</v>
      </c>
      <c r="H414" s="3" t="s">
        <v>39</v>
      </c>
      <c r="I414" s="3" t="s">
        <v>818</v>
      </c>
    </row>
    <row r="415" customHeight="1" spans="1:9">
      <c r="A415" s="4" t="s">
        <v>819</v>
      </c>
      <c r="B415" s="4">
        <f>VLOOKUP($A415,[1]中未分析60315!$A:$M,8,0)</f>
        <v>50</v>
      </c>
      <c r="C415" s="4">
        <f>VLOOKUP($A415,[1]中未分析60315!$A:$M,9,0)</f>
        <v>49</v>
      </c>
      <c r="D415" s="4">
        <f>VLOOKUP($A415,[1]中未分析60315!$A:$M,10,0)</f>
        <v>48</v>
      </c>
      <c r="E415" s="4">
        <f>VLOOKUP($A415,[1]中未分析60315!$A:$M,11,0)</f>
        <v>47</v>
      </c>
      <c r="F415" s="4">
        <f>VLOOKUP($A415,[1]中未分析60315!$A:$M,12,0)</f>
        <v>47</v>
      </c>
      <c r="G415" s="4">
        <f>VLOOKUP($A415,[1]中未分析60315!$A:$M,13,0)</f>
        <v>46</v>
      </c>
      <c r="H415" s="3" t="s">
        <v>39</v>
      </c>
      <c r="I415" s="3" t="s">
        <v>820</v>
      </c>
    </row>
    <row r="416" customHeight="1" spans="1:9">
      <c r="A416" s="4" t="s">
        <v>821</v>
      </c>
      <c r="B416" s="4">
        <f>VLOOKUP($A416,[1]中未分析60315!$A:$M,8,0)</f>
        <v>45</v>
      </c>
      <c r="C416" s="4">
        <f>VLOOKUP($A416,[1]中未分析60315!$A:$M,9,0)</f>
        <v>44</v>
      </c>
      <c r="D416" s="4">
        <f>VLOOKUP($A416,[1]中未分析60315!$A:$M,10,0)</f>
        <v>42</v>
      </c>
      <c r="E416" s="4">
        <f>VLOOKUP($A416,[1]中未分析60315!$A:$M,11,0)</f>
        <v>40</v>
      </c>
      <c r="F416" s="4">
        <f>VLOOKUP($A416,[1]中未分析60315!$A:$M,12,0)</f>
        <v>39</v>
      </c>
      <c r="G416" s="4">
        <f>VLOOKUP($A416,[1]中未分析60315!$A:$M,13,0)</f>
        <v>37</v>
      </c>
      <c r="H416" s="3" t="s">
        <v>10</v>
      </c>
      <c r="I416" s="3" t="s">
        <v>822</v>
      </c>
    </row>
    <row r="417" customHeight="1" spans="1:9">
      <c r="A417" s="4" t="s">
        <v>823</v>
      </c>
      <c r="B417" s="4">
        <f>VLOOKUP($A417,[1]中未分析60315!$A:$M,8,0)</f>
        <v>36</v>
      </c>
      <c r="C417" s="4">
        <f>VLOOKUP($A417,[1]中未分析60315!$A:$M,9,0)</f>
        <v>34</v>
      </c>
      <c r="D417" s="4">
        <f>VLOOKUP($A417,[1]中未分析60315!$A:$M,10,0)</f>
        <v>33</v>
      </c>
      <c r="E417" s="4">
        <f>VLOOKUP($A417,[1]中未分析60315!$A:$M,11,0)</f>
        <v>32</v>
      </c>
      <c r="F417" s="4">
        <f>VLOOKUP($A417,[1]中未分析60315!$A:$M,12,0)</f>
        <v>30</v>
      </c>
      <c r="G417" s="4">
        <f>VLOOKUP($A417,[1]中未分析60315!$A:$M,13,0)</f>
        <v>29</v>
      </c>
      <c r="H417" s="3" t="s">
        <v>10</v>
      </c>
      <c r="I417" s="3" t="s">
        <v>824</v>
      </c>
    </row>
    <row r="418" customHeight="1" spans="1:9">
      <c r="A418" s="4" t="s">
        <v>825</v>
      </c>
      <c r="B418" s="4">
        <f>VLOOKUP($A418,[1]中未分析60315!$A:$M,8,0)</f>
        <v>65</v>
      </c>
      <c r="C418" s="4">
        <f>VLOOKUP($A418,[1]中未分析60315!$A:$M,9,0)</f>
        <v>64</v>
      </c>
      <c r="D418" s="4">
        <f>VLOOKUP($A418,[1]中未分析60315!$A:$M,10,0)</f>
        <v>63</v>
      </c>
      <c r="E418" s="4">
        <f>VLOOKUP($A418,[1]中未分析60315!$A:$M,11,0)</f>
        <v>62</v>
      </c>
      <c r="F418" s="4">
        <f>VLOOKUP($A418,[1]中未分析60315!$A:$M,12,0)</f>
        <v>61</v>
      </c>
      <c r="G418" s="4">
        <f>VLOOKUP($A418,[1]中未分析60315!$A:$M,13,0)</f>
        <v>60</v>
      </c>
      <c r="H418" s="3" t="s">
        <v>39</v>
      </c>
      <c r="I418" s="3" t="s">
        <v>826</v>
      </c>
    </row>
    <row r="419" customHeight="1" spans="1:9">
      <c r="A419" s="4" t="s">
        <v>827</v>
      </c>
      <c r="B419" s="4">
        <f>VLOOKUP($A419,[1]中未分析60315!$A:$M,8,0)</f>
        <v>43</v>
      </c>
      <c r="C419" s="4">
        <f>VLOOKUP($A419,[1]中未分析60315!$A:$M,9,0)</f>
        <v>42</v>
      </c>
      <c r="D419" s="4">
        <f>VLOOKUP($A419,[1]中未分析60315!$A:$M,10,0)</f>
        <v>41</v>
      </c>
      <c r="E419" s="4">
        <f>VLOOKUP($A419,[1]中未分析60315!$A:$M,11,0)</f>
        <v>40</v>
      </c>
      <c r="F419" s="4">
        <f>VLOOKUP($A419,[1]中未分析60315!$A:$M,12,0)</f>
        <v>40</v>
      </c>
      <c r="G419" s="4">
        <f>VLOOKUP($A419,[1]中未分析60315!$A:$M,13,0)</f>
        <v>39</v>
      </c>
      <c r="H419" s="3" t="s">
        <v>39</v>
      </c>
      <c r="I419" s="3" t="s">
        <v>828</v>
      </c>
    </row>
    <row r="420" customHeight="1" spans="1:9">
      <c r="A420" s="4" t="s">
        <v>829</v>
      </c>
      <c r="B420" s="4">
        <f>VLOOKUP($A420,[1]中未分析60315!$A:$M,8,0)</f>
        <v>45</v>
      </c>
      <c r="C420" s="4">
        <f>VLOOKUP($A420,[1]中未分析60315!$A:$M,9,0)</f>
        <v>43</v>
      </c>
      <c r="D420" s="4">
        <f>VLOOKUP($A420,[1]中未分析60315!$A:$M,10,0)</f>
        <v>41</v>
      </c>
      <c r="E420" s="4">
        <f>VLOOKUP($A420,[1]中未分析60315!$A:$M,11,0)</f>
        <v>40</v>
      </c>
      <c r="F420" s="4">
        <f>VLOOKUP($A420,[1]中未分析60315!$A:$M,12,0)</f>
        <v>38</v>
      </c>
      <c r="G420" s="4">
        <f>VLOOKUP($A420,[1]中未分析60315!$A:$M,13,0)</f>
        <v>36</v>
      </c>
      <c r="H420" s="3" t="s">
        <v>10</v>
      </c>
      <c r="I420" s="3" t="s">
        <v>830</v>
      </c>
    </row>
    <row r="421" customHeight="1" spans="1:9">
      <c r="A421" s="4" t="s">
        <v>831</v>
      </c>
      <c r="B421" s="4">
        <f>VLOOKUP($A421,[1]中未分析60315!$A:$M,8,0)</f>
        <v>59</v>
      </c>
      <c r="C421" s="4">
        <f>VLOOKUP($A421,[1]中未分析60315!$A:$M,9,0)</f>
        <v>58</v>
      </c>
      <c r="D421" s="4">
        <f>VLOOKUP($A421,[1]中未分析60315!$A:$M,10,0)</f>
        <v>57</v>
      </c>
      <c r="E421" s="4">
        <f>VLOOKUP($A421,[1]中未分析60315!$A:$M,11,0)</f>
        <v>56</v>
      </c>
      <c r="F421" s="4">
        <f>VLOOKUP($A421,[1]中未分析60315!$A:$M,12,0)</f>
        <v>55</v>
      </c>
      <c r="G421" s="4">
        <f>VLOOKUP($A421,[1]中未分析60315!$A:$M,13,0)</f>
        <v>54</v>
      </c>
      <c r="H421" s="3" t="s">
        <v>39</v>
      </c>
      <c r="I421" s="3" t="s">
        <v>832</v>
      </c>
    </row>
    <row r="422" customHeight="1" spans="1:9">
      <c r="A422" s="4" t="s">
        <v>833</v>
      </c>
      <c r="B422" s="4">
        <f>VLOOKUP($A422,[1]中未分析60315!$A:$M,8,0)</f>
        <v>55</v>
      </c>
      <c r="C422" s="4">
        <f>VLOOKUP($A422,[1]中未分析60315!$A:$M,9,0)</f>
        <v>54</v>
      </c>
      <c r="D422" s="4">
        <f>VLOOKUP($A422,[1]中未分析60315!$A:$M,10,0)</f>
        <v>53</v>
      </c>
      <c r="E422" s="4">
        <f>VLOOKUP($A422,[1]中未分析60315!$A:$M,11,0)</f>
        <v>52</v>
      </c>
      <c r="F422" s="4">
        <f>VLOOKUP($A422,[1]中未分析60315!$A:$M,12,0)</f>
        <v>52</v>
      </c>
      <c r="G422" s="4">
        <f>VLOOKUP($A422,[1]中未分析60315!$A:$M,13,0)</f>
        <v>51</v>
      </c>
      <c r="H422" s="3" t="s">
        <v>39</v>
      </c>
      <c r="I422" s="3" t="s">
        <v>616</v>
      </c>
    </row>
    <row r="423" customHeight="1" spans="1:9">
      <c r="A423" s="4" t="s">
        <v>834</v>
      </c>
      <c r="B423" s="4">
        <f>VLOOKUP($A423,[1]中未分析60315!$A:$M,8,0)</f>
        <v>43</v>
      </c>
      <c r="C423" s="4">
        <f>VLOOKUP($A423,[1]中未分析60315!$A:$M,9,0)</f>
        <v>42</v>
      </c>
      <c r="D423" s="4">
        <f>VLOOKUP($A423,[1]中未分析60315!$A:$M,10,0)</f>
        <v>41</v>
      </c>
      <c r="E423" s="4">
        <f>VLOOKUP($A423,[1]中未分析60315!$A:$M,11,0)</f>
        <v>40</v>
      </c>
      <c r="F423" s="4">
        <f>VLOOKUP($A423,[1]中未分析60315!$A:$M,12,0)</f>
        <v>40</v>
      </c>
      <c r="G423" s="4">
        <f>VLOOKUP($A423,[1]中未分析60315!$A:$M,13,0)</f>
        <v>39</v>
      </c>
      <c r="H423" s="3" t="s">
        <v>39</v>
      </c>
      <c r="I423" s="3" t="s">
        <v>828</v>
      </c>
    </row>
    <row r="424" customHeight="1" spans="1:9">
      <c r="A424" s="4" t="s">
        <v>835</v>
      </c>
      <c r="B424" s="4">
        <f>VLOOKUP($A424,[1]中未分析60315!$A:$M,8,0)</f>
        <v>62</v>
      </c>
      <c r="C424" s="4">
        <f>VLOOKUP($A424,[1]中未分析60315!$A:$M,9,0)</f>
        <v>61</v>
      </c>
      <c r="D424" s="4">
        <f>VLOOKUP($A424,[1]中未分析60315!$A:$M,10,0)</f>
        <v>60</v>
      </c>
      <c r="E424" s="4">
        <f>VLOOKUP($A424,[1]中未分析60315!$A:$M,11,0)</f>
        <v>59</v>
      </c>
      <c r="F424" s="4">
        <f>VLOOKUP($A424,[1]中未分析60315!$A:$M,12,0)</f>
        <v>59</v>
      </c>
      <c r="G424" s="4">
        <f>VLOOKUP($A424,[1]中未分析60315!$A:$M,13,0)</f>
        <v>58</v>
      </c>
      <c r="H424" s="3" t="s">
        <v>39</v>
      </c>
      <c r="I424" s="3" t="s">
        <v>836</v>
      </c>
    </row>
    <row r="425" customHeight="1" spans="1:9">
      <c r="A425" s="4" t="s">
        <v>837</v>
      </c>
      <c r="B425" s="4">
        <f>VLOOKUP($A425,[1]中未分析60315!$A:$M,8,0)</f>
        <v>50</v>
      </c>
      <c r="C425" s="4">
        <f>VLOOKUP($A425,[1]中未分析60315!$A:$M,9,0)</f>
        <v>49</v>
      </c>
      <c r="D425" s="4">
        <f>VLOOKUP($A425,[1]中未分析60315!$A:$M,10,0)</f>
        <v>48</v>
      </c>
      <c r="E425" s="4">
        <f>VLOOKUP($A425,[1]中未分析60315!$A:$M,11,0)</f>
        <v>47</v>
      </c>
      <c r="F425" s="4">
        <f>VLOOKUP($A425,[1]中未分析60315!$A:$M,12,0)</f>
        <v>47</v>
      </c>
      <c r="G425" s="4">
        <f>VLOOKUP($A425,[1]中未分析60315!$A:$M,13,0)</f>
        <v>46</v>
      </c>
      <c r="H425" s="3" t="s">
        <v>39</v>
      </c>
      <c r="I425" s="3" t="s">
        <v>838</v>
      </c>
    </row>
    <row r="426" customHeight="1" spans="1:9">
      <c r="A426" s="4" t="s">
        <v>839</v>
      </c>
      <c r="B426" s="4">
        <f>VLOOKUP($A426,[1]中未分析60315!$A:$M,8,0)</f>
        <v>43</v>
      </c>
      <c r="C426" s="4">
        <f>VLOOKUP($A426,[1]中未分析60315!$A:$M,9,0)</f>
        <v>42</v>
      </c>
      <c r="D426" s="4">
        <f>VLOOKUP($A426,[1]中未分析60315!$A:$M,10,0)</f>
        <v>41</v>
      </c>
      <c r="E426" s="4">
        <f>VLOOKUP($A426,[1]中未分析60315!$A:$M,11,0)</f>
        <v>40</v>
      </c>
      <c r="F426" s="4">
        <f>VLOOKUP($A426,[1]中未分析60315!$A:$M,12,0)</f>
        <v>40</v>
      </c>
      <c r="G426" s="4">
        <f>VLOOKUP($A426,[1]中未分析60315!$A:$M,13,0)</f>
        <v>39</v>
      </c>
      <c r="H426" s="3" t="s">
        <v>39</v>
      </c>
      <c r="I426" s="3" t="s">
        <v>828</v>
      </c>
    </row>
    <row r="427" customHeight="1" spans="1:9">
      <c r="A427" s="4" t="s">
        <v>840</v>
      </c>
      <c r="B427" s="4">
        <f>VLOOKUP($A427,[1]中未分析60315!$A:$M,8,0)</f>
        <v>44</v>
      </c>
      <c r="C427" s="4">
        <f>VLOOKUP($A427,[1]中未分析60315!$A:$M,9,0)</f>
        <v>43</v>
      </c>
      <c r="D427" s="4">
        <f>VLOOKUP($A427,[1]中未分析60315!$A:$M,10,0)</f>
        <v>42</v>
      </c>
      <c r="E427" s="4">
        <f>VLOOKUP($A427,[1]中未分析60315!$A:$M,11,0)</f>
        <v>42</v>
      </c>
      <c r="F427" s="4">
        <f>VLOOKUP($A427,[1]中未分析60315!$A:$M,12,0)</f>
        <v>41</v>
      </c>
      <c r="G427" s="4">
        <f>VLOOKUP($A427,[1]中未分析60315!$A:$M,13,0)</f>
        <v>40</v>
      </c>
      <c r="H427" s="3" t="s">
        <v>39</v>
      </c>
      <c r="I427" s="3" t="s">
        <v>841</v>
      </c>
    </row>
    <row r="428" customHeight="1" spans="1:9">
      <c r="A428" s="4" t="s">
        <v>842</v>
      </c>
      <c r="B428" s="4">
        <f>VLOOKUP($A428,[1]中未分析60315!$A:$M,8,0)</f>
        <v>47</v>
      </c>
      <c r="C428" s="4">
        <f>VLOOKUP($A428,[1]中未分析60315!$A:$M,9,0)</f>
        <v>47</v>
      </c>
      <c r="D428" s="4">
        <f>VLOOKUP($A428,[1]中未分析60315!$A:$M,10,0)</f>
        <v>46</v>
      </c>
      <c r="E428" s="4">
        <f>VLOOKUP($A428,[1]中未分析60315!$A:$M,11,0)</f>
        <v>45</v>
      </c>
      <c r="F428" s="4">
        <f>VLOOKUP($A428,[1]中未分析60315!$A:$M,12,0)</f>
        <v>45</v>
      </c>
      <c r="G428" s="4">
        <f>VLOOKUP($A428,[1]中未分析60315!$A:$M,13,0)</f>
        <v>44</v>
      </c>
      <c r="H428" s="3" t="s">
        <v>39</v>
      </c>
      <c r="I428" s="3" t="s">
        <v>843</v>
      </c>
    </row>
    <row r="429" customHeight="1" spans="1:9">
      <c r="A429" s="4" t="s">
        <v>844</v>
      </c>
      <c r="B429" s="4">
        <f>VLOOKUP($A429,[1]中未分析60315!$A:$M,8,0)</f>
        <v>59</v>
      </c>
      <c r="C429" s="4">
        <f>VLOOKUP($A429,[1]中未分析60315!$A:$M,9,0)</f>
        <v>58</v>
      </c>
      <c r="D429" s="4">
        <f>VLOOKUP($A429,[1]中未分析60315!$A:$M,10,0)</f>
        <v>57</v>
      </c>
      <c r="E429" s="4">
        <f>VLOOKUP($A429,[1]中未分析60315!$A:$M,11,0)</f>
        <v>56</v>
      </c>
      <c r="F429" s="4">
        <f>VLOOKUP($A429,[1]中未分析60315!$A:$M,12,0)</f>
        <v>55</v>
      </c>
      <c r="G429" s="4">
        <f>VLOOKUP($A429,[1]中未分析60315!$A:$M,13,0)</f>
        <v>54</v>
      </c>
      <c r="H429" s="3" t="s">
        <v>39</v>
      </c>
      <c r="I429" s="3" t="s">
        <v>845</v>
      </c>
    </row>
    <row r="430" customHeight="1" spans="1:9">
      <c r="A430" s="4" t="s">
        <v>846</v>
      </c>
      <c r="B430" s="4">
        <f>VLOOKUP($A430,[1]中未分析60315!$A:$M,8,0)</f>
        <v>63</v>
      </c>
      <c r="C430" s="4">
        <f>VLOOKUP($A430,[1]中未分析60315!$A:$M,9,0)</f>
        <v>62</v>
      </c>
      <c r="D430" s="4">
        <f>VLOOKUP($A430,[1]中未分析60315!$A:$M,10,0)</f>
        <v>61</v>
      </c>
      <c r="E430" s="4">
        <f>VLOOKUP($A430,[1]中未分析60315!$A:$M,11,0)</f>
        <v>59</v>
      </c>
      <c r="F430" s="4">
        <f>VLOOKUP($A430,[1]中未分析60315!$A:$M,12,0)</f>
        <v>59</v>
      </c>
      <c r="G430" s="4">
        <f>VLOOKUP($A430,[1]中未分析60315!$A:$M,13,0)</f>
        <v>58</v>
      </c>
      <c r="H430" s="3" t="s">
        <v>39</v>
      </c>
      <c r="I430" s="3" t="s">
        <v>847</v>
      </c>
    </row>
    <row r="431" customHeight="1" spans="1:9">
      <c r="A431" s="4" t="s">
        <v>848</v>
      </c>
      <c r="B431" s="4">
        <f>VLOOKUP($A431,[1]中未分析60315!$A:$M,8,0)</f>
        <v>51</v>
      </c>
      <c r="C431" s="4">
        <f>VLOOKUP($A431,[1]中未分析60315!$A:$M,9,0)</f>
        <v>50</v>
      </c>
      <c r="D431" s="4">
        <f>VLOOKUP($A431,[1]中未分析60315!$A:$M,10,0)</f>
        <v>50</v>
      </c>
      <c r="E431" s="4">
        <f>VLOOKUP($A431,[1]中未分析60315!$A:$M,11,0)</f>
        <v>49</v>
      </c>
      <c r="F431" s="4">
        <f>VLOOKUP($A431,[1]中未分析60315!$A:$M,12,0)</f>
        <v>48</v>
      </c>
      <c r="G431" s="4">
        <f>VLOOKUP($A431,[1]中未分析60315!$A:$M,13,0)</f>
        <v>47</v>
      </c>
      <c r="H431" s="3" t="s">
        <v>39</v>
      </c>
      <c r="I431" s="3" t="s">
        <v>849</v>
      </c>
    </row>
    <row r="432" customHeight="1" spans="1:9">
      <c r="A432" s="4" t="s">
        <v>850</v>
      </c>
      <c r="B432" s="4">
        <f>VLOOKUP($A432,[1]中未分析60315!$A:$M,8,0)</f>
        <v>60</v>
      </c>
      <c r="C432" s="4">
        <f>VLOOKUP($A432,[1]中未分析60315!$A:$M,9,0)</f>
        <v>59</v>
      </c>
      <c r="D432" s="4">
        <f>VLOOKUP($A432,[1]中未分析60315!$A:$M,10,0)</f>
        <v>58</v>
      </c>
      <c r="E432" s="4">
        <f>VLOOKUP($A432,[1]中未分析60315!$A:$M,11,0)</f>
        <v>57</v>
      </c>
      <c r="F432" s="4">
        <f>VLOOKUP($A432,[1]中未分析60315!$A:$M,12,0)</f>
        <v>57</v>
      </c>
      <c r="G432" s="4">
        <f>VLOOKUP($A432,[1]中未分析60315!$A:$M,13,0)</f>
        <v>56</v>
      </c>
      <c r="H432" s="3" t="s">
        <v>39</v>
      </c>
      <c r="I432" s="3" t="s">
        <v>851</v>
      </c>
    </row>
    <row r="433" customHeight="1" spans="1:9">
      <c r="A433" s="4" t="s">
        <v>852</v>
      </c>
      <c r="B433" s="4">
        <f>VLOOKUP($A433,[1]中未分析60315!$A:$M,8,0)</f>
        <v>50</v>
      </c>
      <c r="C433" s="4">
        <f>VLOOKUP($A433,[1]中未分析60315!$A:$M,9,0)</f>
        <v>49</v>
      </c>
      <c r="D433" s="4">
        <f>VLOOKUP($A433,[1]中未分析60315!$A:$M,10,0)</f>
        <v>48</v>
      </c>
      <c r="E433" s="4">
        <f>VLOOKUP($A433,[1]中未分析60315!$A:$M,11,0)</f>
        <v>47</v>
      </c>
      <c r="F433" s="4">
        <f>VLOOKUP($A433,[1]中未分析60315!$A:$M,12,0)</f>
        <v>47</v>
      </c>
      <c r="G433" s="4">
        <f>VLOOKUP($A433,[1]中未分析60315!$A:$M,13,0)</f>
        <v>46</v>
      </c>
      <c r="H433" s="3" t="s">
        <v>39</v>
      </c>
      <c r="I433" s="3" t="s">
        <v>853</v>
      </c>
    </row>
    <row r="434" customHeight="1" spans="1:9">
      <c r="A434" s="4" t="s">
        <v>854</v>
      </c>
      <c r="B434" s="4">
        <f>VLOOKUP($A434,[1]中未分析60315!$A:$M,8,0)</f>
        <v>44</v>
      </c>
      <c r="C434" s="4">
        <f>VLOOKUP($A434,[1]中未分析60315!$A:$M,9,0)</f>
        <v>42</v>
      </c>
      <c r="D434" s="4">
        <f>VLOOKUP($A434,[1]中未分析60315!$A:$M,10,0)</f>
        <v>41</v>
      </c>
      <c r="E434" s="4">
        <f>VLOOKUP($A434,[1]中未分析60315!$A:$M,11,0)</f>
        <v>39</v>
      </c>
      <c r="F434" s="4">
        <f>VLOOKUP($A434,[1]中未分析60315!$A:$M,12,0)</f>
        <v>37</v>
      </c>
      <c r="G434" s="4">
        <f>VLOOKUP($A434,[1]中未分析60315!$A:$M,13,0)</f>
        <v>36</v>
      </c>
      <c r="H434" s="3" t="s">
        <v>10</v>
      </c>
      <c r="I434" s="3" t="s">
        <v>855</v>
      </c>
    </row>
    <row r="435" customHeight="1" spans="1:9">
      <c r="A435" s="5" t="s">
        <v>856</v>
      </c>
      <c r="B435" s="4">
        <f>VLOOKUP($A435,[1]中未分析60315!$A:$M,8,0)</f>
        <v>54</v>
      </c>
      <c r="C435" s="4">
        <f>VLOOKUP($A435,[1]中未分析60315!$A:$M,9,0)</f>
        <v>53</v>
      </c>
      <c r="D435" s="4">
        <f>VLOOKUP($A435,[1]中未分析60315!$A:$M,10,0)</f>
        <v>52</v>
      </c>
      <c r="E435" s="4">
        <f>VLOOKUP($A435,[1]中未分析60315!$A:$M,11,0)</f>
        <v>51</v>
      </c>
      <c r="F435" s="4">
        <f>VLOOKUP($A435,[1]中未分析60315!$A:$M,12,0)</f>
        <v>51</v>
      </c>
      <c r="G435" s="4">
        <f>VLOOKUP($A435,[1]中未分析60315!$A:$M,13,0)</f>
        <v>50</v>
      </c>
      <c r="H435" s="3" t="s">
        <v>39</v>
      </c>
      <c r="I435" s="3" t="s">
        <v>857</v>
      </c>
    </row>
    <row r="436" customHeight="1" spans="1:9">
      <c r="A436" s="5" t="s">
        <v>858</v>
      </c>
      <c r="B436" s="4">
        <f>VLOOKUP($A436,[1]中未分析60315!$A:$M,8,0)</f>
        <v>32</v>
      </c>
      <c r="C436" s="4">
        <f>VLOOKUP($A436,[1]中未分析60315!$A:$M,9,0)</f>
        <v>31</v>
      </c>
      <c r="D436" s="4">
        <f>VLOOKUP($A436,[1]中未分析60315!$A:$M,10,0)</f>
        <v>30</v>
      </c>
      <c r="E436" s="4">
        <f>VLOOKUP($A436,[1]中未分析60315!$A:$M,11,0)</f>
        <v>28</v>
      </c>
      <c r="F436" s="4">
        <f>VLOOKUP($A436,[1]中未分析60315!$A:$M,12,0)</f>
        <v>27</v>
      </c>
      <c r="G436" s="4">
        <f>VLOOKUP($A436,[1]中未分析60315!$A:$M,13,0)</f>
        <v>26</v>
      </c>
      <c r="H436" s="3" t="s">
        <v>10</v>
      </c>
      <c r="I436" s="3" t="s">
        <v>859</v>
      </c>
    </row>
    <row r="437" customHeight="1" spans="1:9">
      <c r="A437" s="5" t="s">
        <v>860</v>
      </c>
      <c r="B437" s="4">
        <f>VLOOKUP($A437,[1]中未分析60315!$A:$M,8,0)</f>
        <v>46</v>
      </c>
      <c r="C437" s="4">
        <f>VLOOKUP($A437,[1]中未分析60315!$A:$M,9,0)</f>
        <v>44</v>
      </c>
      <c r="D437" s="4">
        <f>VLOOKUP($A437,[1]中未分析60315!$A:$M,10,0)</f>
        <v>43</v>
      </c>
      <c r="E437" s="4">
        <f>VLOOKUP($A437,[1]中未分析60315!$A:$M,11,0)</f>
        <v>41</v>
      </c>
      <c r="F437" s="4">
        <f>VLOOKUP($A437,[1]中未分析60315!$A:$M,12,0)</f>
        <v>39</v>
      </c>
      <c r="G437" s="4">
        <f>VLOOKUP($A437,[1]中未分析60315!$A:$M,13,0)</f>
        <v>38</v>
      </c>
      <c r="H437" s="3" t="s">
        <v>10</v>
      </c>
      <c r="I437" s="3" t="s">
        <v>861</v>
      </c>
    </row>
    <row r="438" customHeight="1" spans="1:9">
      <c r="A438" s="5" t="s">
        <v>862</v>
      </c>
      <c r="B438" s="4">
        <f>VLOOKUP($A438,[1]中未分析60315!$A:$M,8,0)</f>
        <v>47</v>
      </c>
      <c r="C438" s="4">
        <f>VLOOKUP($A438,[1]中未分析60315!$A:$M,9,0)</f>
        <v>45</v>
      </c>
      <c r="D438" s="4">
        <f>VLOOKUP($A438,[1]中未分析60315!$A:$M,10,0)</f>
        <v>43</v>
      </c>
      <c r="E438" s="4">
        <f>VLOOKUP($A438,[1]中未分析60315!$A:$M,11,0)</f>
        <v>42</v>
      </c>
      <c r="F438" s="4">
        <f>VLOOKUP($A438,[1]中未分析60315!$A:$M,12,0)</f>
        <v>40</v>
      </c>
      <c r="G438" s="4">
        <f>VLOOKUP($A438,[1]中未分析60315!$A:$M,13,0)</f>
        <v>38</v>
      </c>
      <c r="H438" s="3" t="s">
        <v>10</v>
      </c>
      <c r="I438" s="3" t="s">
        <v>863</v>
      </c>
    </row>
    <row r="439" customHeight="1" spans="1:9">
      <c r="A439" s="5" t="s">
        <v>864</v>
      </c>
      <c r="B439" s="4">
        <f>VLOOKUP($A439,[1]中未分析60315!$A:$M,8,0)</f>
        <v>56</v>
      </c>
      <c r="C439" s="4">
        <f>VLOOKUP($A439,[1]中未分析60315!$A:$M,9,0)</f>
        <v>55</v>
      </c>
      <c r="D439" s="4">
        <f>VLOOKUP($A439,[1]中未分析60315!$A:$M,10,0)</f>
        <v>54</v>
      </c>
      <c r="E439" s="4">
        <f>VLOOKUP($A439,[1]中未分析60315!$A:$M,11,0)</f>
        <v>53</v>
      </c>
      <c r="F439" s="4">
        <f>VLOOKUP($A439,[1]中未分析60315!$A:$M,12,0)</f>
        <v>53</v>
      </c>
      <c r="G439" s="4">
        <f>VLOOKUP($A439,[1]中未分析60315!$A:$M,13,0)</f>
        <v>52</v>
      </c>
      <c r="H439" s="3" t="s">
        <v>39</v>
      </c>
      <c r="I439" s="3" t="s">
        <v>865</v>
      </c>
    </row>
    <row r="440" customHeight="1" spans="1:9">
      <c r="A440" s="5" t="s">
        <v>866</v>
      </c>
      <c r="B440" s="4">
        <f>VLOOKUP($A440,[1]中未分析60315!$A:$M,8,0)</f>
        <v>52</v>
      </c>
      <c r="C440" s="4">
        <f>VLOOKUP($A440,[1]中未分析60315!$A:$M,9,0)</f>
        <v>52</v>
      </c>
      <c r="D440" s="4">
        <f>VLOOKUP($A440,[1]中未分析60315!$A:$M,10,0)</f>
        <v>51</v>
      </c>
      <c r="E440" s="4">
        <f>VLOOKUP($A440,[1]中未分析60315!$A:$M,11,0)</f>
        <v>50</v>
      </c>
      <c r="F440" s="4">
        <f>VLOOKUP($A440,[1]中未分析60315!$A:$M,12,0)</f>
        <v>49</v>
      </c>
      <c r="G440" s="4">
        <f>VLOOKUP($A440,[1]中未分析60315!$A:$M,13,0)</f>
        <v>49</v>
      </c>
      <c r="H440" s="3" t="s">
        <v>39</v>
      </c>
      <c r="I440" s="3" t="s">
        <v>867</v>
      </c>
    </row>
    <row r="441" customHeight="1" spans="1:9">
      <c r="A441" s="5" t="s">
        <v>868</v>
      </c>
      <c r="B441" s="4">
        <f>VLOOKUP($A441,[1]中未分析60315!$A:$M,8,0)</f>
        <v>46</v>
      </c>
      <c r="C441" s="4">
        <f>VLOOKUP($A441,[1]中未分析60315!$A:$M,9,0)</f>
        <v>44</v>
      </c>
      <c r="D441" s="4">
        <f>VLOOKUP($A441,[1]中未分析60315!$A:$M,10,0)</f>
        <v>43</v>
      </c>
      <c r="E441" s="4">
        <f>VLOOKUP($A441,[1]中未分析60315!$A:$M,11,0)</f>
        <v>41</v>
      </c>
      <c r="F441" s="4">
        <f>VLOOKUP($A441,[1]中未分析60315!$A:$M,12,0)</f>
        <v>39</v>
      </c>
      <c r="G441" s="4">
        <f>VLOOKUP($A441,[1]中未分析60315!$A:$M,13,0)</f>
        <v>38</v>
      </c>
      <c r="H441" s="3" t="s">
        <v>10</v>
      </c>
      <c r="I441" s="3" t="s">
        <v>869</v>
      </c>
    </row>
    <row r="442" customHeight="1" spans="1:9">
      <c r="A442" s="5" t="s">
        <v>870</v>
      </c>
      <c r="B442" s="4">
        <f>VLOOKUP($A442,[1]中未分析60315!$A:$M,8,0)</f>
        <v>50</v>
      </c>
      <c r="C442" s="4">
        <f>VLOOKUP($A442,[1]中未分析60315!$A:$M,9,0)</f>
        <v>49</v>
      </c>
      <c r="D442" s="4">
        <f>VLOOKUP($A442,[1]中未分析60315!$A:$M,10,0)</f>
        <v>48</v>
      </c>
      <c r="E442" s="4">
        <f>VLOOKUP($A442,[1]中未分析60315!$A:$M,11,0)</f>
        <v>47</v>
      </c>
      <c r="F442" s="4">
        <f>VLOOKUP($A442,[1]中未分析60315!$A:$M,12,0)</f>
        <v>47</v>
      </c>
      <c r="G442" s="4">
        <f>VLOOKUP($A442,[1]中未分析60315!$A:$M,13,0)</f>
        <v>46</v>
      </c>
      <c r="H442" s="3" t="s">
        <v>39</v>
      </c>
      <c r="I442" s="3" t="s">
        <v>871</v>
      </c>
    </row>
    <row r="443" customHeight="1" spans="1:9">
      <c r="A443" s="5" t="s">
        <v>872</v>
      </c>
      <c r="B443" s="4">
        <f>VLOOKUP($A443,[1]中未分析60315!$A:$M,8,0)</f>
        <v>50</v>
      </c>
      <c r="C443" s="4">
        <f>VLOOKUP($A443,[1]中未分析60315!$A:$M,9,0)</f>
        <v>49</v>
      </c>
      <c r="D443" s="4">
        <f>VLOOKUP($A443,[1]中未分析60315!$A:$M,10,0)</f>
        <v>48</v>
      </c>
      <c r="E443" s="4">
        <f>VLOOKUP($A443,[1]中未分析60315!$A:$M,11,0)</f>
        <v>47</v>
      </c>
      <c r="F443" s="4">
        <f>VLOOKUP($A443,[1]中未分析60315!$A:$M,12,0)</f>
        <v>47</v>
      </c>
      <c r="G443" s="4">
        <f>VLOOKUP($A443,[1]中未分析60315!$A:$M,13,0)</f>
        <v>46</v>
      </c>
      <c r="H443" s="3" t="s">
        <v>39</v>
      </c>
      <c r="I443" s="3" t="s">
        <v>873</v>
      </c>
    </row>
    <row r="444" customHeight="1" spans="1:9">
      <c r="A444" s="5" t="s">
        <v>874</v>
      </c>
      <c r="B444" s="4">
        <f>VLOOKUP($A444,[1]中未分析60315!$A:$M,8,0)</f>
        <v>39</v>
      </c>
      <c r="C444" s="4">
        <f>VLOOKUP($A444,[1]中未分析60315!$A:$M,9,0)</f>
        <v>38</v>
      </c>
      <c r="D444" s="4">
        <f>VLOOKUP($A444,[1]中未分析60315!$A:$M,10,0)</f>
        <v>37</v>
      </c>
      <c r="E444" s="4">
        <f>VLOOKUP($A444,[1]中未分析60315!$A:$M,11,0)</f>
        <v>35</v>
      </c>
      <c r="F444" s="4">
        <f>VLOOKUP($A444,[1]中未分析60315!$A:$M,12,0)</f>
        <v>34</v>
      </c>
      <c r="G444" s="4">
        <f>VLOOKUP($A444,[1]中未分析60315!$A:$M,13,0)</f>
        <v>32</v>
      </c>
      <c r="H444" s="3" t="s">
        <v>10</v>
      </c>
      <c r="I444" s="3" t="s">
        <v>875</v>
      </c>
    </row>
    <row r="445" customHeight="1" spans="1:9">
      <c r="A445" s="5" t="s">
        <v>876</v>
      </c>
      <c r="B445" s="4">
        <f>VLOOKUP($A445,[1]中未分析60315!$A:$M,8,0)</f>
        <v>45</v>
      </c>
      <c r="C445" s="4">
        <f>VLOOKUP($A445,[1]中未分析60315!$A:$M,9,0)</f>
        <v>44</v>
      </c>
      <c r="D445" s="4">
        <f>VLOOKUP($A445,[1]中未分析60315!$A:$M,10,0)</f>
        <v>42</v>
      </c>
      <c r="E445" s="4">
        <f>VLOOKUP($A445,[1]中未分析60315!$A:$M,11,0)</f>
        <v>40</v>
      </c>
      <c r="F445" s="4">
        <f>VLOOKUP($A445,[1]中未分析60315!$A:$M,12,0)</f>
        <v>39</v>
      </c>
      <c r="G445" s="4">
        <f>VLOOKUP($A445,[1]中未分析60315!$A:$M,13,0)</f>
        <v>37</v>
      </c>
      <c r="H445" s="3" t="s">
        <v>10</v>
      </c>
      <c r="I445" s="3" t="s">
        <v>877</v>
      </c>
    </row>
    <row r="446" customHeight="1" spans="1:9">
      <c r="A446" s="5" t="s">
        <v>878</v>
      </c>
      <c r="B446" s="4">
        <f>VLOOKUP($A446,[1]中未分析60315!$A:$M,8,0)</f>
        <v>32</v>
      </c>
      <c r="C446" s="4">
        <f>VLOOKUP($A446,[1]中未分析60315!$A:$M,9,0)</f>
        <v>31</v>
      </c>
      <c r="D446" s="4">
        <f>VLOOKUP($A446,[1]中未分析60315!$A:$M,10,0)</f>
        <v>30</v>
      </c>
      <c r="E446" s="4">
        <f>VLOOKUP($A446,[1]中未分析60315!$A:$M,11,0)</f>
        <v>29</v>
      </c>
      <c r="F446" s="4">
        <f>VLOOKUP($A446,[1]中未分析60315!$A:$M,12,0)</f>
        <v>28</v>
      </c>
      <c r="G446" s="4">
        <f>VLOOKUP($A446,[1]中未分析60315!$A:$M,13,0)</f>
        <v>26</v>
      </c>
      <c r="H446" s="3" t="s">
        <v>10</v>
      </c>
      <c r="I446" s="3" t="s">
        <v>879</v>
      </c>
    </row>
    <row r="447" customHeight="1" spans="1:9">
      <c r="A447" s="5" t="s">
        <v>880</v>
      </c>
      <c r="B447" s="4">
        <f>VLOOKUP($A447,[1]中未分析60315!$A:$M,8,0)</f>
        <v>39</v>
      </c>
      <c r="C447" s="4">
        <f>VLOOKUP($A447,[1]中未分析60315!$A:$M,9,0)</f>
        <v>37</v>
      </c>
      <c r="D447" s="4">
        <f>VLOOKUP($A447,[1]中未分析60315!$A:$M,10,0)</f>
        <v>36</v>
      </c>
      <c r="E447" s="4">
        <f>VLOOKUP($A447,[1]中未分析60315!$A:$M,11,0)</f>
        <v>35</v>
      </c>
      <c r="F447" s="4">
        <f>VLOOKUP($A447,[1]中未分析60315!$A:$M,12,0)</f>
        <v>33</v>
      </c>
      <c r="G447" s="4">
        <f>VLOOKUP($A447,[1]中未分析60315!$A:$M,13,0)</f>
        <v>32</v>
      </c>
      <c r="H447" s="3" t="s">
        <v>10</v>
      </c>
      <c r="I447" s="3" t="s">
        <v>881</v>
      </c>
    </row>
    <row r="448" customHeight="1" spans="1:9">
      <c r="A448" s="5" t="s">
        <v>882</v>
      </c>
      <c r="B448" s="4">
        <f>VLOOKUP($A448,[1]中未分析60315!$A:$M,8,0)</f>
        <v>49</v>
      </c>
      <c r="C448" s="4">
        <f>VLOOKUP($A448,[1]中未分析60315!$A:$M,9,0)</f>
        <v>47</v>
      </c>
      <c r="D448" s="4">
        <f>VLOOKUP($A448,[1]中未分析60315!$A:$M,10,0)</f>
        <v>45</v>
      </c>
      <c r="E448" s="4">
        <f>VLOOKUP($A448,[1]中未分析60315!$A:$M,11,0)</f>
        <v>43</v>
      </c>
      <c r="F448" s="4">
        <f>VLOOKUP($A448,[1]中未分析60315!$A:$M,12,0)</f>
        <v>42</v>
      </c>
      <c r="G448" s="4">
        <f>VLOOKUP($A448,[1]中未分析60315!$A:$M,13,0)</f>
        <v>40</v>
      </c>
      <c r="H448" s="3" t="s">
        <v>10</v>
      </c>
      <c r="I448" s="3" t="s">
        <v>883</v>
      </c>
    </row>
    <row r="449" customHeight="1" spans="1:9">
      <c r="A449" s="4" t="s">
        <v>884</v>
      </c>
      <c r="B449" s="4">
        <f>VLOOKUP($A449,[1]中未分析60315!$A:$M,8,0)</f>
        <v>37</v>
      </c>
      <c r="C449" s="4">
        <f>VLOOKUP($A449,[1]中未分析60315!$A:$M,9,0)</f>
        <v>35</v>
      </c>
      <c r="D449" s="4">
        <f>VLOOKUP($A449,[1]中未分析60315!$A:$M,10,0)</f>
        <v>34</v>
      </c>
      <c r="E449" s="4">
        <f>VLOOKUP($A449,[1]中未分析60315!$A:$M,11,0)</f>
        <v>33</v>
      </c>
      <c r="F449" s="4">
        <f>VLOOKUP($A449,[1]中未分析60315!$A:$M,12,0)</f>
        <v>31</v>
      </c>
      <c r="G449" s="4">
        <f>VLOOKUP($A449,[1]中未分析60315!$A:$M,13,0)</f>
        <v>30</v>
      </c>
      <c r="H449" s="3" t="s">
        <v>10</v>
      </c>
      <c r="I449" s="3" t="s">
        <v>885</v>
      </c>
    </row>
    <row r="450" customHeight="1" spans="1:9">
      <c r="A450" s="4" t="s">
        <v>886</v>
      </c>
      <c r="B450" s="4">
        <f>VLOOKUP($A450,[1]中未分析60315!$A:$M,8,0)</f>
        <v>38</v>
      </c>
      <c r="C450" s="4">
        <f>VLOOKUP($A450,[1]中未分析60315!$A:$M,9,0)</f>
        <v>37</v>
      </c>
      <c r="D450" s="4">
        <f>VLOOKUP($A450,[1]中未分析60315!$A:$M,10,0)</f>
        <v>36</v>
      </c>
      <c r="E450" s="4">
        <f>VLOOKUP($A450,[1]中未分析60315!$A:$M,11,0)</f>
        <v>36</v>
      </c>
      <c r="F450" s="4">
        <f>VLOOKUP($A450,[1]中未分析60315!$A:$M,12,0)</f>
        <v>35</v>
      </c>
      <c r="G450" s="4">
        <f>VLOOKUP($A450,[1]中未分析60315!$A:$M,13,0)</f>
        <v>35</v>
      </c>
      <c r="H450" s="3" t="s">
        <v>39</v>
      </c>
      <c r="I450" s="3" t="s">
        <v>887</v>
      </c>
    </row>
    <row r="451" customHeight="1" spans="1:9">
      <c r="A451" s="4" t="s">
        <v>888</v>
      </c>
      <c r="B451" s="4">
        <f>VLOOKUP($A451,[1]中未分析60315!$A:$M,8,0)</f>
        <v>38</v>
      </c>
      <c r="C451" s="4">
        <f>VLOOKUP($A451,[1]中未分析60315!$A:$M,9,0)</f>
        <v>37</v>
      </c>
      <c r="D451" s="4">
        <f>VLOOKUP($A451,[1]中未分析60315!$A:$M,10,0)</f>
        <v>36</v>
      </c>
      <c r="E451" s="4">
        <f>VLOOKUP($A451,[1]中未分析60315!$A:$M,11,0)</f>
        <v>36</v>
      </c>
      <c r="F451" s="4">
        <f>VLOOKUP($A451,[1]中未分析60315!$A:$M,12,0)</f>
        <v>35</v>
      </c>
      <c r="G451" s="4">
        <f>VLOOKUP($A451,[1]中未分析60315!$A:$M,13,0)</f>
        <v>35</v>
      </c>
      <c r="H451" s="3" t="s">
        <v>39</v>
      </c>
      <c r="I451" s="3" t="s">
        <v>889</v>
      </c>
    </row>
    <row r="452" customHeight="1" spans="1:9">
      <c r="A452" s="4" t="s">
        <v>890</v>
      </c>
      <c r="B452" s="4">
        <f>VLOOKUP($A452,[1]中未分析60315!$A:$M,8,0)</f>
        <v>26</v>
      </c>
      <c r="C452" s="4">
        <f>VLOOKUP($A452,[1]中未分析60315!$A:$M,9,0)</f>
        <v>25</v>
      </c>
      <c r="D452" s="4">
        <f>VLOOKUP($A452,[1]中未分析60315!$A:$M,10,0)</f>
        <v>24</v>
      </c>
      <c r="E452" s="4">
        <f>VLOOKUP($A452,[1]中未分析60315!$A:$M,11,0)</f>
        <v>23</v>
      </c>
      <c r="F452" s="4">
        <f>VLOOKUP($A452,[1]中未分析60315!$A:$M,12,0)</f>
        <v>23</v>
      </c>
      <c r="G452" s="4">
        <f>VLOOKUP($A452,[1]中未分析60315!$A:$M,13,0)</f>
        <v>22</v>
      </c>
      <c r="H452" s="3" t="s">
        <v>10</v>
      </c>
      <c r="I452" s="3" t="s">
        <v>891</v>
      </c>
    </row>
    <row r="453" customHeight="1" spans="1:9">
      <c r="A453" s="4" t="s">
        <v>892</v>
      </c>
      <c r="B453" s="4">
        <f>VLOOKUP($A453,[1]中未分析60315!$A:$M,8,0)</f>
        <v>34</v>
      </c>
      <c r="C453" s="4">
        <f>VLOOKUP($A453,[1]中未分析60315!$A:$M,9,0)</f>
        <v>32</v>
      </c>
      <c r="D453" s="4">
        <f>VLOOKUP($A453,[1]中未分析60315!$A:$M,10,0)</f>
        <v>31</v>
      </c>
      <c r="E453" s="4">
        <f>VLOOKUP($A453,[1]中未分析60315!$A:$M,11,0)</f>
        <v>30</v>
      </c>
      <c r="F453" s="4">
        <f>VLOOKUP($A453,[1]中未分析60315!$A:$M,12,0)</f>
        <v>29</v>
      </c>
      <c r="G453" s="4">
        <f>VLOOKUP($A453,[1]中未分析60315!$A:$M,13,0)</f>
        <v>27</v>
      </c>
      <c r="H453" s="3" t="s">
        <v>10</v>
      </c>
      <c r="I453" s="3" t="s">
        <v>893</v>
      </c>
    </row>
    <row r="454" customHeight="1" spans="1:9">
      <c r="A454" s="4" t="s">
        <v>894</v>
      </c>
      <c r="B454" s="4">
        <f>VLOOKUP($A454,[1]中未分析60315!$A:$M,8,0)</f>
        <v>31</v>
      </c>
      <c r="C454" s="4">
        <f>VLOOKUP($A454,[1]中未分析60315!$A:$M,9,0)</f>
        <v>31</v>
      </c>
      <c r="D454" s="4">
        <f>VLOOKUP($A454,[1]中未分析60315!$A:$M,10,0)</f>
        <v>30</v>
      </c>
      <c r="E454" s="4">
        <f>VLOOKUP($A454,[1]中未分析60315!$A:$M,11,0)</f>
        <v>30</v>
      </c>
      <c r="F454" s="4">
        <f>VLOOKUP($A454,[1]中未分析60315!$A:$M,12,0)</f>
        <v>29</v>
      </c>
      <c r="G454" s="4">
        <f>VLOOKUP($A454,[1]中未分析60315!$A:$M,13,0)</f>
        <v>29</v>
      </c>
      <c r="H454" s="3" t="s">
        <v>39</v>
      </c>
      <c r="I454" s="3" t="s">
        <v>895</v>
      </c>
    </row>
    <row r="455" customHeight="1" spans="1:9">
      <c r="A455" s="4" t="s">
        <v>896</v>
      </c>
      <c r="B455" s="4">
        <f>VLOOKUP($A455,[1]中未分析60315!$A:$M,8,0)</f>
        <v>84</v>
      </c>
      <c r="C455" s="4">
        <f>VLOOKUP($A455,[1]中未分析60315!$A:$M,9,0)</f>
        <v>82</v>
      </c>
      <c r="D455" s="4">
        <f>VLOOKUP($A455,[1]中未分析60315!$A:$M,10,0)</f>
        <v>81</v>
      </c>
      <c r="E455" s="4">
        <f>VLOOKUP($A455,[1]中未分析60315!$A:$M,11,0)</f>
        <v>80</v>
      </c>
      <c r="F455" s="4">
        <f>VLOOKUP($A455,[1]中未分析60315!$A:$M,12,0)</f>
        <v>79</v>
      </c>
      <c r="G455" s="4">
        <f>VLOOKUP($A455,[1]中未分析60315!$A:$M,13,0)</f>
        <v>77</v>
      </c>
      <c r="H455" s="3" t="s">
        <v>39</v>
      </c>
      <c r="I455" s="3" t="s">
        <v>897</v>
      </c>
    </row>
    <row r="456" customHeight="1" spans="1:9">
      <c r="A456" s="4" t="s">
        <v>898</v>
      </c>
      <c r="B456" s="4">
        <f>VLOOKUP($A456,[1]中未分析60315!$A:$M,8,0)</f>
        <v>48</v>
      </c>
      <c r="C456" s="4">
        <f>VLOOKUP($A456,[1]中未分析60315!$A:$M,9,0)</f>
        <v>46</v>
      </c>
      <c r="D456" s="4">
        <f>VLOOKUP($A456,[1]中未分析60315!$A:$M,10,0)</f>
        <v>44</v>
      </c>
      <c r="E456" s="4">
        <f>VLOOKUP($A456,[1]中未分析60315!$A:$M,11,0)</f>
        <v>42</v>
      </c>
      <c r="F456" s="4">
        <f>VLOOKUP($A456,[1]中未分析60315!$A:$M,12,0)</f>
        <v>41</v>
      </c>
      <c r="G456" s="4">
        <f>VLOOKUP($A456,[1]中未分析60315!$A:$M,13,0)</f>
        <v>39</v>
      </c>
      <c r="H456" s="3" t="s">
        <v>10</v>
      </c>
      <c r="I456" s="3" t="s">
        <v>899</v>
      </c>
    </row>
    <row r="457" customHeight="1" spans="1:9">
      <c r="A457" s="4" t="s">
        <v>900</v>
      </c>
      <c r="B457" s="4">
        <f>VLOOKUP($A457,[1]中未分析60315!$A:$M,8,0)</f>
        <v>47</v>
      </c>
      <c r="C457" s="4">
        <f>VLOOKUP($A457,[1]中未分析60315!$A:$M,9,0)</f>
        <v>45</v>
      </c>
      <c r="D457" s="4">
        <f>VLOOKUP($A457,[1]中未分析60315!$A:$M,10,0)</f>
        <v>43</v>
      </c>
      <c r="E457" s="4">
        <f>VLOOKUP($A457,[1]中未分析60315!$A:$M,11,0)</f>
        <v>41</v>
      </c>
      <c r="F457" s="4">
        <f>VLOOKUP($A457,[1]中未分析60315!$A:$M,12,0)</f>
        <v>40</v>
      </c>
      <c r="G457" s="4">
        <f>VLOOKUP($A457,[1]中未分析60315!$A:$M,13,0)</f>
        <v>38</v>
      </c>
      <c r="H457" s="3" t="s">
        <v>10</v>
      </c>
      <c r="I457" s="3" t="s">
        <v>901</v>
      </c>
    </row>
    <row r="458" customHeight="1" spans="1:9">
      <c r="A458" s="4" t="s">
        <v>902</v>
      </c>
      <c r="B458" s="4">
        <f>VLOOKUP($A458,[1]中未分析60315!$A:$M,8,0)</f>
        <v>59</v>
      </c>
      <c r="C458" s="4">
        <f>VLOOKUP($A458,[1]中未分析60315!$A:$M,9,0)</f>
        <v>58</v>
      </c>
      <c r="D458" s="4">
        <f>VLOOKUP($A458,[1]中未分析60315!$A:$M,10,0)</f>
        <v>57</v>
      </c>
      <c r="E458" s="4">
        <f>VLOOKUP($A458,[1]中未分析60315!$A:$M,11,0)</f>
        <v>56</v>
      </c>
      <c r="F458" s="4">
        <f>VLOOKUP($A458,[1]中未分析60315!$A:$M,12,0)</f>
        <v>55</v>
      </c>
      <c r="G458" s="4">
        <f>VLOOKUP($A458,[1]中未分析60315!$A:$M,13,0)</f>
        <v>54</v>
      </c>
      <c r="H458" s="3" t="s">
        <v>39</v>
      </c>
      <c r="I458" s="3" t="s">
        <v>903</v>
      </c>
    </row>
    <row r="459" customHeight="1" spans="1:9">
      <c r="A459" s="4" t="s">
        <v>904</v>
      </c>
      <c r="B459" s="4">
        <f>VLOOKUP($A459,[1]中未分析60315!$A:$M,8,0)</f>
        <v>41</v>
      </c>
      <c r="C459" s="4">
        <f>VLOOKUP($A459,[1]中未分析60315!$A:$M,9,0)</f>
        <v>39</v>
      </c>
      <c r="D459" s="4">
        <f>VLOOKUP($A459,[1]中未分析60315!$A:$M,10,0)</f>
        <v>38</v>
      </c>
      <c r="E459" s="4">
        <f>VLOOKUP($A459,[1]中未分析60315!$A:$M,11,0)</f>
        <v>36</v>
      </c>
      <c r="F459" s="4">
        <f>VLOOKUP($A459,[1]中未分析60315!$A:$M,12,0)</f>
        <v>35</v>
      </c>
      <c r="G459" s="4">
        <f>VLOOKUP($A459,[1]中未分析60315!$A:$M,13,0)</f>
        <v>33</v>
      </c>
      <c r="H459" s="3" t="s">
        <v>10</v>
      </c>
      <c r="I459" s="3" t="s">
        <v>905</v>
      </c>
    </row>
    <row r="460" customHeight="1" spans="1:9">
      <c r="A460" s="4" t="s">
        <v>906</v>
      </c>
      <c r="B460" s="4">
        <f>VLOOKUP($A460,[1]中未分析60315!$A:$M,8,0)</f>
        <v>30</v>
      </c>
      <c r="C460" s="4">
        <f>VLOOKUP($A460,[1]中未分析60315!$A:$M,9,0)</f>
        <v>29</v>
      </c>
      <c r="D460" s="4">
        <f>VLOOKUP($A460,[1]中未分析60315!$A:$M,10,0)</f>
        <v>28</v>
      </c>
      <c r="E460" s="4">
        <f>VLOOKUP($A460,[1]中未分析60315!$A:$M,11,0)</f>
        <v>27</v>
      </c>
      <c r="F460" s="4">
        <f>VLOOKUP($A460,[1]中未分析60315!$A:$M,12,0)</f>
        <v>25</v>
      </c>
      <c r="G460" s="4">
        <f>VLOOKUP($A460,[1]中未分析60315!$A:$M,13,0)</f>
        <v>24</v>
      </c>
      <c r="H460" s="3" t="s">
        <v>10</v>
      </c>
      <c r="I460" s="3" t="s">
        <v>907</v>
      </c>
    </row>
    <row r="461" customHeight="1" spans="1:9">
      <c r="A461" s="4" t="s">
        <v>908</v>
      </c>
      <c r="B461" s="4">
        <f>VLOOKUP($A461,[1]中未分析60315!$A:$M,8,0)</f>
        <v>50</v>
      </c>
      <c r="C461" s="4">
        <f>VLOOKUP($A461,[1]中未分析60315!$A:$M,9,0)</f>
        <v>49</v>
      </c>
      <c r="D461" s="4">
        <f>VLOOKUP($A461,[1]中未分析60315!$A:$M,10,0)</f>
        <v>48</v>
      </c>
      <c r="E461" s="4">
        <f>VLOOKUP($A461,[1]中未分析60315!$A:$M,11,0)</f>
        <v>48</v>
      </c>
      <c r="F461" s="4">
        <f>VLOOKUP($A461,[1]中未分析60315!$A:$M,12,0)</f>
        <v>47</v>
      </c>
      <c r="G461" s="4">
        <f>VLOOKUP($A461,[1]中未分析60315!$A:$M,13,0)</f>
        <v>46</v>
      </c>
      <c r="H461" s="3" t="s">
        <v>39</v>
      </c>
      <c r="I461" s="3" t="s">
        <v>909</v>
      </c>
    </row>
    <row r="462" customHeight="1" spans="1:9">
      <c r="A462" s="4" t="s">
        <v>910</v>
      </c>
      <c r="B462" s="4">
        <f>VLOOKUP($A462,[1]中未分析60315!$A:$M,8,0)</f>
        <v>53</v>
      </c>
      <c r="C462" s="4">
        <f>VLOOKUP($A462,[1]中未分析60315!$A:$M,9,0)</f>
        <v>52</v>
      </c>
      <c r="D462" s="4">
        <f>VLOOKUP($A462,[1]中未分析60315!$A:$M,10,0)</f>
        <v>51</v>
      </c>
      <c r="E462" s="4">
        <f>VLOOKUP($A462,[1]中未分析60315!$A:$M,11,0)</f>
        <v>50</v>
      </c>
      <c r="F462" s="4">
        <f>VLOOKUP($A462,[1]中未分析60315!$A:$M,12,0)</f>
        <v>49</v>
      </c>
      <c r="G462" s="4">
        <f>VLOOKUP($A462,[1]中未分析60315!$A:$M,13,0)</f>
        <v>49</v>
      </c>
      <c r="H462" s="3" t="s">
        <v>39</v>
      </c>
      <c r="I462" s="3" t="s">
        <v>911</v>
      </c>
    </row>
    <row r="463" customHeight="1" spans="1:9">
      <c r="A463" s="4" t="s">
        <v>912</v>
      </c>
      <c r="B463" s="4">
        <f>VLOOKUP($A463,[1]中未分析60315!$A:$M,8,0)</f>
        <v>46</v>
      </c>
      <c r="C463" s="4">
        <f>VLOOKUP($A463,[1]中未分析60315!$A:$M,9,0)</f>
        <v>45</v>
      </c>
      <c r="D463" s="4">
        <f>VLOOKUP($A463,[1]中未分析60315!$A:$M,10,0)</f>
        <v>45</v>
      </c>
      <c r="E463" s="4">
        <f>VLOOKUP($A463,[1]中未分析60315!$A:$M,11,0)</f>
        <v>44</v>
      </c>
      <c r="F463" s="4">
        <f>VLOOKUP($A463,[1]中未分析60315!$A:$M,12,0)</f>
        <v>44</v>
      </c>
      <c r="G463" s="4">
        <f>VLOOKUP($A463,[1]中未分析60315!$A:$M,13,0)</f>
        <v>43</v>
      </c>
      <c r="H463" s="3" t="s">
        <v>39</v>
      </c>
      <c r="I463" s="3" t="s">
        <v>913</v>
      </c>
    </row>
    <row r="464" customHeight="1" spans="1:9">
      <c r="A464" s="4" t="s">
        <v>914</v>
      </c>
      <c r="B464" s="4">
        <f>VLOOKUP($A464,[1]中未分析60315!$A:$M,8,0)</f>
        <v>46</v>
      </c>
      <c r="C464" s="4">
        <f>VLOOKUP($A464,[1]中未分析60315!$A:$M,9,0)</f>
        <v>45</v>
      </c>
      <c r="D464" s="4">
        <f>VLOOKUP($A464,[1]中未分析60315!$A:$M,10,0)</f>
        <v>45</v>
      </c>
      <c r="E464" s="4">
        <f>VLOOKUP($A464,[1]中未分析60315!$A:$M,11,0)</f>
        <v>44</v>
      </c>
      <c r="F464" s="4">
        <f>VLOOKUP($A464,[1]中未分析60315!$A:$M,12,0)</f>
        <v>44</v>
      </c>
      <c r="G464" s="4">
        <f>VLOOKUP($A464,[1]中未分析60315!$A:$M,13,0)</f>
        <v>43</v>
      </c>
      <c r="H464" s="3" t="s">
        <v>39</v>
      </c>
      <c r="I464" s="3" t="s">
        <v>915</v>
      </c>
    </row>
    <row r="465" customHeight="1" spans="1:9">
      <c r="A465" s="4" t="s">
        <v>916</v>
      </c>
      <c r="B465" s="4">
        <f>VLOOKUP($A465,[1]中未分析60315!$A:$M,8,0)</f>
        <v>62</v>
      </c>
      <c r="C465" s="4">
        <f>VLOOKUP($A465,[1]中未分析60315!$A:$M,9,0)</f>
        <v>59</v>
      </c>
      <c r="D465" s="4">
        <f>VLOOKUP($A465,[1]中未分析60315!$A:$M,10,0)</f>
        <v>57</v>
      </c>
      <c r="E465" s="4">
        <f>VLOOKUP($A465,[1]中未分析60315!$A:$M,11,0)</f>
        <v>55</v>
      </c>
      <c r="F465" s="4">
        <f>VLOOKUP($A465,[1]中未分析60315!$A:$M,12,0)</f>
        <v>52</v>
      </c>
      <c r="G465" s="4">
        <f>VLOOKUP($A465,[1]中未分析60315!$A:$M,13,0)</f>
        <v>50</v>
      </c>
      <c r="H465" s="3" t="s">
        <v>10</v>
      </c>
      <c r="I465" s="3" t="s">
        <v>917</v>
      </c>
    </row>
    <row r="466" customHeight="1" spans="1:9">
      <c r="A466" s="4" t="s">
        <v>918</v>
      </c>
      <c r="B466" s="4">
        <f>VLOOKUP($A466,[1]中未分析60315!$A:$M,8,0)</f>
        <v>33</v>
      </c>
      <c r="C466" s="4">
        <f>VLOOKUP($A466,[1]中未分析60315!$A:$M,9,0)</f>
        <v>31</v>
      </c>
      <c r="D466" s="4">
        <f>VLOOKUP($A466,[1]中未分析60315!$A:$M,10,0)</f>
        <v>30</v>
      </c>
      <c r="E466" s="4">
        <f>VLOOKUP($A466,[1]中未分析60315!$A:$M,11,0)</f>
        <v>29</v>
      </c>
      <c r="F466" s="4">
        <f>VLOOKUP($A466,[1]中未分析60315!$A:$M,12,0)</f>
        <v>28</v>
      </c>
      <c r="G466" s="4">
        <f>VLOOKUP($A466,[1]中未分析60315!$A:$M,13,0)</f>
        <v>27</v>
      </c>
      <c r="H466" s="3" t="s">
        <v>10</v>
      </c>
      <c r="I466" s="3" t="s">
        <v>919</v>
      </c>
    </row>
    <row r="467" customHeight="1" spans="1:9">
      <c r="A467" s="4" t="s">
        <v>920</v>
      </c>
      <c r="B467" s="4">
        <f>VLOOKUP($A467,[1]中未分析60315!$A:$M,8,0)</f>
        <v>42</v>
      </c>
      <c r="C467" s="4">
        <f>VLOOKUP($A467,[1]中未分析60315!$A:$M,9,0)</f>
        <v>40</v>
      </c>
      <c r="D467" s="4">
        <f>VLOOKUP($A467,[1]中未分析60315!$A:$M,10,0)</f>
        <v>39</v>
      </c>
      <c r="E467" s="4">
        <f>VLOOKUP($A467,[1]中未分析60315!$A:$M,11,0)</f>
        <v>37</v>
      </c>
      <c r="F467" s="4">
        <f>VLOOKUP($A467,[1]中未分析60315!$A:$M,12,0)</f>
        <v>36</v>
      </c>
      <c r="G467" s="4">
        <f>VLOOKUP($A467,[1]中未分析60315!$A:$M,13,0)</f>
        <v>34</v>
      </c>
      <c r="H467" s="3" t="s">
        <v>10</v>
      </c>
      <c r="I467" s="3" t="s">
        <v>921</v>
      </c>
    </row>
    <row r="468" customHeight="1" spans="1:9">
      <c r="A468" s="6" t="s">
        <v>922</v>
      </c>
      <c r="B468" s="4">
        <f>VLOOKUP($A468,[1]中未分析60315!$A:$M,8,0)</f>
        <v>47</v>
      </c>
      <c r="C468" s="4">
        <f>VLOOKUP($A468,[1]中未分析60315!$A:$M,9,0)</f>
        <v>46</v>
      </c>
      <c r="D468" s="4">
        <f>VLOOKUP($A468,[1]中未分析60315!$A:$M,10,0)</f>
        <v>45</v>
      </c>
      <c r="E468" s="4">
        <f>VLOOKUP($A468,[1]中未分析60315!$A:$M,11,0)</f>
        <v>44</v>
      </c>
      <c r="F468" s="4">
        <f>VLOOKUP($A468,[1]中未分析60315!$A:$M,12,0)</f>
        <v>44</v>
      </c>
      <c r="G468" s="4">
        <f>VLOOKUP($A468,[1]中未分析60315!$A:$M,13,0)</f>
        <v>43</v>
      </c>
      <c r="H468" s="3" t="s">
        <v>39</v>
      </c>
      <c r="I468" s="3" t="s">
        <v>791</v>
      </c>
    </row>
    <row r="469" customHeight="1" spans="1:9">
      <c r="A469" s="2" t="s">
        <v>923</v>
      </c>
      <c r="B469" s="4">
        <f>VLOOKUP($A469,[1]中未分析60315!$A:$M,8,0)</f>
        <v>34</v>
      </c>
      <c r="C469" s="4">
        <f>VLOOKUP($A469,[1]中未分析60315!$A:$M,9,0)</f>
        <v>33</v>
      </c>
      <c r="D469" s="4">
        <f>VLOOKUP($A469,[1]中未分析60315!$A:$M,10,0)</f>
        <v>32</v>
      </c>
      <c r="E469" s="4">
        <f>VLOOKUP($A469,[1]中未分析60315!$A:$M,11,0)</f>
        <v>31</v>
      </c>
      <c r="F469" s="4">
        <f>VLOOKUP($A469,[1]中未分析60315!$A:$M,12,0)</f>
        <v>29</v>
      </c>
      <c r="G469" s="4">
        <f>VLOOKUP($A469,[1]中未分析60315!$A:$M,13,0)</f>
        <v>28</v>
      </c>
      <c r="H469" s="3" t="s">
        <v>10</v>
      </c>
      <c r="I469" s="3" t="s">
        <v>924</v>
      </c>
    </row>
    <row r="470" customHeight="1" spans="1:9">
      <c r="A470" s="2" t="s">
        <v>925</v>
      </c>
      <c r="B470" s="4">
        <f>VLOOKUP($A470,[1]中未分析60315!$A:$M,8,0)</f>
        <v>34</v>
      </c>
      <c r="C470" s="4">
        <f>VLOOKUP($A470,[1]中未分析60315!$A:$M,9,0)</f>
        <v>33</v>
      </c>
      <c r="D470" s="4">
        <f>VLOOKUP($A470,[1]中未分析60315!$A:$M,10,0)</f>
        <v>32</v>
      </c>
      <c r="E470" s="4">
        <f>VLOOKUP($A470,[1]中未分析60315!$A:$M,11,0)</f>
        <v>30</v>
      </c>
      <c r="F470" s="4">
        <f>VLOOKUP($A470,[1]中未分析60315!$A:$M,12,0)</f>
        <v>29</v>
      </c>
      <c r="G470" s="4">
        <f>VLOOKUP($A470,[1]中未分析60315!$A:$M,13,0)</f>
        <v>28</v>
      </c>
      <c r="H470" s="3" t="s">
        <v>10</v>
      </c>
      <c r="I470" s="3" t="s">
        <v>926</v>
      </c>
    </row>
    <row r="471" customHeight="1" spans="1:9">
      <c r="A471" s="7" t="s">
        <v>927</v>
      </c>
      <c r="B471" s="4">
        <f>VLOOKUP($A471,[1]中未分析60315!$A:$M,8,0)</f>
        <v>38</v>
      </c>
      <c r="C471" s="4">
        <f>VLOOKUP($A471,[1]中未分析60315!$A:$M,9,0)</f>
        <v>36</v>
      </c>
      <c r="D471" s="4">
        <f>VLOOKUP($A471,[1]中未分析60315!$A:$M,10,0)</f>
        <v>35</v>
      </c>
      <c r="E471" s="4">
        <f>VLOOKUP($A471,[1]中未分析60315!$A:$M,11,0)</f>
        <v>34</v>
      </c>
      <c r="F471" s="4">
        <f>VLOOKUP($A471,[1]中未分析60315!$A:$M,12,0)</f>
        <v>32</v>
      </c>
      <c r="G471" s="4">
        <f>VLOOKUP($A471,[1]中未分析60315!$A:$M,13,0)</f>
        <v>31</v>
      </c>
      <c r="H471" s="3" t="s">
        <v>10</v>
      </c>
      <c r="I471" s="3" t="s">
        <v>928</v>
      </c>
    </row>
    <row r="472" customHeight="1" spans="1:9">
      <c r="A472" s="7" t="s">
        <v>929</v>
      </c>
      <c r="B472" s="4">
        <f>VLOOKUP($A472,[1]中未分析60315!$A:$M,8,0)</f>
        <v>44</v>
      </c>
      <c r="C472" s="4">
        <f>VLOOKUP($A472,[1]中未分析60315!$A:$M,9,0)</f>
        <v>43</v>
      </c>
      <c r="D472" s="4">
        <f>VLOOKUP($A472,[1]中未分析60315!$A:$M,10,0)</f>
        <v>41</v>
      </c>
      <c r="E472" s="4">
        <f>VLOOKUP($A472,[1]中未分析60315!$A:$M,11,0)</f>
        <v>39</v>
      </c>
      <c r="F472" s="4">
        <f>VLOOKUP($A472,[1]中未分析60315!$A:$M,12,0)</f>
        <v>38</v>
      </c>
      <c r="G472" s="4">
        <f>VLOOKUP($A472,[1]中未分析60315!$A:$M,13,0)</f>
        <v>36</v>
      </c>
      <c r="H472" s="3" t="s">
        <v>10</v>
      </c>
      <c r="I472" s="3" t="s">
        <v>930</v>
      </c>
    </row>
    <row r="473" customHeight="1" spans="1:9">
      <c r="A473" s="2" t="s">
        <v>931</v>
      </c>
      <c r="B473" s="4">
        <f>VLOOKUP($A473,[1]中未分析60315!$A:$M,8,0)</f>
        <v>44</v>
      </c>
      <c r="C473" s="4">
        <f>VLOOKUP($A473,[1]中未分析60315!$A:$M,9,0)</f>
        <v>43</v>
      </c>
      <c r="D473" s="4">
        <f>VLOOKUP($A473,[1]中未分析60315!$A:$M,10,0)</f>
        <v>41</v>
      </c>
      <c r="E473" s="4">
        <f>VLOOKUP($A473,[1]中未分析60315!$A:$M,11,0)</f>
        <v>39</v>
      </c>
      <c r="F473" s="4">
        <f>VLOOKUP($A473,[1]中未分析60315!$A:$M,12,0)</f>
        <v>38</v>
      </c>
      <c r="G473" s="4">
        <f>VLOOKUP($A473,[1]中未分析60315!$A:$M,13,0)</f>
        <v>36</v>
      </c>
      <c r="H473" s="3" t="s">
        <v>10</v>
      </c>
      <c r="I473" s="3" t="s">
        <v>932</v>
      </c>
    </row>
    <row r="474" customHeight="1" spans="1:9">
      <c r="A474" s="6" t="s">
        <v>933</v>
      </c>
      <c r="B474" s="4">
        <f>VLOOKUP($A474,[1]中未分析60315!$A:$M,8,0)</f>
        <v>52</v>
      </c>
      <c r="C474" s="4">
        <f>VLOOKUP($A474,[1]中未分析60315!$A:$M,9,0)</f>
        <v>52</v>
      </c>
      <c r="D474" s="4">
        <f>VLOOKUP($A474,[1]中未分析60315!$A:$M,10,0)</f>
        <v>51</v>
      </c>
      <c r="E474" s="4">
        <f>VLOOKUP($A474,[1]中未分析60315!$A:$M,11,0)</f>
        <v>50</v>
      </c>
      <c r="F474" s="4">
        <f>VLOOKUP($A474,[1]中未分析60315!$A:$M,12,0)</f>
        <v>49</v>
      </c>
      <c r="G474" s="4">
        <f>VLOOKUP($A474,[1]中未分析60315!$A:$M,13,0)</f>
        <v>49</v>
      </c>
      <c r="H474" s="3" t="s">
        <v>39</v>
      </c>
      <c r="I474" s="3">
        <v>0</v>
      </c>
    </row>
    <row r="475" customHeight="1" spans="1:9">
      <c r="A475" s="6" t="s">
        <v>934</v>
      </c>
      <c r="B475" s="4">
        <f>VLOOKUP($A475,[1]中未分析60315!$A:$M,8,0)</f>
        <v>38</v>
      </c>
      <c r="C475" s="4">
        <f>VLOOKUP($A475,[1]中未分析60315!$A:$M,9,0)</f>
        <v>37</v>
      </c>
      <c r="D475" s="4">
        <f>VLOOKUP($A475,[1]中未分析60315!$A:$M,10,0)</f>
        <v>35</v>
      </c>
      <c r="E475" s="4">
        <f>VLOOKUP($A475,[1]中未分析60315!$A:$M,11,0)</f>
        <v>34</v>
      </c>
      <c r="F475" s="4">
        <f>VLOOKUP($A475,[1]中未分析60315!$A:$M,12,0)</f>
        <v>33</v>
      </c>
      <c r="G475" s="4">
        <f>VLOOKUP($A475,[1]中未分析60315!$A:$M,13,0)</f>
        <v>31</v>
      </c>
      <c r="H475" s="3" t="s">
        <v>10</v>
      </c>
      <c r="I475" s="3" t="s">
        <v>31</v>
      </c>
    </row>
    <row r="476" customHeight="1" spans="1:9">
      <c r="A476" s="2" t="s">
        <v>935</v>
      </c>
      <c r="B476" s="4">
        <f>VLOOKUP($A476,[1]中未分析60315!$A:$M,8,0)</f>
        <v>29</v>
      </c>
      <c r="C476" s="4">
        <f>VLOOKUP($A476,[1]中未分析60315!$A:$M,9,0)</f>
        <v>28</v>
      </c>
      <c r="D476" s="4">
        <f>VLOOKUP($A476,[1]中未分析60315!$A:$M,10,0)</f>
        <v>28</v>
      </c>
      <c r="E476" s="4">
        <f>VLOOKUP($A476,[1]中未分析60315!$A:$M,11,0)</f>
        <v>27</v>
      </c>
      <c r="F476" s="4">
        <f>VLOOKUP($A476,[1]中未分析60315!$A:$M,12,0)</f>
        <v>27</v>
      </c>
      <c r="G476" s="4">
        <f>VLOOKUP($A476,[1]中未分析60315!$A:$M,13,0)</f>
        <v>27</v>
      </c>
      <c r="H476" s="3" t="s">
        <v>39</v>
      </c>
      <c r="I476" s="3" t="s">
        <v>936</v>
      </c>
    </row>
    <row r="477" customHeight="1" spans="1:9">
      <c r="A477" s="2" t="s">
        <v>937</v>
      </c>
      <c r="B477" s="4">
        <f>VLOOKUP($A477,[1]中未分析60315!$A:$M,8,0)</f>
        <v>44</v>
      </c>
      <c r="C477" s="4">
        <f>VLOOKUP($A477,[1]中未分析60315!$A:$M,9,0)</f>
        <v>42</v>
      </c>
      <c r="D477" s="4">
        <f>VLOOKUP($A477,[1]中未分析60315!$A:$M,10,0)</f>
        <v>41</v>
      </c>
      <c r="E477" s="4">
        <f>VLOOKUP($A477,[1]中未分析60315!$A:$M,11,0)</f>
        <v>39</v>
      </c>
      <c r="F477" s="4">
        <f>VLOOKUP($A477,[1]中未分析60315!$A:$M,12,0)</f>
        <v>37</v>
      </c>
      <c r="G477" s="4">
        <f>VLOOKUP($A477,[1]中未分析60315!$A:$M,13,0)</f>
        <v>36</v>
      </c>
      <c r="H477" s="3" t="s">
        <v>10</v>
      </c>
      <c r="I477" s="3" t="s">
        <v>938</v>
      </c>
    </row>
    <row r="478" customHeight="1" spans="1:9">
      <c r="A478" s="8" t="s">
        <v>939</v>
      </c>
      <c r="B478" s="4">
        <f>VLOOKUP($A478,[1]中未分析60315!$A:$M,8,0)</f>
        <v>45</v>
      </c>
      <c r="C478" s="4">
        <f>VLOOKUP($A478,[1]中未分析60315!$A:$M,9,0)</f>
        <v>43</v>
      </c>
      <c r="D478" s="4">
        <f>VLOOKUP($A478,[1]中未分析60315!$A:$M,10,0)</f>
        <v>42</v>
      </c>
      <c r="E478" s="4">
        <f>VLOOKUP($A478,[1]中未分析60315!$A:$M,11,0)</f>
        <v>40</v>
      </c>
      <c r="F478" s="4">
        <f>VLOOKUP($A478,[1]中未分析60315!$A:$M,12,0)</f>
        <v>38</v>
      </c>
      <c r="G478" s="4">
        <f>VLOOKUP($A478,[1]中未分析60315!$A:$M,13,0)</f>
        <v>37</v>
      </c>
      <c r="H478" s="3" t="s">
        <v>10</v>
      </c>
      <c r="I478" s="3" t="s">
        <v>940</v>
      </c>
    </row>
    <row r="479" customHeight="1" spans="1:9">
      <c r="A479" s="8" t="s">
        <v>941</v>
      </c>
      <c r="B479" s="4">
        <f>VLOOKUP($A479,[1]中未分析60315!$A:$M,8,0)</f>
        <v>45</v>
      </c>
      <c r="C479" s="4">
        <f>VLOOKUP($A479,[1]中未分析60315!$A:$M,9,0)</f>
        <v>45</v>
      </c>
      <c r="D479" s="4">
        <f>VLOOKUP($A479,[1]中未分析60315!$A:$M,10,0)</f>
        <v>44</v>
      </c>
      <c r="E479" s="4">
        <f>VLOOKUP($A479,[1]中未分析60315!$A:$M,11,0)</f>
        <v>43</v>
      </c>
      <c r="F479" s="4">
        <f>VLOOKUP($A479,[1]中未分析60315!$A:$M,12,0)</f>
        <v>43</v>
      </c>
      <c r="G479" s="4">
        <f>VLOOKUP($A479,[1]中未分析60315!$A:$M,13,0)</f>
        <v>42</v>
      </c>
      <c r="H479" s="3" t="s">
        <v>39</v>
      </c>
      <c r="I479" s="3" t="s">
        <v>942</v>
      </c>
    </row>
    <row r="480" customHeight="1" spans="1:9">
      <c r="A480" s="9" t="s">
        <v>943</v>
      </c>
      <c r="B480" s="4">
        <f>VLOOKUP($A480,[1]中未分析60315!$A:$M,8,0)</f>
        <v>51</v>
      </c>
      <c r="C480" s="4">
        <f>VLOOKUP($A480,[1]中未分析60315!$A:$M,9,0)</f>
        <v>50</v>
      </c>
      <c r="D480" s="4">
        <f>VLOOKUP($A480,[1]中未分析60315!$A:$M,10,0)</f>
        <v>49</v>
      </c>
      <c r="E480" s="4">
        <f>VLOOKUP($A480,[1]中未分析60315!$A:$M,11,0)</f>
        <v>48</v>
      </c>
      <c r="F480" s="4">
        <f>VLOOKUP($A480,[1]中未分析60315!$A:$M,12,0)</f>
        <v>48</v>
      </c>
      <c r="G480" s="4">
        <f>VLOOKUP($A480,[1]中未分析60315!$A:$M,13,0)</f>
        <v>47</v>
      </c>
      <c r="H480" s="3" t="s">
        <v>39</v>
      </c>
      <c r="I480" s="3" t="s">
        <v>944</v>
      </c>
    </row>
    <row r="481" customHeight="1" spans="1:9">
      <c r="A481" s="6" t="s">
        <v>945</v>
      </c>
      <c r="B481" s="4">
        <f>VLOOKUP($A481,[1]中未分析60315!$A:$M,8,0)</f>
        <v>43</v>
      </c>
      <c r="C481" s="4">
        <f>VLOOKUP($A481,[1]中未分析60315!$A:$M,9,0)</f>
        <v>42</v>
      </c>
      <c r="D481" s="4">
        <f>VLOOKUP($A481,[1]中未分析60315!$A:$M,10,0)</f>
        <v>40</v>
      </c>
      <c r="E481" s="4">
        <f>VLOOKUP($A481,[1]中未分析60315!$A:$M,11,0)</f>
        <v>39</v>
      </c>
      <c r="F481" s="4">
        <f>VLOOKUP($A481,[1]中未分析60315!$A:$M,12,0)</f>
        <v>37</v>
      </c>
      <c r="G481" s="4">
        <f>VLOOKUP($A481,[1]中未分析60315!$A:$M,13,0)</f>
        <v>35</v>
      </c>
      <c r="H481" s="3" t="s">
        <v>10</v>
      </c>
      <c r="I481" s="3" t="s">
        <v>946</v>
      </c>
    </row>
    <row r="482" customHeight="1" spans="1:9">
      <c r="A482" s="2" t="s">
        <v>947</v>
      </c>
      <c r="B482" s="4">
        <f>VLOOKUP($A482,[1]中未分析60315!$A:$M,8,0)</f>
        <v>34</v>
      </c>
      <c r="C482" s="4">
        <f>VLOOKUP($A482,[1]中未分析60315!$A:$M,9,0)</f>
        <v>33</v>
      </c>
      <c r="D482" s="4">
        <f>VLOOKUP($A482,[1]中未分析60315!$A:$M,10,0)</f>
        <v>32</v>
      </c>
      <c r="E482" s="4">
        <f>VLOOKUP($A482,[1]中未分析60315!$A:$M,11,0)</f>
        <v>30</v>
      </c>
      <c r="F482" s="4">
        <f>VLOOKUP($A482,[1]中未分析60315!$A:$M,12,0)</f>
        <v>29</v>
      </c>
      <c r="G482" s="4">
        <f>VLOOKUP($A482,[1]中未分析60315!$A:$M,13,0)</f>
        <v>28</v>
      </c>
      <c r="H482" s="3" t="s">
        <v>10</v>
      </c>
      <c r="I482" s="3" t="s">
        <v>948</v>
      </c>
    </row>
    <row r="483" customHeight="1" spans="1:9">
      <c r="A483" s="10" t="s">
        <v>949</v>
      </c>
      <c r="B483" s="4">
        <f>VLOOKUP($A483,[1]中未分析60315!$A:$M,8,0)</f>
        <v>56</v>
      </c>
      <c r="C483" s="4">
        <f>VLOOKUP($A483,[1]中未分析60315!$A:$M,9,0)</f>
        <v>55</v>
      </c>
      <c r="D483" s="4">
        <f>VLOOKUP($A483,[1]中未分析60315!$A:$M,10,0)</f>
        <v>54</v>
      </c>
      <c r="E483" s="4">
        <f>VLOOKUP($A483,[1]中未分析60315!$A:$M,11,0)</f>
        <v>53</v>
      </c>
      <c r="F483" s="4">
        <f>VLOOKUP($A483,[1]中未分析60315!$A:$M,12,0)</f>
        <v>53</v>
      </c>
      <c r="G483" s="4">
        <f>VLOOKUP($A483,[1]中未分析60315!$A:$M,13,0)</f>
        <v>52</v>
      </c>
      <c r="H483" s="3" t="s">
        <v>39</v>
      </c>
      <c r="I483" s="3" t="s">
        <v>950</v>
      </c>
    </row>
    <row r="484" customHeight="1" spans="1:9">
      <c r="A484" s="9" t="s">
        <v>951</v>
      </c>
      <c r="B484" s="4">
        <f>VLOOKUP($A484,[1]中未分析60315!$A:$M,8,0)</f>
        <v>74</v>
      </c>
      <c r="C484" s="4">
        <f>VLOOKUP($A484,[1]中未分析60315!$A:$M,9,0)</f>
        <v>73</v>
      </c>
      <c r="D484" s="4">
        <f>VLOOKUP($A484,[1]中未分析60315!$A:$M,10,0)</f>
        <v>71</v>
      </c>
      <c r="E484" s="4">
        <f>VLOOKUP($A484,[1]中未分析60315!$A:$M,11,0)</f>
        <v>70</v>
      </c>
      <c r="F484" s="4">
        <f>VLOOKUP($A484,[1]中未分析60315!$A:$M,12,0)</f>
        <v>70</v>
      </c>
      <c r="G484" s="4">
        <f>VLOOKUP($A484,[1]中未分析60315!$A:$M,13,0)</f>
        <v>68</v>
      </c>
      <c r="H484" s="3" t="s">
        <v>39</v>
      </c>
      <c r="I484" s="3" t="s">
        <v>952</v>
      </c>
    </row>
    <row r="485" customHeight="1" spans="1:9">
      <c r="A485" s="6" t="s">
        <v>953</v>
      </c>
      <c r="B485" s="4">
        <f>VLOOKUP($A485,[1]中未分析60315!$A:$M,8,0)</f>
        <v>48</v>
      </c>
      <c r="C485" s="4">
        <f>VLOOKUP($A485,[1]中未分析60315!$A:$M,9,0)</f>
        <v>46</v>
      </c>
      <c r="D485" s="4">
        <f>VLOOKUP($A485,[1]中未分析60315!$A:$M,10,0)</f>
        <v>44</v>
      </c>
      <c r="E485" s="4">
        <f>VLOOKUP($A485,[1]中未分析60315!$A:$M,11,0)</f>
        <v>43</v>
      </c>
      <c r="F485" s="4">
        <f>VLOOKUP($A485,[1]中未分析60315!$A:$M,12,0)</f>
        <v>41</v>
      </c>
      <c r="G485" s="4">
        <f>VLOOKUP($A485,[1]中未分析60315!$A:$M,13,0)</f>
        <v>39</v>
      </c>
      <c r="H485" s="3" t="s">
        <v>10</v>
      </c>
      <c r="I485" s="3" t="s">
        <v>954</v>
      </c>
    </row>
    <row r="486" customHeight="1" spans="1:9">
      <c r="A486" s="9" t="s">
        <v>955</v>
      </c>
      <c r="B486" s="4">
        <f>VLOOKUP($A486,[1]中未分析60315!$A:$M,8,0)</f>
        <v>35</v>
      </c>
      <c r="C486" s="4">
        <f>VLOOKUP($A486,[1]中未分析60315!$A:$M,9,0)</f>
        <v>33</v>
      </c>
      <c r="D486" s="4">
        <f>VLOOKUP($A486,[1]中未分析60315!$A:$M,10,0)</f>
        <v>32</v>
      </c>
      <c r="E486" s="4">
        <f>VLOOKUP($A486,[1]中未分析60315!$A:$M,11,0)</f>
        <v>31</v>
      </c>
      <c r="F486" s="4">
        <f>VLOOKUP($A486,[1]中未分析60315!$A:$M,12,0)</f>
        <v>30</v>
      </c>
      <c r="G486" s="4">
        <f>VLOOKUP($A486,[1]中未分析60315!$A:$M,13,0)</f>
        <v>28</v>
      </c>
      <c r="H486" s="3" t="s">
        <v>10</v>
      </c>
      <c r="I486" s="3" t="s">
        <v>956</v>
      </c>
    </row>
    <row r="487" customHeight="1" spans="1:9">
      <c r="A487" s="6" t="s">
        <v>957</v>
      </c>
      <c r="B487" s="4">
        <f>VLOOKUP($A487,[1]中未分析60315!$A:$M,8,0)</f>
        <v>29</v>
      </c>
      <c r="C487" s="4">
        <f>VLOOKUP($A487,[1]中未分析60315!$A:$M,9,0)</f>
        <v>28</v>
      </c>
      <c r="D487" s="4">
        <f>VLOOKUP($A487,[1]中未分析60315!$A:$M,10,0)</f>
        <v>27</v>
      </c>
      <c r="E487" s="4">
        <f>VLOOKUP($A487,[1]中未分析60315!$A:$M,11,0)</f>
        <v>26</v>
      </c>
      <c r="F487" s="4">
        <f>VLOOKUP($A487,[1]中未分析60315!$A:$M,12,0)</f>
        <v>25</v>
      </c>
      <c r="G487" s="4">
        <f>VLOOKUP($A487,[1]中未分析60315!$A:$M,13,0)</f>
        <v>24</v>
      </c>
      <c r="H487" s="3" t="s">
        <v>10</v>
      </c>
      <c r="I487" s="3" t="s">
        <v>958</v>
      </c>
    </row>
    <row r="488" customHeight="1" spans="1:9">
      <c r="A488" s="10" t="s">
        <v>959</v>
      </c>
      <c r="B488" s="4">
        <f>VLOOKUP($A488,[1]中未分析60315!$A:$M,8,0)</f>
        <v>36</v>
      </c>
      <c r="C488" s="4">
        <f>VLOOKUP($A488,[1]中未分析60315!$A:$M,9,0)</f>
        <v>36</v>
      </c>
      <c r="D488" s="4">
        <f>VLOOKUP($A488,[1]中未分析60315!$A:$M,10,0)</f>
        <v>35</v>
      </c>
      <c r="E488" s="4">
        <f>VLOOKUP($A488,[1]中未分析60315!$A:$M,11,0)</f>
        <v>34</v>
      </c>
      <c r="F488" s="4">
        <f>VLOOKUP($A488,[1]中未分析60315!$A:$M,12,0)</f>
        <v>34</v>
      </c>
      <c r="G488" s="4">
        <f>VLOOKUP($A488,[1]中未分析60315!$A:$M,13,0)</f>
        <v>34</v>
      </c>
      <c r="H488" s="3" t="s">
        <v>39</v>
      </c>
      <c r="I488" s="3" t="s">
        <v>960</v>
      </c>
    </row>
    <row r="489" customHeight="1" spans="1:9">
      <c r="A489" s="10" t="s">
        <v>961</v>
      </c>
      <c r="B489" s="4">
        <f>VLOOKUP($A489,[1]中未分析60315!$A:$M,8,0)</f>
        <v>50</v>
      </c>
      <c r="C489" s="4">
        <f>VLOOKUP($A489,[1]中未分析60315!$A:$M,9,0)</f>
        <v>49</v>
      </c>
      <c r="D489" s="4">
        <f>VLOOKUP($A489,[1]中未分析60315!$A:$M,10,0)</f>
        <v>48</v>
      </c>
      <c r="E489" s="4">
        <f>VLOOKUP($A489,[1]中未分析60315!$A:$M,11,0)</f>
        <v>47</v>
      </c>
      <c r="F489" s="4">
        <f>VLOOKUP($A489,[1]中未分析60315!$A:$M,12,0)</f>
        <v>47</v>
      </c>
      <c r="G489" s="4">
        <f>VLOOKUP($A489,[1]中未分析60315!$A:$M,13,0)</f>
        <v>46</v>
      </c>
      <c r="H489" s="3" t="s">
        <v>39</v>
      </c>
      <c r="I489" s="3" t="s">
        <v>962</v>
      </c>
    </row>
    <row r="490" customHeight="1" spans="1:9">
      <c r="A490" s="9" t="s">
        <v>963</v>
      </c>
      <c r="B490" s="4">
        <f>VLOOKUP($A490,[1]中未分析60315!$A:$M,8,0)</f>
        <v>50</v>
      </c>
      <c r="C490" s="4">
        <f>VLOOKUP($A490,[1]中未分析60315!$A:$M,9,0)</f>
        <v>49</v>
      </c>
      <c r="D490" s="4">
        <f>VLOOKUP($A490,[1]中未分析60315!$A:$M,10,0)</f>
        <v>48</v>
      </c>
      <c r="E490" s="4">
        <f>VLOOKUP($A490,[1]中未分析60315!$A:$M,11,0)</f>
        <v>47</v>
      </c>
      <c r="F490" s="4">
        <f>VLOOKUP($A490,[1]中未分析60315!$A:$M,12,0)</f>
        <v>47</v>
      </c>
      <c r="G490" s="4">
        <f>VLOOKUP($A490,[1]中未分析60315!$A:$M,13,0)</f>
        <v>46</v>
      </c>
      <c r="H490" s="3" t="s">
        <v>39</v>
      </c>
      <c r="I490" s="3" t="s">
        <v>964</v>
      </c>
    </row>
    <row r="491" customHeight="1" spans="1:9">
      <c r="A491" s="9" t="s">
        <v>965</v>
      </c>
      <c r="B491" s="4">
        <f>VLOOKUP($A491,[1]中未分析60315!$A:$M,8,0)</f>
        <v>40</v>
      </c>
      <c r="C491" s="4">
        <f>VLOOKUP($A491,[1]中未分析60315!$A:$M,9,0)</f>
        <v>39</v>
      </c>
      <c r="D491" s="4">
        <f>VLOOKUP($A491,[1]中未分析60315!$A:$M,10,0)</f>
        <v>39</v>
      </c>
      <c r="E491" s="4">
        <f>VLOOKUP($A491,[1]中未分析60315!$A:$M,11,0)</f>
        <v>38</v>
      </c>
      <c r="F491" s="4">
        <f>VLOOKUP($A491,[1]中未分析60315!$A:$M,12,0)</f>
        <v>38</v>
      </c>
      <c r="G491" s="4">
        <f>VLOOKUP($A491,[1]中未分析60315!$A:$M,13,0)</f>
        <v>37</v>
      </c>
      <c r="H491" s="3" t="s">
        <v>39</v>
      </c>
      <c r="I491" s="3" t="s">
        <v>966</v>
      </c>
    </row>
    <row r="492" customHeight="1" spans="1:9">
      <c r="A492" s="6" t="s">
        <v>967</v>
      </c>
      <c r="B492" s="4">
        <f>VLOOKUP($A492,[1]中未分析60315!$A:$M,8,0)</f>
        <v>53</v>
      </c>
      <c r="C492" s="4">
        <f>VLOOKUP($A492,[1]中未分析60315!$A:$M,9,0)</f>
        <v>52</v>
      </c>
      <c r="D492" s="4">
        <f>VLOOKUP($A492,[1]中未分析60315!$A:$M,10,0)</f>
        <v>51</v>
      </c>
      <c r="E492" s="4">
        <f>VLOOKUP($A492,[1]中未分析60315!$A:$M,11,0)</f>
        <v>50</v>
      </c>
      <c r="F492" s="4">
        <f>VLOOKUP($A492,[1]中未分析60315!$A:$M,12,0)</f>
        <v>50</v>
      </c>
      <c r="G492" s="4">
        <f>VLOOKUP($A492,[1]中未分析60315!$A:$M,13,0)</f>
        <v>49</v>
      </c>
      <c r="H492" s="3" t="s">
        <v>39</v>
      </c>
      <c r="I492" s="3" t="s">
        <v>968</v>
      </c>
    </row>
    <row r="493" customHeight="1" spans="1:9">
      <c r="A493" s="2" t="s">
        <v>969</v>
      </c>
      <c r="B493" s="4">
        <f>VLOOKUP($A493,[1]中未分析60315!$A:$M,8,0)</f>
        <v>25</v>
      </c>
      <c r="C493" s="4">
        <f>VLOOKUP($A493,[1]中未分析60315!$A:$M,9,0)</f>
        <v>24</v>
      </c>
      <c r="D493" s="4">
        <f>VLOOKUP($A493,[1]中未分析60315!$A:$M,10,0)</f>
        <v>23</v>
      </c>
      <c r="E493" s="4">
        <f>VLOOKUP($A493,[1]中未分析60315!$A:$M,11,0)</f>
        <v>22</v>
      </c>
      <c r="F493" s="4">
        <f>VLOOKUP($A493,[1]中未分析60315!$A:$M,12,0)</f>
        <v>21</v>
      </c>
      <c r="G493" s="4">
        <f>VLOOKUP($A493,[1]中未分析60315!$A:$M,13,0)</f>
        <v>20</v>
      </c>
      <c r="H493" s="3" t="s">
        <v>10</v>
      </c>
      <c r="I493" s="3" t="s">
        <v>970</v>
      </c>
    </row>
    <row r="494" customHeight="1" spans="1:9">
      <c r="A494" s="10" t="s">
        <v>971</v>
      </c>
      <c r="B494" s="4">
        <f>VLOOKUP($A494,[1]中未分析60315!$A:$M,8,0)</f>
        <v>27</v>
      </c>
      <c r="C494" s="4">
        <f>VLOOKUP($A494,[1]中未分析60315!$A:$M,9,0)</f>
        <v>26</v>
      </c>
      <c r="D494" s="4">
        <f>VLOOKUP($A494,[1]中未分析60315!$A:$M,10,0)</f>
        <v>25</v>
      </c>
      <c r="E494" s="4">
        <f>VLOOKUP($A494,[1]中未分析60315!$A:$M,11,0)</f>
        <v>24</v>
      </c>
      <c r="F494" s="4">
        <f>VLOOKUP($A494,[1]中未分析60315!$A:$M,12,0)</f>
        <v>23</v>
      </c>
      <c r="G494" s="4">
        <f>VLOOKUP($A494,[1]中未分析60315!$A:$M,13,0)</f>
        <v>22</v>
      </c>
      <c r="H494" s="3" t="s">
        <v>10</v>
      </c>
      <c r="I494" s="3" t="s">
        <v>972</v>
      </c>
    </row>
    <row r="495" customHeight="1" spans="1:9">
      <c r="A495" s="10" t="s">
        <v>973</v>
      </c>
      <c r="B495" s="4">
        <f>VLOOKUP($A495,[1]中未分析60315!$A:$M,8,0)</f>
        <v>50</v>
      </c>
      <c r="C495" s="4">
        <f>VLOOKUP($A495,[1]中未分析60315!$A:$M,9,0)</f>
        <v>49</v>
      </c>
      <c r="D495" s="4">
        <f>VLOOKUP($A495,[1]中未分析60315!$A:$M,10,0)</f>
        <v>48</v>
      </c>
      <c r="E495" s="4">
        <f>VLOOKUP($A495,[1]中未分析60315!$A:$M,11,0)</f>
        <v>47</v>
      </c>
      <c r="F495" s="4">
        <f>VLOOKUP($A495,[1]中未分析60315!$A:$M,12,0)</f>
        <v>47</v>
      </c>
      <c r="G495" s="4">
        <f>VLOOKUP($A495,[1]中未分析60315!$A:$M,13,0)</f>
        <v>46</v>
      </c>
      <c r="H495" s="3" t="s">
        <v>39</v>
      </c>
      <c r="I495" s="3" t="s">
        <v>974</v>
      </c>
    </row>
    <row r="496" customHeight="1" spans="1:9">
      <c r="A496" s="10" t="s">
        <v>975</v>
      </c>
      <c r="B496" s="4">
        <f>VLOOKUP($A496,[1]中未分析60315!$A:$M,8,0)</f>
        <v>36</v>
      </c>
      <c r="C496" s="4">
        <f>VLOOKUP($A496,[1]中未分析60315!$A:$M,9,0)</f>
        <v>36</v>
      </c>
      <c r="D496" s="4">
        <f>VLOOKUP($A496,[1]中未分析60315!$A:$M,10,0)</f>
        <v>35</v>
      </c>
      <c r="E496" s="4">
        <f>VLOOKUP($A496,[1]中未分析60315!$A:$M,11,0)</f>
        <v>34</v>
      </c>
      <c r="F496" s="4">
        <f>VLOOKUP($A496,[1]中未分析60315!$A:$M,12,0)</f>
        <v>34</v>
      </c>
      <c r="G496" s="4">
        <f>VLOOKUP($A496,[1]中未分析60315!$A:$M,13,0)</f>
        <v>34</v>
      </c>
      <c r="H496" s="3" t="s">
        <v>39</v>
      </c>
      <c r="I496" s="3" t="s">
        <v>976</v>
      </c>
    </row>
    <row r="497" customHeight="1" spans="1:9">
      <c r="A497" s="6" t="s">
        <v>977</v>
      </c>
      <c r="B497" s="4">
        <f>VLOOKUP($A497,[1]中未分析60315!$A:$M,8,0)</f>
        <v>33</v>
      </c>
      <c r="C497" s="4">
        <f>VLOOKUP($A497,[1]中未分析60315!$A:$M,9,0)</f>
        <v>32</v>
      </c>
      <c r="D497" s="4">
        <f>VLOOKUP($A497,[1]中未分析60315!$A:$M,10,0)</f>
        <v>31</v>
      </c>
      <c r="E497" s="4">
        <f>VLOOKUP($A497,[1]中未分析60315!$A:$M,11,0)</f>
        <v>30</v>
      </c>
      <c r="F497" s="4">
        <f>VLOOKUP($A497,[1]中未分析60315!$A:$M,12,0)</f>
        <v>28</v>
      </c>
      <c r="G497" s="4">
        <f>VLOOKUP($A497,[1]中未分析60315!$A:$M,13,0)</f>
        <v>27</v>
      </c>
      <c r="H497" s="3" t="s">
        <v>10</v>
      </c>
      <c r="I497" s="3" t="s">
        <v>978</v>
      </c>
    </row>
    <row r="498" customHeight="1" spans="1:9">
      <c r="A498" s="6" t="s">
        <v>979</v>
      </c>
      <c r="B498" s="4">
        <f>VLOOKUP($A498,[1]中未分析60315!$A:$M,8,0)</f>
        <v>44</v>
      </c>
      <c r="C498" s="4">
        <f>VLOOKUP($A498,[1]中未分析60315!$A:$M,9,0)</f>
        <v>42</v>
      </c>
      <c r="D498" s="4">
        <f>VLOOKUP($A498,[1]中未分析60315!$A:$M,10,0)</f>
        <v>41</v>
      </c>
      <c r="E498" s="4">
        <f>VLOOKUP($A498,[1]中未分析60315!$A:$M,11,0)</f>
        <v>39</v>
      </c>
      <c r="F498" s="4">
        <f>VLOOKUP($A498,[1]中未分析60315!$A:$M,12,0)</f>
        <v>38</v>
      </c>
      <c r="G498" s="4">
        <f>VLOOKUP($A498,[1]中未分析60315!$A:$M,13,0)</f>
        <v>36</v>
      </c>
      <c r="H498" s="3" t="s">
        <v>10</v>
      </c>
      <c r="I498" s="3" t="s">
        <v>980</v>
      </c>
    </row>
    <row r="499" customHeight="1" spans="1:9">
      <c r="A499" s="2" t="s">
        <v>981</v>
      </c>
      <c r="B499" s="4">
        <f>VLOOKUP($A499,[1]中未分析60315!$A:$M,8,0)</f>
        <v>65</v>
      </c>
      <c r="C499" s="4">
        <f>VLOOKUP($A499,[1]中未分析60315!$A:$M,9,0)</f>
        <v>64</v>
      </c>
      <c r="D499" s="4">
        <f>VLOOKUP($A499,[1]中未分析60315!$A:$M,10,0)</f>
        <v>63</v>
      </c>
      <c r="E499" s="4">
        <f>VLOOKUP($A499,[1]中未分析60315!$A:$M,11,0)</f>
        <v>62</v>
      </c>
      <c r="F499" s="4">
        <f>VLOOKUP($A499,[1]中未分析60315!$A:$M,12,0)</f>
        <v>62</v>
      </c>
      <c r="G499" s="4">
        <f>VLOOKUP($A499,[1]中未分析60315!$A:$M,13,0)</f>
        <v>61</v>
      </c>
      <c r="H499" s="3" t="s">
        <v>39</v>
      </c>
      <c r="I499" s="3" t="s">
        <v>982</v>
      </c>
    </row>
    <row r="500" customHeight="1" spans="1:9">
      <c r="A500" s="6" t="s">
        <v>983</v>
      </c>
      <c r="B500" s="4">
        <f>VLOOKUP($A500,[1]中未分析60315!$A:$M,8,0)</f>
        <v>41</v>
      </c>
      <c r="C500" s="4">
        <f>VLOOKUP($A500,[1]中未分析60315!$A:$M,9,0)</f>
        <v>39</v>
      </c>
      <c r="D500" s="4">
        <f>VLOOKUP($A500,[1]中未分析60315!$A:$M,10,0)</f>
        <v>38</v>
      </c>
      <c r="E500" s="4">
        <f>VLOOKUP($A500,[1]中未分析60315!$A:$M,11,0)</f>
        <v>36</v>
      </c>
      <c r="F500" s="4">
        <f>VLOOKUP($A500,[1]中未分析60315!$A:$M,12,0)</f>
        <v>35</v>
      </c>
      <c r="G500" s="4">
        <f>VLOOKUP($A500,[1]中未分析60315!$A:$M,13,0)</f>
        <v>33</v>
      </c>
      <c r="H500" s="3" t="s">
        <v>10</v>
      </c>
      <c r="I500" s="3" t="s">
        <v>984</v>
      </c>
    </row>
    <row r="501" customHeight="1" spans="1:9">
      <c r="A501" s="6" t="s">
        <v>985</v>
      </c>
      <c r="B501" s="4">
        <f>VLOOKUP($A501,[1]中未分析60315!$A:$M,8,0)</f>
        <v>41</v>
      </c>
      <c r="C501" s="4">
        <f>VLOOKUP($A501,[1]中未分析60315!$A:$M,9,0)</f>
        <v>39</v>
      </c>
      <c r="D501" s="4">
        <f>VLOOKUP($A501,[1]中未分析60315!$A:$M,10,0)</f>
        <v>38</v>
      </c>
      <c r="E501" s="4">
        <f>VLOOKUP($A501,[1]中未分析60315!$A:$M,11,0)</f>
        <v>36</v>
      </c>
      <c r="F501" s="4">
        <f>VLOOKUP($A501,[1]中未分析60315!$A:$M,12,0)</f>
        <v>35</v>
      </c>
      <c r="G501" s="4">
        <f>VLOOKUP($A501,[1]中未分析60315!$A:$M,13,0)</f>
        <v>33</v>
      </c>
      <c r="H501" s="3" t="s">
        <v>10</v>
      </c>
      <c r="I501" s="3" t="s">
        <v>986</v>
      </c>
    </row>
    <row r="502" customHeight="1" spans="1:9">
      <c r="A502" s="10" t="s">
        <v>987</v>
      </c>
      <c r="B502" s="4">
        <f>VLOOKUP($A502,[1]中未分析60315!$A:$M,8,0)</f>
        <v>50</v>
      </c>
      <c r="C502" s="4">
        <f>VLOOKUP($A502,[1]中未分析60315!$A:$M,9,0)</f>
        <v>49</v>
      </c>
      <c r="D502" s="4">
        <f>VLOOKUP($A502,[1]中未分析60315!$A:$M,10,0)</f>
        <v>48</v>
      </c>
      <c r="E502" s="4">
        <f>VLOOKUP($A502,[1]中未分析60315!$A:$M,11,0)</f>
        <v>47</v>
      </c>
      <c r="F502" s="4">
        <f>VLOOKUP($A502,[1]中未分析60315!$A:$M,12,0)</f>
        <v>47</v>
      </c>
      <c r="G502" s="4">
        <f>VLOOKUP($A502,[1]中未分析60315!$A:$M,13,0)</f>
        <v>46</v>
      </c>
      <c r="H502" s="3" t="s">
        <v>39</v>
      </c>
      <c r="I502" s="3" t="s">
        <v>988</v>
      </c>
    </row>
    <row r="503" customHeight="1" spans="1:9">
      <c r="A503" s="6" t="s">
        <v>989</v>
      </c>
      <c r="B503" s="4">
        <f>VLOOKUP($A503,[1]中未分析60315!$A:$M,8,0)</f>
        <v>37</v>
      </c>
      <c r="C503" s="4">
        <f>VLOOKUP($A503,[1]中未分析60315!$A:$M,9,0)</f>
        <v>36</v>
      </c>
      <c r="D503" s="4">
        <f>VLOOKUP($A503,[1]中未分析60315!$A:$M,10,0)</f>
        <v>36</v>
      </c>
      <c r="E503" s="4">
        <f>VLOOKUP($A503,[1]中未分析60315!$A:$M,11,0)</f>
        <v>35</v>
      </c>
      <c r="F503" s="4">
        <f>VLOOKUP($A503,[1]中未分析60315!$A:$M,12,0)</f>
        <v>35</v>
      </c>
      <c r="G503" s="4">
        <f>VLOOKUP($A503,[1]中未分析60315!$A:$M,13,0)</f>
        <v>34</v>
      </c>
      <c r="H503" s="3" t="s">
        <v>39</v>
      </c>
      <c r="I503" s="3" t="s">
        <v>990</v>
      </c>
    </row>
    <row r="504" customHeight="1" spans="1:9">
      <c r="A504" s="9" t="s">
        <v>991</v>
      </c>
      <c r="B504" s="4">
        <f>VLOOKUP($A504,[1]中未分析60315!$A:$M,8,0)</f>
        <v>47</v>
      </c>
      <c r="C504" s="4">
        <f>VLOOKUP($A504,[1]中未分析60315!$A:$M,9,0)</f>
        <v>45</v>
      </c>
      <c r="D504" s="4">
        <f>VLOOKUP($A504,[1]中未分析60315!$A:$M,10,0)</f>
        <v>43</v>
      </c>
      <c r="E504" s="4">
        <f>VLOOKUP($A504,[1]中未分析60315!$A:$M,11,0)</f>
        <v>41</v>
      </c>
      <c r="F504" s="4">
        <f>VLOOKUP($A504,[1]中未分析60315!$A:$M,12,0)</f>
        <v>40</v>
      </c>
      <c r="G504" s="4">
        <f>VLOOKUP($A504,[1]中未分析60315!$A:$M,13,0)</f>
        <v>38</v>
      </c>
      <c r="H504" s="3" t="s">
        <v>10</v>
      </c>
      <c r="I504" s="3" t="s">
        <v>992</v>
      </c>
    </row>
    <row r="505" customHeight="1" spans="1:9">
      <c r="A505" s="6" t="s">
        <v>993</v>
      </c>
      <c r="B505" s="4">
        <f>VLOOKUP($A505,[1]中未分析60315!$A:$M,8,0)</f>
        <v>45</v>
      </c>
      <c r="C505" s="4">
        <f>VLOOKUP($A505,[1]中未分析60315!$A:$M,9,0)</f>
        <v>43</v>
      </c>
      <c r="D505" s="4">
        <f>VLOOKUP($A505,[1]中未分析60315!$A:$M,10,0)</f>
        <v>42</v>
      </c>
      <c r="E505" s="4">
        <f>VLOOKUP($A505,[1]中未分析60315!$A:$M,11,0)</f>
        <v>40</v>
      </c>
      <c r="F505" s="4">
        <f>VLOOKUP($A505,[1]中未分析60315!$A:$M,12,0)</f>
        <v>38</v>
      </c>
      <c r="G505" s="4">
        <f>VLOOKUP($A505,[1]中未分析60315!$A:$M,13,0)</f>
        <v>37</v>
      </c>
      <c r="H505" s="3" t="s">
        <v>10</v>
      </c>
      <c r="I505" s="3" t="s">
        <v>718</v>
      </c>
    </row>
    <row r="506" customHeight="1" spans="1:9">
      <c r="A506" s="4" t="s">
        <v>994</v>
      </c>
      <c r="B506" s="4">
        <f>VLOOKUP($A506,[1]中未分析60315!$A:$M,8,0)</f>
        <v>49</v>
      </c>
      <c r="C506" s="4">
        <f>VLOOKUP($A506,[1]中未分析60315!$A:$M,9,0)</f>
        <v>48</v>
      </c>
      <c r="D506" s="4">
        <f>VLOOKUP($A506,[1]中未分析60315!$A:$M,10,0)</f>
        <v>47</v>
      </c>
      <c r="E506" s="4">
        <f>VLOOKUP($A506,[1]中未分析60315!$A:$M,11,0)</f>
        <v>46</v>
      </c>
      <c r="F506" s="4">
        <f>VLOOKUP($A506,[1]中未分析60315!$A:$M,12,0)</f>
        <v>46</v>
      </c>
      <c r="G506" s="4">
        <f>VLOOKUP($A506,[1]中未分析60315!$A:$M,13,0)</f>
        <v>45</v>
      </c>
      <c r="H506" s="3" t="s">
        <v>39</v>
      </c>
      <c r="I506" s="3" t="s">
        <v>791</v>
      </c>
    </row>
    <row r="507" customHeight="1" spans="1:9">
      <c r="A507" s="4" t="s">
        <v>995</v>
      </c>
      <c r="B507" s="4">
        <f>VLOOKUP($A507,[1]中未分析60315!$A:$M,8,0)</f>
        <v>163</v>
      </c>
      <c r="C507" s="4">
        <f>VLOOKUP($A507,[1]中未分析60315!$A:$M,9,0)</f>
        <v>160</v>
      </c>
      <c r="D507" s="4">
        <f>VLOOKUP($A507,[1]中未分析60315!$A:$M,10,0)</f>
        <v>158</v>
      </c>
      <c r="E507" s="4">
        <f>VLOOKUP($A507,[1]中未分析60315!$A:$M,11,0)</f>
        <v>155</v>
      </c>
      <c r="F507" s="4">
        <f>VLOOKUP($A507,[1]中未分析60315!$A:$M,12,0)</f>
        <v>153</v>
      </c>
      <c r="G507" s="4">
        <f>VLOOKUP($A507,[1]中未分析60315!$A:$M,13,0)</f>
        <v>151</v>
      </c>
      <c r="H507" s="3" t="s">
        <v>39</v>
      </c>
      <c r="I507" s="3" t="s">
        <v>996</v>
      </c>
    </row>
    <row r="508" customHeight="1" spans="1:9">
      <c r="A508" s="6" t="s">
        <v>997</v>
      </c>
      <c r="B508" s="4">
        <f>VLOOKUP($A508,[1]中未分析60315!$A:$M,8,0)</f>
        <v>52</v>
      </c>
      <c r="C508" s="4">
        <f>VLOOKUP($A508,[1]中未分析60315!$A:$M,9,0)</f>
        <v>52</v>
      </c>
      <c r="D508" s="4">
        <f>VLOOKUP($A508,[1]中未分析60315!$A:$M,10,0)</f>
        <v>51</v>
      </c>
      <c r="E508" s="4">
        <f>VLOOKUP($A508,[1]中未分析60315!$A:$M,11,0)</f>
        <v>50</v>
      </c>
      <c r="F508" s="4">
        <f>VLOOKUP($A508,[1]中未分析60315!$A:$M,12,0)</f>
        <v>49</v>
      </c>
      <c r="G508" s="4">
        <f>VLOOKUP($A508,[1]中未分析60315!$A:$M,13,0)</f>
        <v>49</v>
      </c>
      <c r="H508" s="3" t="s">
        <v>39</v>
      </c>
      <c r="I508" s="3" t="s">
        <v>863</v>
      </c>
    </row>
    <row r="509" customHeight="1" spans="1:9">
      <c r="A509" s="10" t="s">
        <v>998</v>
      </c>
      <c r="B509" s="4">
        <f>VLOOKUP($A509,[1]中未分析60315!$A:$M,8,0)</f>
        <v>70</v>
      </c>
      <c r="C509" s="4">
        <f>VLOOKUP($A509,[1]中未分析60315!$A:$M,9,0)</f>
        <v>67</v>
      </c>
      <c r="D509" s="4">
        <f>VLOOKUP($A509,[1]中未分析60315!$A:$M,10,0)</f>
        <v>65</v>
      </c>
      <c r="E509" s="4">
        <f>VLOOKUP($A509,[1]中未分析60315!$A:$M,11,0)</f>
        <v>62</v>
      </c>
      <c r="F509" s="4">
        <f>VLOOKUP($A509,[1]中未分析60315!$A:$M,12,0)</f>
        <v>60</v>
      </c>
      <c r="G509" s="4">
        <f>VLOOKUP($A509,[1]中未分析60315!$A:$M,13,0)</f>
        <v>57</v>
      </c>
      <c r="H509" s="3" t="s">
        <v>10</v>
      </c>
      <c r="I509" s="3" t="s">
        <v>999</v>
      </c>
    </row>
    <row r="510" customHeight="1" spans="1:9">
      <c r="A510" s="4" t="s">
        <v>1000</v>
      </c>
      <c r="B510" s="4">
        <f>VLOOKUP($A510,[1]中未分析60315!$A:$M,8,0)</f>
        <v>32</v>
      </c>
      <c r="C510" s="4">
        <f>VLOOKUP($A510,[1]中未分析60315!$A:$M,9,0)</f>
        <v>31</v>
      </c>
      <c r="D510" s="4">
        <f>VLOOKUP($A510,[1]中未分析60315!$A:$M,10,0)</f>
        <v>30</v>
      </c>
      <c r="E510" s="4">
        <f>VLOOKUP($A510,[1]中未分析60315!$A:$M,11,0)</f>
        <v>29</v>
      </c>
      <c r="F510" s="4">
        <f>VLOOKUP($A510,[1]中未分析60315!$A:$M,12,0)</f>
        <v>27</v>
      </c>
      <c r="G510" s="4">
        <f>VLOOKUP($A510,[1]中未分析60315!$A:$M,13,0)</f>
        <v>26</v>
      </c>
      <c r="H510" s="3" t="s">
        <v>10</v>
      </c>
      <c r="I510" s="3" t="s">
        <v>1001</v>
      </c>
    </row>
    <row r="511" customHeight="1" spans="1:9">
      <c r="A511" s="4" t="s">
        <v>1002</v>
      </c>
      <c r="B511" s="4">
        <f>VLOOKUP($A511,[1]中未分析60315!$A:$M,8,0)</f>
        <v>59</v>
      </c>
      <c r="C511" s="4">
        <f>VLOOKUP($A511,[1]中未分析60315!$A:$M,9,0)</f>
        <v>58</v>
      </c>
      <c r="D511" s="4">
        <f>VLOOKUP($A511,[1]中未分析60315!$A:$M,10,0)</f>
        <v>57</v>
      </c>
      <c r="E511" s="4">
        <f>VLOOKUP($A511,[1]中未分析60315!$A:$M,11,0)</f>
        <v>56</v>
      </c>
      <c r="F511" s="4">
        <f>VLOOKUP($A511,[1]中未分析60315!$A:$M,12,0)</f>
        <v>55</v>
      </c>
      <c r="G511" s="4">
        <f>VLOOKUP($A511,[1]中未分析60315!$A:$M,13,0)</f>
        <v>54</v>
      </c>
      <c r="H511" s="3" t="s">
        <v>39</v>
      </c>
      <c r="I511" s="3" t="s">
        <v>1003</v>
      </c>
    </row>
    <row r="512" customHeight="1" spans="1:9">
      <c r="A512" s="4" t="s">
        <v>1004</v>
      </c>
      <c r="B512" s="4">
        <f>VLOOKUP($A512,[1]中未分析60315!$A:$M,8,0)</f>
        <v>68</v>
      </c>
      <c r="C512" s="4">
        <f>VLOOKUP($A512,[1]中未分析60315!$A:$M,9,0)</f>
        <v>66</v>
      </c>
      <c r="D512" s="4">
        <f>VLOOKUP($A512,[1]中未分析60315!$A:$M,10,0)</f>
        <v>65</v>
      </c>
      <c r="E512" s="4">
        <f>VLOOKUP($A512,[1]中未分析60315!$A:$M,11,0)</f>
        <v>64</v>
      </c>
      <c r="F512" s="4">
        <f>VLOOKUP($A512,[1]中未分析60315!$A:$M,12,0)</f>
        <v>64</v>
      </c>
      <c r="G512" s="4">
        <f>VLOOKUP($A512,[1]中未分析60315!$A:$M,13,0)</f>
        <v>63</v>
      </c>
      <c r="H512" s="3" t="s">
        <v>39</v>
      </c>
      <c r="I512" s="3" t="s">
        <v>1005</v>
      </c>
    </row>
    <row r="513" customHeight="1" spans="1:9">
      <c r="A513" s="4" t="s">
        <v>1006</v>
      </c>
      <c r="B513" s="4">
        <f>VLOOKUP($A513,[1]中未分析60315!$A:$M,8,0)</f>
        <v>47</v>
      </c>
      <c r="C513" s="4">
        <f>VLOOKUP($A513,[1]中未分析60315!$A:$M,9,0)</f>
        <v>45</v>
      </c>
      <c r="D513" s="4">
        <f>VLOOKUP($A513,[1]中未分析60315!$A:$M,10,0)</f>
        <v>44</v>
      </c>
      <c r="E513" s="4">
        <f>VLOOKUP($A513,[1]中未分析60315!$A:$M,11,0)</f>
        <v>42</v>
      </c>
      <c r="F513" s="4">
        <f>VLOOKUP($A513,[1]中未分析60315!$A:$M,12,0)</f>
        <v>40</v>
      </c>
      <c r="G513" s="4">
        <f>VLOOKUP($A513,[1]中未分析60315!$A:$M,13,0)</f>
        <v>39</v>
      </c>
      <c r="H513" s="3" t="s">
        <v>10</v>
      </c>
      <c r="I513" s="3" t="s">
        <v>1007</v>
      </c>
    </row>
    <row r="514" customHeight="1" spans="1:9">
      <c r="A514" s="4" t="s">
        <v>1008</v>
      </c>
      <c r="B514" s="4">
        <f>VLOOKUP($A514,[1]中未分析60315!$A:$M,8,0)</f>
        <v>72</v>
      </c>
      <c r="C514" s="4">
        <f>VLOOKUP($A514,[1]中未分析60315!$A:$M,9,0)</f>
        <v>71</v>
      </c>
      <c r="D514" s="4">
        <f>VLOOKUP($A514,[1]中未分析60315!$A:$M,10,0)</f>
        <v>70</v>
      </c>
      <c r="E514" s="4">
        <f>VLOOKUP($A514,[1]中未分析60315!$A:$M,11,0)</f>
        <v>69</v>
      </c>
      <c r="F514" s="4">
        <f>VLOOKUP($A514,[1]中未分析60315!$A:$M,12,0)</f>
        <v>68</v>
      </c>
      <c r="G514" s="4">
        <f>VLOOKUP($A514,[1]中未分析60315!$A:$M,13,0)</f>
        <v>67</v>
      </c>
      <c r="H514" s="3" t="s">
        <v>39</v>
      </c>
      <c r="I514" s="3" t="s">
        <v>1009</v>
      </c>
    </row>
    <row r="515" customHeight="1" spans="1:9">
      <c r="A515" s="4" t="s">
        <v>1010</v>
      </c>
      <c r="B515" s="4">
        <f>VLOOKUP($A515,[1]中未分析60315!$A:$M,8,0)</f>
        <v>85</v>
      </c>
      <c r="C515" s="4">
        <f>VLOOKUP($A515,[1]中未分析60315!$A:$M,9,0)</f>
        <v>83</v>
      </c>
      <c r="D515" s="4">
        <f>VLOOKUP($A515,[1]中未分析60315!$A:$M,10,0)</f>
        <v>82</v>
      </c>
      <c r="E515" s="4">
        <f>VLOOKUP($A515,[1]中未分析60315!$A:$M,11,0)</f>
        <v>80</v>
      </c>
      <c r="F515" s="4">
        <f>VLOOKUP($A515,[1]中未分析60315!$A:$M,12,0)</f>
        <v>80</v>
      </c>
      <c r="G515" s="4">
        <f>VLOOKUP($A515,[1]中未分析60315!$A:$M,13,0)</f>
        <v>78</v>
      </c>
      <c r="H515" s="3" t="s">
        <v>39</v>
      </c>
      <c r="I515" s="3" t="s">
        <v>1011</v>
      </c>
    </row>
    <row r="516" customHeight="1" spans="1:9">
      <c r="A516" s="4" t="s">
        <v>1012</v>
      </c>
      <c r="B516" s="4">
        <f>VLOOKUP($A516,[1]中未分析60315!$A:$M,8,0)</f>
        <v>47</v>
      </c>
      <c r="C516" s="4">
        <f>VLOOKUP($A516,[1]中未分析60315!$A:$M,9,0)</f>
        <v>46</v>
      </c>
      <c r="D516" s="4">
        <f>VLOOKUP($A516,[1]中未分析60315!$A:$M,10,0)</f>
        <v>44</v>
      </c>
      <c r="E516" s="4">
        <f>VLOOKUP($A516,[1]中未分析60315!$A:$M,11,0)</f>
        <v>42</v>
      </c>
      <c r="F516" s="4">
        <f>VLOOKUP($A516,[1]中未分析60315!$A:$M,12,0)</f>
        <v>41</v>
      </c>
      <c r="G516" s="4">
        <f>VLOOKUP($A516,[1]中未分析60315!$A:$M,13,0)</f>
        <v>39</v>
      </c>
      <c r="H516" s="3" t="s">
        <v>10</v>
      </c>
      <c r="I516" s="3" t="s">
        <v>1013</v>
      </c>
    </row>
    <row r="517" customHeight="1" spans="1:9">
      <c r="A517" s="4" t="s">
        <v>1014</v>
      </c>
      <c r="B517" s="4">
        <f>VLOOKUP($A517,[1]中未分析60315!$A:$M,8,0)</f>
        <v>46</v>
      </c>
      <c r="C517" s="4">
        <f>VLOOKUP($A517,[1]中未分析60315!$A:$M,9,0)</f>
        <v>45</v>
      </c>
      <c r="D517" s="4">
        <f>VLOOKUP($A517,[1]中未分析60315!$A:$M,10,0)</f>
        <v>44</v>
      </c>
      <c r="E517" s="4">
        <f>VLOOKUP($A517,[1]中未分析60315!$A:$M,11,0)</f>
        <v>44</v>
      </c>
      <c r="F517" s="4">
        <f>VLOOKUP($A517,[1]中未分析60315!$A:$M,12,0)</f>
        <v>43</v>
      </c>
      <c r="G517" s="4">
        <f>VLOOKUP($A517,[1]中未分析60315!$A:$M,13,0)</f>
        <v>43</v>
      </c>
      <c r="H517" s="3" t="s">
        <v>39</v>
      </c>
      <c r="I517" s="3" t="s">
        <v>1015</v>
      </c>
    </row>
    <row r="518" customHeight="1" spans="1:9">
      <c r="A518" s="11" t="s">
        <v>1016</v>
      </c>
      <c r="B518" s="4">
        <f>VLOOKUP($A518,[1]中未分析60315!$A:$M,8,0)</f>
        <v>25</v>
      </c>
      <c r="C518" s="4">
        <f>VLOOKUP($A518,[1]中未分析60315!$A:$M,9,0)</f>
        <v>25</v>
      </c>
      <c r="D518" s="4">
        <f>VLOOKUP($A518,[1]中未分析60315!$A:$M,10,0)</f>
        <v>24</v>
      </c>
      <c r="E518" s="4">
        <f>VLOOKUP($A518,[1]中未分析60315!$A:$M,11,0)</f>
        <v>23</v>
      </c>
      <c r="F518" s="4">
        <f>VLOOKUP($A518,[1]中未分析60315!$A:$M,12,0)</f>
        <v>22</v>
      </c>
      <c r="G518" s="4">
        <f>VLOOKUP($A518,[1]中未分析60315!$A:$M,13,0)</f>
        <v>21</v>
      </c>
      <c r="H518" s="3" t="s">
        <v>10</v>
      </c>
      <c r="I518" s="3" t="s">
        <v>1017</v>
      </c>
    </row>
    <row r="519" customHeight="1" spans="1:9">
      <c r="A519" s="9" t="s">
        <v>1018</v>
      </c>
      <c r="B519" s="4">
        <f>VLOOKUP($A519,[1]中未分析60315!$A:$M,8,0)</f>
        <v>34</v>
      </c>
      <c r="C519" s="4">
        <f>VLOOKUP($A519,[1]中未分析60315!$A:$M,9,0)</f>
        <v>32</v>
      </c>
      <c r="D519" s="4">
        <f>VLOOKUP($A519,[1]中未分析60315!$A:$M,10,0)</f>
        <v>31</v>
      </c>
      <c r="E519" s="4">
        <f>VLOOKUP($A519,[1]中未分析60315!$A:$M,11,0)</f>
        <v>30</v>
      </c>
      <c r="F519" s="4">
        <f>VLOOKUP($A519,[1]中未分析60315!$A:$M,12,0)</f>
        <v>29</v>
      </c>
      <c r="G519" s="4">
        <f>VLOOKUP($A519,[1]中未分析60315!$A:$M,13,0)</f>
        <v>28</v>
      </c>
      <c r="H519" s="3" t="s">
        <v>10</v>
      </c>
      <c r="I519" s="3" t="s">
        <v>1019</v>
      </c>
    </row>
    <row r="520" customHeight="1" spans="1:9">
      <c r="A520" s="11" t="s">
        <v>1020</v>
      </c>
      <c r="B520" s="4">
        <f>VLOOKUP($A520,[1]中未分析60315!$A:$M,8,0)</f>
        <v>63</v>
      </c>
      <c r="C520" s="4">
        <f>VLOOKUP($A520,[1]中未分析60315!$A:$M,9,0)</f>
        <v>62</v>
      </c>
      <c r="D520" s="4">
        <f>VLOOKUP($A520,[1]中未分析60315!$A:$M,10,0)</f>
        <v>61</v>
      </c>
      <c r="E520" s="4">
        <f>VLOOKUP($A520,[1]中未分析60315!$A:$M,11,0)</f>
        <v>60</v>
      </c>
      <c r="F520" s="4">
        <f>VLOOKUP($A520,[1]中未分析60315!$A:$M,12,0)</f>
        <v>59</v>
      </c>
      <c r="G520" s="4">
        <f>VLOOKUP($A520,[1]中未分析60315!$A:$M,13,0)</f>
        <v>58</v>
      </c>
      <c r="H520" s="3" t="s">
        <v>39</v>
      </c>
      <c r="I520" s="3" t="s">
        <v>996</v>
      </c>
    </row>
    <row r="521" customHeight="1" spans="1:9">
      <c r="A521" s="11" t="s">
        <v>1021</v>
      </c>
      <c r="B521" s="4">
        <f>VLOOKUP($A521,[1]中未分析60315!$A:$M,8,0)</f>
        <v>55</v>
      </c>
      <c r="C521" s="4">
        <f>VLOOKUP($A521,[1]中未分析60315!$A:$M,9,0)</f>
        <v>53</v>
      </c>
      <c r="D521" s="4">
        <f>VLOOKUP($A521,[1]中未分析60315!$A:$M,10,0)</f>
        <v>51</v>
      </c>
      <c r="E521" s="4">
        <f>VLOOKUP($A521,[1]中未分析60315!$A:$M,11,0)</f>
        <v>49</v>
      </c>
      <c r="F521" s="4">
        <f>VLOOKUP($A521,[1]中未分析60315!$A:$M,12,0)</f>
        <v>47</v>
      </c>
      <c r="G521" s="4">
        <f>VLOOKUP($A521,[1]中未分析60315!$A:$M,13,0)</f>
        <v>45</v>
      </c>
      <c r="H521" s="3" t="s">
        <v>10</v>
      </c>
      <c r="I521" s="3" t="s">
        <v>1022</v>
      </c>
    </row>
    <row r="522" customHeight="1" spans="1:9">
      <c r="A522" s="11" t="s">
        <v>1023</v>
      </c>
      <c r="B522" s="4">
        <f>VLOOKUP($A522,[1]中未分析60315!$A:$M,8,0)</f>
        <v>59</v>
      </c>
      <c r="C522" s="4">
        <f>VLOOKUP($A522,[1]中未分析60315!$A:$M,9,0)</f>
        <v>58</v>
      </c>
      <c r="D522" s="4">
        <f>VLOOKUP($A522,[1]中未分析60315!$A:$M,10,0)</f>
        <v>57</v>
      </c>
      <c r="E522" s="4">
        <f>VLOOKUP($A522,[1]中未分析60315!$A:$M,11,0)</f>
        <v>56</v>
      </c>
      <c r="F522" s="4">
        <f>VLOOKUP($A522,[1]中未分析60315!$A:$M,12,0)</f>
        <v>56</v>
      </c>
      <c r="G522" s="4">
        <f>VLOOKUP($A522,[1]中未分析60315!$A:$M,13,0)</f>
        <v>55</v>
      </c>
      <c r="H522" s="3" t="s">
        <v>39</v>
      </c>
      <c r="I522" s="3" t="s">
        <v>1024</v>
      </c>
    </row>
    <row r="523" customHeight="1" spans="1:9">
      <c r="A523" s="11" t="s">
        <v>1025</v>
      </c>
      <c r="B523" s="4">
        <f>VLOOKUP($A523,[1]中未分析60315!$A:$M,8,0)</f>
        <v>100</v>
      </c>
      <c r="C523" s="4">
        <f>VLOOKUP($A523,[1]中未分析60315!$A:$M,9,0)</f>
        <v>98</v>
      </c>
      <c r="D523" s="4">
        <f>VLOOKUP($A523,[1]中未分析60315!$A:$M,10,0)</f>
        <v>96</v>
      </c>
      <c r="E523" s="4">
        <f>VLOOKUP($A523,[1]中未分析60315!$A:$M,11,0)</f>
        <v>95</v>
      </c>
      <c r="F523" s="4">
        <f>VLOOKUP($A523,[1]中未分析60315!$A:$M,12,0)</f>
        <v>94</v>
      </c>
      <c r="G523" s="4">
        <f>VLOOKUP($A523,[1]中未分析60315!$A:$M,13,0)</f>
        <v>92</v>
      </c>
      <c r="H523" s="3" t="s">
        <v>39</v>
      </c>
      <c r="I523" s="3" t="s">
        <v>1026</v>
      </c>
    </row>
    <row r="524" customHeight="1" spans="1:9">
      <c r="A524" s="9" t="s">
        <v>1027</v>
      </c>
      <c r="B524" s="4">
        <f>VLOOKUP($A524,[1]中未分析60315!$A:$M,8,0)</f>
        <v>197</v>
      </c>
      <c r="C524" s="4">
        <f>VLOOKUP($A524,[1]中未分析60315!$A:$M,9,0)</f>
        <v>194</v>
      </c>
      <c r="D524" s="4">
        <f>VLOOKUP($A524,[1]中未分析60315!$A:$M,10,0)</f>
        <v>190</v>
      </c>
      <c r="E524" s="4">
        <f>VLOOKUP($A524,[1]中未分析60315!$A:$M,11,0)</f>
        <v>187</v>
      </c>
      <c r="F524" s="4">
        <f>VLOOKUP($A524,[1]中未分析60315!$A:$M,12,0)</f>
        <v>185</v>
      </c>
      <c r="G524" s="4">
        <f>VLOOKUP($A524,[1]中未分析60315!$A:$M,13,0)</f>
        <v>182</v>
      </c>
      <c r="H524" s="3" t="s">
        <v>39</v>
      </c>
      <c r="I524" s="3" t="s">
        <v>1028</v>
      </c>
    </row>
    <row r="525" customHeight="1" spans="1:9">
      <c r="A525" s="9" t="s">
        <v>1029</v>
      </c>
      <c r="B525" s="4">
        <f>VLOOKUP($A525,[1]中未分析60315!$A:$M,8,0)</f>
        <v>47</v>
      </c>
      <c r="C525" s="4">
        <f>VLOOKUP($A525,[1]中未分析60315!$A:$M,9,0)</f>
        <v>46</v>
      </c>
      <c r="D525" s="4">
        <f>VLOOKUP($A525,[1]中未分析60315!$A:$M,10,0)</f>
        <v>44</v>
      </c>
      <c r="E525" s="4">
        <f>VLOOKUP($A525,[1]中未分析60315!$A:$M,11,0)</f>
        <v>42</v>
      </c>
      <c r="F525" s="4">
        <f>VLOOKUP($A525,[1]中未分析60315!$A:$M,12,0)</f>
        <v>41</v>
      </c>
      <c r="G525" s="4">
        <f>VLOOKUP($A525,[1]中未分析60315!$A:$M,13,0)</f>
        <v>39</v>
      </c>
      <c r="H525" s="3" t="s">
        <v>10</v>
      </c>
      <c r="I525" s="3" t="s">
        <v>1030</v>
      </c>
    </row>
    <row r="526" customHeight="1" spans="1:9">
      <c r="A526" s="11" t="s">
        <v>1031</v>
      </c>
      <c r="B526" s="4">
        <f>VLOOKUP($A526,[1]中未分析60315!$A:$M,8,0)</f>
        <v>47</v>
      </c>
      <c r="C526" s="4">
        <f>VLOOKUP($A526,[1]中未分析60315!$A:$M,9,0)</f>
        <v>45</v>
      </c>
      <c r="D526" s="4">
        <f>VLOOKUP($A526,[1]中未分析60315!$A:$M,10,0)</f>
        <v>43</v>
      </c>
      <c r="E526" s="4">
        <f>VLOOKUP($A526,[1]中未分析60315!$A:$M,11,0)</f>
        <v>41</v>
      </c>
      <c r="F526" s="4">
        <f>VLOOKUP($A526,[1]中未分析60315!$A:$M,12,0)</f>
        <v>40</v>
      </c>
      <c r="G526" s="4">
        <f>VLOOKUP($A526,[1]中未分析60315!$A:$M,13,0)</f>
        <v>38</v>
      </c>
      <c r="H526" s="3" t="s">
        <v>10</v>
      </c>
      <c r="I526" s="3" t="s">
        <v>1032</v>
      </c>
    </row>
    <row r="527" customHeight="1" spans="1:9">
      <c r="A527" s="11" t="s">
        <v>1033</v>
      </c>
      <c r="B527" s="4">
        <f>VLOOKUP($A527,[1]中未分析60315!$A:$M,8,0)</f>
        <v>36</v>
      </c>
      <c r="C527" s="4">
        <f>VLOOKUP($A527,[1]中未分析60315!$A:$M,9,0)</f>
        <v>35</v>
      </c>
      <c r="D527" s="4">
        <f>VLOOKUP($A527,[1]中未分析60315!$A:$M,10,0)</f>
        <v>34</v>
      </c>
      <c r="E527" s="4">
        <f>VLOOKUP($A527,[1]中未分析60315!$A:$M,11,0)</f>
        <v>32</v>
      </c>
      <c r="F527" s="4">
        <f>VLOOKUP($A527,[1]中未分析60315!$A:$M,12,0)</f>
        <v>31</v>
      </c>
      <c r="G527" s="4">
        <f>VLOOKUP($A527,[1]中未分析60315!$A:$M,13,0)</f>
        <v>30</v>
      </c>
      <c r="H527" s="3" t="s">
        <v>10</v>
      </c>
      <c r="I527" s="3" t="s">
        <v>1034</v>
      </c>
    </row>
    <row r="528" customHeight="1" spans="1:9">
      <c r="A528" s="9" t="s">
        <v>1035</v>
      </c>
      <c r="B528" s="4">
        <f>VLOOKUP($A528,[1]中未分析60315!$A:$M,8,0)</f>
        <v>47</v>
      </c>
      <c r="C528" s="4">
        <f>VLOOKUP($A528,[1]中未分析60315!$A:$M,9,0)</f>
        <v>46</v>
      </c>
      <c r="D528" s="4">
        <f>VLOOKUP($A528,[1]中未分析60315!$A:$M,10,0)</f>
        <v>46</v>
      </c>
      <c r="E528" s="4">
        <f>VLOOKUP($A528,[1]中未分析60315!$A:$M,11,0)</f>
        <v>45</v>
      </c>
      <c r="F528" s="4">
        <f>VLOOKUP($A528,[1]中未分析60315!$A:$M,12,0)</f>
        <v>45</v>
      </c>
      <c r="G528" s="4">
        <f>VLOOKUP($A528,[1]中未分析60315!$A:$M,13,0)</f>
        <v>44</v>
      </c>
      <c r="H528" s="3" t="s">
        <v>39</v>
      </c>
      <c r="I528" s="3" t="s">
        <v>748</v>
      </c>
    </row>
    <row r="529" customHeight="1" spans="1:9">
      <c r="A529" s="4" t="s">
        <v>1036</v>
      </c>
      <c r="B529" s="4">
        <f>VLOOKUP($A529,[1]中未分析60315!$A:$M,8,0)</f>
        <v>47</v>
      </c>
      <c r="C529" s="4">
        <f>VLOOKUP($A529,[1]中未分析60315!$A:$M,9,0)</f>
        <v>45</v>
      </c>
      <c r="D529" s="4">
        <f>VLOOKUP($A529,[1]中未分析60315!$A:$M,10,0)</f>
        <v>43</v>
      </c>
      <c r="E529" s="4">
        <f>VLOOKUP($A529,[1]中未分析60315!$A:$M,11,0)</f>
        <v>42</v>
      </c>
      <c r="F529" s="4">
        <f>VLOOKUP($A529,[1]中未分析60315!$A:$M,12,0)</f>
        <v>40</v>
      </c>
      <c r="G529" s="4">
        <f>VLOOKUP($A529,[1]中未分析60315!$A:$M,13,0)</f>
        <v>38</v>
      </c>
      <c r="H529" s="3" t="s">
        <v>10</v>
      </c>
      <c r="I529" s="3" t="s">
        <v>1037</v>
      </c>
    </row>
    <row r="530" customHeight="1" spans="1:9">
      <c r="A530" s="4" t="s">
        <v>1038</v>
      </c>
      <c r="B530" s="4">
        <f>VLOOKUP($A530,[1]中未分析60315!$A:$M,8,0)</f>
        <v>53</v>
      </c>
      <c r="C530" s="4">
        <f>VLOOKUP($A530,[1]中未分析60315!$A:$M,9,0)</f>
        <v>52</v>
      </c>
      <c r="D530" s="4">
        <f>VLOOKUP($A530,[1]中未分析60315!$A:$M,10,0)</f>
        <v>51</v>
      </c>
      <c r="E530" s="4">
        <f>VLOOKUP($A530,[1]中未分析60315!$A:$M,11,0)</f>
        <v>50</v>
      </c>
      <c r="F530" s="4">
        <f>VLOOKUP($A530,[1]中未分析60315!$A:$M,12,0)</f>
        <v>50</v>
      </c>
      <c r="G530" s="4">
        <f>VLOOKUP($A530,[1]中未分析60315!$A:$M,13,0)</f>
        <v>49</v>
      </c>
      <c r="H530" s="3" t="s">
        <v>39</v>
      </c>
      <c r="I530" s="3" t="s">
        <v>1039</v>
      </c>
    </row>
    <row r="531" customHeight="1" spans="1:9">
      <c r="A531" s="11" t="s">
        <v>1040</v>
      </c>
      <c r="B531" s="4">
        <f>VLOOKUP($A531,[1]中未分析60315!$A:$M,8,0)</f>
        <v>42</v>
      </c>
      <c r="C531" s="4">
        <f>VLOOKUP($A531,[1]中未分析60315!$A:$M,9,0)</f>
        <v>41</v>
      </c>
      <c r="D531" s="4">
        <f>VLOOKUP($A531,[1]中未分析60315!$A:$M,10,0)</f>
        <v>39</v>
      </c>
      <c r="E531" s="4">
        <f>VLOOKUP($A531,[1]中未分析60315!$A:$M,11,0)</f>
        <v>38</v>
      </c>
      <c r="F531" s="4">
        <f>VLOOKUP($A531,[1]中未分析60315!$A:$M,12,0)</f>
        <v>36</v>
      </c>
      <c r="G531" s="4">
        <f>VLOOKUP($A531,[1]中未分析60315!$A:$M,13,0)</f>
        <v>35</v>
      </c>
      <c r="H531" s="3" t="s">
        <v>10</v>
      </c>
      <c r="I531" s="3" t="s">
        <v>1041</v>
      </c>
    </row>
    <row r="532" customHeight="1" spans="1:9">
      <c r="A532" s="11" t="s">
        <v>1042</v>
      </c>
      <c r="B532" s="4">
        <f>VLOOKUP($A532,[1]中未分析60315!$A:$M,8,0)</f>
        <v>53</v>
      </c>
      <c r="C532" s="4">
        <f>VLOOKUP($A532,[1]中未分析60315!$A:$M,9,0)</f>
        <v>52</v>
      </c>
      <c r="D532" s="4">
        <f>VLOOKUP($A532,[1]中未分析60315!$A:$M,10,0)</f>
        <v>51</v>
      </c>
      <c r="E532" s="4">
        <f>VLOOKUP($A532,[1]中未分析60315!$A:$M,11,0)</f>
        <v>50</v>
      </c>
      <c r="F532" s="4">
        <f>VLOOKUP($A532,[1]中未分析60315!$A:$M,12,0)</f>
        <v>50</v>
      </c>
      <c r="G532" s="4">
        <f>VLOOKUP($A532,[1]中未分析60315!$A:$M,13,0)</f>
        <v>49</v>
      </c>
      <c r="H532" s="3" t="s">
        <v>39</v>
      </c>
      <c r="I532" s="3" t="s">
        <v>1043</v>
      </c>
    </row>
    <row r="533" customHeight="1" spans="1:9">
      <c r="A533" s="5" t="s">
        <v>1044</v>
      </c>
      <c r="B533" s="4">
        <f>VLOOKUP($A533,[1]中未分析60315!$A:$M,8,0)</f>
        <v>80</v>
      </c>
      <c r="C533" s="4">
        <f>VLOOKUP($A533,[1]中未分析60315!$A:$M,9,0)</f>
        <v>78</v>
      </c>
      <c r="D533" s="4">
        <f>VLOOKUP($A533,[1]中未分析60315!$A:$M,10,0)</f>
        <v>77</v>
      </c>
      <c r="E533" s="4">
        <f>VLOOKUP($A533,[1]中未分析60315!$A:$M,11,0)</f>
        <v>76</v>
      </c>
      <c r="F533" s="4">
        <f>VLOOKUP($A533,[1]中未分析60315!$A:$M,12,0)</f>
        <v>75</v>
      </c>
      <c r="G533" s="4">
        <f>VLOOKUP($A533,[1]中未分析60315!$A:$M,13,0)</f>
        <v>74</v>
      </c>
      <c r="H533" s="3" t="s">
        <v>39</v>
      </c>
      <c r="I533" s="3" t="s">
        <v>1045</v>
      </c>
    </row>
    <row r="534" customHeight="1" spans="1:9">
      <c r="A534" s="11" t="s">
        <v>1046</v>
      </c>
      <c r="B534" s="4">
        <f>VLOOKUP($A534,[1]中未分析60315!$A:$M,8,0)</f>
        <v>80</v>
      </c>
      <c r="C534" s="4">
        <f>VLOOKUP($A534,[1]中未分析60315!$A:$M,9,0)</f>
        <v>78</v>
      </c>
      <c r="D534" s="4">
        <f>VLOOKUP($A534,[1]中未分析60315!$A:$M,10,0)</f>
        <v>77</v>
      </c>
      <c r="E534" s="4">
        <f>VLOOKUP($A534,[1]中未分析60315!$A:$M,11,0)</f>
        <v>76</v>
      </c>
      <c r="F534" s="4">
        <f>VLOOKUP($A534,[1]中未分析60315!$A:$M,12,0)</f>
        <v>75</v>
      </c>
      <c r="G534" s="4">
        <f>VLOOKUP($A534,[1]中未分析60315!$A:$M,13,0)</f>
        <v>74</v>
      </c>
      <c r="H534" s="3" t="s">
        <v>39</v>
      </c>
      <c r="I534" s="3" t="s">
        <v>1047</v>
      </c>
    </row>
    <row r="535" customHeight="1" spans="1:9">
      <c r="A535" s="11" t="s">
        <v>1048</v>
      </c>
      <c r="B535" s="4">
        <f>VLOOKUP($A535,[1]中未分析60315!$A:$M,8,0)</f>
        <v>42</v>
      </c>
      <c r="C535" s="4">
        <f>VLOOKUP($A535,[1]中未分析60315!$A:$M,9,0)</f>
        <v>41</v>
      </c>
      <c r="D535" s="4">
        <f>VLOOKUP($A535,[1]中未分析60315!$A:$M,10,0)</f>
        <v>39</v>
      </c>
      <c r="E535" s="4">
        <f>VLOOKUP($A535,[1]中未分析60315!$A:$M,11,0)</f>
        <v>38</v>
      </c>
      <c r="F535" s="4">
        <f>VLOOKUP($A535,[1]中未分析60315!$A:$M,12,0)</f>
        <v>36</v>
      </c>
      <c r="G535" s="4">
        <f>VLOOKUP($A535,[1]中未分析60315!$A:$M,13,0)</f>
        <v>35</v>
      </c>
      <c r="H535" s="3" t="s">
        <v>10</v>
      </c>
      <c r="I535" s="3" t="s">
        <v>1049</v>
      </c>
    </row>
    <row r="536" customHeight="1" spans="1:9">
      <c r="A536" s="11" t="s">
        <v>1050</v>
      </c>
      <c r="B536" s="4">
        <f>VLOOKUP($A536,[1]中未分析60315!$A:$M,8,0)</f>
        <v>29</v>
      </c>
      <c r="C536" s="4">
        <f>VLOOKUP($A536,[1]中未分析60315!$A:$M,9,0)</f>
        <v>28</v>
      </c>
      <c r="D536" s="4">
        <f>VLOOKUP($A536,[1]中未分析60315!$A:$M,10,0)</f>
        <v>27</v>
      </c>
      <c r="E536" s="4">
        <f>VLOOKUP($A536,[1]中未分析60315!$A:$M,11,0)</f>
        <v>26</v>
      </c>
      <c r="F536" s="4">
        <f>VLOOKUP($A536,[1]中未分析60315!$A:$M,12,0)</f>
        <v>25</v>
      </c>
      <c r="G536" s="4">
        <f>VLOOKUP($A536,[1]中未分析60315!$A:$M,13,0)</f>
        <v>24</v>
      </c>
      <c r="H536" s="3" t="s">
        <v>10</v>
      </c>
      <c r="I536" s="3" t="s">
        <v>1051</v>
      </c>
    </row>
    <row r="537" customHeight="1" spans="1:9">
      <c r="A537" s="11" t="s">
        <v>1052</v>
      </c>
      <c r="B537" s="4">
        <f>VLOOKUP($A537,[1]中未分析60315!$A:$M,8,0)</f>
        <v>44</v>
      </c>
      <c r="C537" s="4">
        <f>VLOOKUP($A537,[1]中未分析60315!$A:$M,9,0)</f>
        <v>43</v>
      </c>
      <c r="D537" s="4">
        <f>VLOOKUP($A537,[1]中未分析60315!$A:$M,10,0)</f>
        <v>41</v>
      </c>
      <c r="E537" s="4">
        <f>VLOOKUP($A537,[1]中未分析60315!$A:$M,11,0)</f>
        <v>39</v>
      </c>
      <c r="F537" s="4">
        <f>VLOOKUP($A537,[1]中未分析60315!$A:$M,12,0)</f>
        <v>38</v>
      </c>
      <c r="G537" s="4">
        <f>VLOOKUP($A537,[1]中未分析60315!$A:$M,13,0)</f>
        <v>36</v>
      </c>
      <c r="H537" s="3" t="s">
        <v>10</v>
      </c>
      <c r="I537" s="3" t="s">
        <v>1053</v>
      </c>
    </row>
    <row r="538" customHeight="1" spans="1:9">
      <c r="A538" s="11" t="s">
        <v>1054</v>
      </c>
      <c r="B538" s="4">
        <f>VLOOKUP($A538,[1]中未分析60315!$A:$M,8,0)</f>
        <v>32</v>
      </c>
      <c r="C538" s="4">
        <f>VLOOKUP($A538,[1]中未分析60315!$A:$M,9,0)</f>
        <v>30</v>
      </c>
      <c r="D538" s="4">
        <f>VLOOKUP($A538,[1]中未分析60315!$A:$M,10,0)</f>
        <v>29</v>
      </c>
      <c r="E538" s="4">
        <f>VLOOKUP($A538,[1]中未分析60315!$A:$M,11,0)</f>
        <v>28</v>
      </c>
      <c r="F538" s="4">
        <f>VLOOKUP($A538,[1]中未分析60315!$A:$M,12,0)</f>
        <v>27</v>
      </c>
      <c r="G538" s="4">
        <f>VLOOKUP($A538,[1]中未分析60315!$A:$M,13,0)</f>
        <v>26</v>
      </c>
      <c r="H538" s="3" t="s">
        <v>10</v>
      </c>
      <c r="I538" s="3" t="s">
        <v>1055</v>
      </c>
    </row>
    <row r="539" customHeight="1" spans="1:9">
      <c r="A539" s="11" t="s">
        <v>1056</v>
      </c>
      <c r="B539" s="4">
        <f>VLOOKUP($A539,[1]中未分析60315!$A:$M,8,0)</f>
        <v>42</v>
      </c>
      <c r="C539" s="4">
        <f>VLOOKUP($A539,[1]中未分析60315!$A:$M,9,0)</f>
        <v>40</v>
      </c>
      <c r="D539" s="4">
        <f>VLOOKUP($A539,[1]中未分析60315!$A:$M,10,0)</f>
        <v>39</v>
      </c>
      <c r="E539" s="4">
        <f>VLOOKUP($A539,[1]中未分析60315!$A:$M,11,0)</f>
        <v>37</v>
      </c>
      <c r="F539" s="4">
        <f>VLOOKUP($A539,[1]中未分析60315!$A:$M,12,0)</f>
        <v>36</v>
      </c>
      <c r="G539" s="4">
        <f>VLOOKUP($A539,[1]中未分析60315!$A:$M,13,0)</f>
        <v>34</v>
      </c>
      <c r="H539" s="3" t="s">
        <v>10</v>
      </c>
      <c r="I539" s="3" t="s">
        <v>1057</v>
      </c>
    </row>
    <row r="540" customHeight="1" spans="1:9">
      <c r="A540" s="11" t="s">
        <v>1058</v>
      </c>
      <c r="B540" s="4">
        <f>VLOOKUP($A540,[1]中未分析60315!$A:$M,8,0)</f>
        <v>60</v>
      </c>
      <c r="C540" s="4">
        <f>VLOOKUP($A540,[1]中未分析60315!$A:$M,9,0)</f>
        <v>59</v>
      </c>
      <c r="D540" s="4">
        <f>VLOOKUP($A540,[1]中未分析60315!$A:$M,10,0)</f>
        <v>58</v>
      </c>
      <c r="E540" s="4">
        <f>VLOOKUP($A540,[1]中未分析60315!$A:$M,11,0)</f>
        <v>57</v>
      </c>
      <c r="F540" s="4">
        <f>VLOOKUP($A540,[1]中未分析60315!$A:$M,12,0)</f>
        <v>57</v>
      </c>
      <c r="G540" s="4">
        <f>VLOOKUP($A540,[1]中未分析60315!$A:$M,13,0)</f>
        <v>56</v>
      </c>
      <c r="H540" s="3" t="s">
        <v>39</v>
      </c>
      <c r="I540" s="3" t="s">
        <v>1059</v>
      </c>
    </row>
    <row r="541" customHeight="1" spans="1:9">
      <c r="A541" s="11" t="s">
        <v>1060</v>
      </c>
      <c r="B541" s="4">
        <f>VLOOKUP($A541,[1]中未分析60315!$A:$M,8,0)</f>
        <v>46</v>
      </c>
      <c r="C541" s="4">
        <f>VLOOKUP($A541,[1]中未分析60315!$A:$M,9,0)</f>
        <v>45</v>
      </c>
      <c r="D541" s="4">
        <f>VLOOKUP($A541,[1]中未分析60315!$A:$M,10,0)</f>
        <v>45</v>
      </c>
      <c r="E541" s="4">
        <f>VLOOKUP($A541,[1]中未分析60315!$A:$M,11,0)</f>
        <v>44</v>
      </c>
      <c r="F541" s="4">
        <f>VLOOKUP($A541,[1]中未分析60315!$A:$M,12,0)</f>
        <v>44</v>
      </c>
      <c r="G541" s="4">
        <f>VLOOKUP($A541,[1]中未分析60315!$A:$M,13,0)</f>
        <v>43</v>
      </c>
      <c r="H541" s="3" t="s">
        <v>39</v>
      </c>
      <c r="I541" s="3" t="s">
        <v>1061</v>
      </c>
    </row>
    <row r="542" customHeight="1" spans="1:9">
      <c r="A542" s="11" t="s">
        <v>1062</v>
      </c>
      <c r="B542" s="4">
        <f>VLOOKUP($A542,[1]中未分析60315!$A:$M,8,0)</f>
        <v>50</v>
      </c>
      <c r="C542" s="4">
        <f>VLOOKUP($A542,[1]中未分析60315!$A:$M,9,0)</f>
        <v>49</v>
      </c>
      <c r="D542" s="4">
        <f>VLOOKUP($A542,[1]中未分析60315!$A:$M,10,0)</f>
        <v>48</v>
      </c>
      <c r="E542" s="4">
        <f>VLOOKUP($A542,[1]中未分析60315!$A:$M,11,0)</f>
        <v>48</v>
      </c>
      <c r="F542" s="4">
        <f>VLOOKUP($A542,[1]中未分析60315!$A:$M,12,0)</f>
        <v>47</v>
      </c>
      <c r="G542" s="4">
        <f>VLOOKUP($A542,[1]中未分析60315!$A:$M,13,0)</f>
        <v>46</v>
      </c>
      <c r="H542" s="3" t="s">
        <v>39</v>
      </c>
      <c r="I542" s="3" t="s">
        <v>1063</v>
      </c>
    </row>
    <row r="543" customHeight="1" spans="1:9">
      <c r="A543" s="11" t="s">
        <v>1064</v>
      </c>
      <c r="B543" s="4">
        <f>VLOOKUP($A543,[1]中未分析60315!$A:$M,8,0)</f>
        <v>55</v>
      </c>
      <c r="C543" s="4">
        <f>VLOOKUP($A543,[1]中未分析60315!$A:$M,9,0)</f>
        <v>53</v>
      </c>
      <c r="D543" s="4">
        <f>VLOOKUP($A543,[1]中未分析60315!$A:$M,10,0)</f>
        <v>51</v>
      </c>
      <c r="E543" s="4">
        <f>VLOOKUP($A543,[1]中未分析60315!$A:$M,11,0)</f>
        <v>49</v>
      </c>
      <c r="F543" s="4">
        <f>VLOOKUP($A543,[1]中未分析60315!$A:$M,12,0)</f>
        <v>47</v>
      </c>
      <c r="G543" s="4">
        <f>VLOOKUP($A543,[1]中未分析60315!$A:$M,13,0)</f>
        <v>45</v>
      </c>
      <c r="H543" s="3" t="s">
        <v>10</v>
      </c>
      <c r="I543" s="3" t="s">
        <v>1065</v>
      </c>
    </row>
    <row r="544" customHeight="1" spans="1:9">
      <c r="A544" s="11" t="s">
        <v>1066</v>
      </c>
      <c r="B544" s="4">
        <f>VLOOKUP($A544,[1]中未分析60315!$A:$M,8,0)</f>
        <v>38</v>
      </c>
      <c r="C544" s="4">
        <f>VLOOKUP($A544,[1]中未分析60315!$A:$M,9,0)</f>
        <v>37</v>
      </c>
      <c r="D544" s="4">
        <f>VLOOKUP($A544,[1]中未分析60315!$A:$M,10,0)</f>
        <v>36</v>
      </c>
      <c r="E544" s="4">
        <f>VLOOKUP($A544,[1]中未分析60315!$A:$M,11,0)</f>
        <v>36</v>
      </c>
      <c r="F544" s="4">
        <f>VLOOKUP($A544,[1]中未分析60315!$A:$M,12,0)</f>
        <v>35</v>
      </c>
      <c r="G544" s="4">
        <f>VLOOKUP($A544,[1]中未分析60315!$A:$M,13,0)</f>
        <v>35</v>
      </c>
      <c r="H544" s="3" t="s">
        <v>39</v>
      </c>
      <c r="I544" s="3" t="s">
        <v>1067</v>
      </c>
    </row>
    <row r="545" customHeight="1" spans="1:9">
      <c r="A545" s="11" t="s">
        <v>1068</v>
      </c>
      <c r="B545" s="4">
        <f>VLOOKUP($A545,[1]中未分析60315!$A:$M,8,0)</f>
        <v>46</v>
      </c>
      <c r="C545" s="4">
        <f>VLOOKUP($A545,[1]中未分析60315!$A:$M,9,0)</f>
        <v>45</v>
      </c>
      <c r="D545" s="4">
        <f>VLOOKUP($A545,[1]中未分析60315!$A:$M,10,0)</f>
        <v>45</v>
      </c>
      <c r="E545" s="4">
        <f>VLOOKUP($A545,[1]中未分析60315!$A:$M,11,0)</f>
        <v>44</v>
      </c>
      <c r="F545" s="4">
        <f>VLOOKUP($A545,[1]中未分析60315!$A:$M,12,0)</f>
        <v>44</v>
      </c>
      <c r="G545" s="4">
        <f>VLOOKUP($A545,[1]中未分析60315!$A:$M,13,0)</f>
        <v>43</v>
      </c>
      <c r="H545" s="3" t="s">
        <v>39</v>
      </c>
      <c r="I545" s="3" t="s">
        <v>1069</v>
      </c>
    </row>
    <row r="546" customHeight="1" spans="1:9">
      <c r="A546" s="11" t="s">
        <v>1070</v>
      </c>
      <c r="B546" s="4">
        <f>VLOOKUP($A546,[1]中未分析60315!$A:$M,8,0)</f>
        <v>48</v>
      </c>
      <c r="C546" s="4">
        <f>VLOOKUP($A546,[1]中未分析60315!$A:$M,9,0)</f>
        <v>47</v>
      </c>
      <c r="D546" s="4">
        <f>VLOOKUP($A546,[1]中未分析60315!$A:$M,10,0)</f>
        <v>46</v>
      </c>
      <c r="E546" s="4">
        <f>VLOOKUP($A546,[1]中未分析60315!$A:$M,11,0)</f>
        <v>45</v>
      </c>
      <c r="F546" s="4">
        <f>VLOOKUP($A546,[1]中未分析60315!$A:$M,12,0)</f>
        <v>45</v>
      </c>
      <c r="G546" s="4">
        <f>VLOOKUP($A546,[1]中未分析60315!$A:$M,13,0)</f>
        <v>44</v>
      </c>
      <c r="H546" s="3" t="s">
        <v>39</v>
      </c>
      <c r="I546" s="3" t="s">
        <v>1071</v>
      </c>
    </row>
    <row r="547" customHeight="1" spans="1:9">
      <c r="A547" s="4" t="s">
        <v>1072</v>
      </c>
      <c r="B547" s="4">
        <f>VLOOKUP($A547,[1]中未分析60315!$A:$M,8,0)</f>
        <v>63</v>
      </c>
      <c r="C547" s="4">
        <f>VLOOKUP($A547,[1]中未分析60315!$A:$M,9,0)</f>
        <v>62</v>
      </c>
      <c r="D547" s="4">
        <f>VLOOKUP($A547,[1]中未分析60315!$A:$M,10,0)</f>
        <v>61</v>
      </c>
      <c r="E547" s="4">
        <f>VLOOKUP($A547,[1]中未分析60315!$A:$M,11,0)</f>
        <v>60</v>
      </c>
      <c r="F547" s="4">
        <f>VLOOKUP($A547,[1]中未分析60315!$A:$M,12,0)</f>
        <v>60</v>
      </c>
      <c r="G547" s="4">
        <f>VLOOKUP($A547,[1]中未分析60315!$A:$M,13,0)</f>
        <v>59</v>
      </c>
      <c r="H547" s="3" t="s">
        <v>39</v>
      </c>
      <c r="I547" s="3" t="s">
        <v>1073</v>
      </c>
    </row>
    <row r="548" customHeight="1" spans="1:9">
      <c r="A548" s="4" t="s">
        <v>1074</v>
      </c>
      <c r="B548" s="4">
        <f>VLOOKUP($A548,[1]中未分析60315!$A:$M,8,0)</f>
        <v>60</v>
      </c>
      <c r="C548" s="4">
        <f>VLOOKUP($A548,[1]中未分析60315!$A:$M,9,0)</f>
        <v>59</v>
      </c>
      <c r="D548" s="4">
        <f>VLOOKUP($A548,[1]中未分析60315!$A:$M,10,0)</f>
        <v>58</v>
      </c>
      <c r="E548" s="4">
        <f>VLOOKUP($A548,[1]中未分析60315!$A:$M,11,0)</f>
        <v>57</v>
      </c>
      <c r="F548" s="4">
        <f>VLOOKUP($A548,[1]中未分析60315!$A:$M,12,0)</f>
        <v>56</v>
      </c>
      <c r="G548" s="4">
        <f>VLOOKUP($A548,[1]中未分析60315!$A:$M,13,0)</f>
        <v>55</v>
      </c>
      <c r="H548" s="3" t="s">
        <v>39</v>
      </c>
      <c r="I548" s="3" t="s">
        <v>1075</v>
      </c>
    </row>
    <row r="549" customHeight="1" spans="1:9">
      <c r="A549" s="12" t="s">
        <v>1076</v>
      </c>
      <c r="B549" s="4">
        <f>VLOOKUP($A549,[1]中未分析60315!$A:$M,8,0)</f>
        <v>45</v>
      </c>
      <c r="C549" s="4">
        <f>VLOOKUP($A549,[1]中未分析60315!$A:$M,9,0)</f>
        <v>43</v>
      </c>
      <c r="D549" s="4">
        <f>VLOOKUP($A549,[1]中未分析60315!$A:$M,10,0)</f>
        <v>41</v>
      </c>
      <c r="E549" s="4">
        <f>VLOOKUP($A549,[1]中未分析60315!$A:$M,11,0)</f>
        <v>40</v>
      </c>
      <c r="F549" s="4">
        <f>VLOOKUP($A549,[1]中未分析60315!$A:$M,12,0)</f>
        <v>38</v>
      </c>
      <c r="G549" s="4">
        <f>VLOOKUP($A549,[1]中未分析60315!$A:$M,13,0)</f>
        <v>36</v>
      </c>
      <c r="H549" s="3" t="s">
        <v>10</v>
      </c>
      <c r="I549" s="3">
        <v>12713668</v>
      </c>
    </row>
    <row r="550" customHeight="1" spans="1:9">
      <c r="A550" s="13" t="s">
        <v>1077</v>
      </c>
      <c r="B550" s="4">
        <f>VLOOKUP($A550,[1]中未分析60315!$A:$M,8,0)</f>
        <v>39</v>
      </c>
      <c r="C550" s="4">
        <f>VLOOKUP($A550,[1]中未分析60315!$A:$M,9,0)</f>
        <v>39</v>
      </c>
      <c r="D550" s="4">
        <f>VLOOKUP($A550,[1]中未分析60315!$A:$M,10,0)</f>
        <v>38</v>
      </c>
      <c r="E550" s="4">
        <f>VLOOKUP($A550,[1]中未分析60315!$A:$M,11,0)</f>
        <v>37</v>
      </c>
      <c r="F550" s="4">
        <f>VLOOKUP($A550,[1]中未分析60315!$A:$M,12,0)</f>
        <v>37</v>
      </c>
      <c r="G550" s="4">
        <f>VLOOKUP($A550,[1]中未分析60315!$A:$M,13,0)</f>
        <v>36</v>
      </c>
      <c r="H550" s="3" t="s">
        <v>39</v>
      </c>
      <c r="I550" s="3" t="s">
        <v>1078</v>
      </c>
    </row>
    <row r="551" customHeight="1" spans="1:9">
      <c r="A551" s="13" t="s">
        <v>1079</v>
      </c>
      <c r="B551" s="4">
        <f>VLOOKUP($A551,[1]中未分析60315!$A:$M,8,0)</f>
        <v>40</v>
      </c>
      <c r="C551" s="4">
        <f>VLOOKUP($A551,[1]中未分析60315!$A:$M,9,0)</f>
        <v>39</v>
      </c>
      <c r="D551" s="4">
        <f>VLOOKUP($A551,[1]中未分析60315!$A:$M,10,0)</f>
        <v>39</v>
      </c>
      <c r="E551" s="4">
        <f>VLOOKUP($A551,[1]中未分析60315!$A:$M,11,0)</f>
        <v>38</v>
      </c>
      <c r="F551" s="4">
        <f>VLOOKUP($A551,[1]中未分析60315!$A:$M,12,0)</f>
        <v>38</v>
      </c>
      <c r="G551" s="4">
        <f>VLOOKUP($A551,[1]中未分析60315!$A:$M,13,0)</f>
        <v>37</v>
      </c>
      <c r="H551" s="3" t="s">
        <v>39</v>
      </c>
      <c r="I551" s="3" t="s">
        <v>1080</v>
      </c>
    </row>
    <row r="552" customHeight="1" spans="1:9">
      <c r="A552" s="13" t="s">
        <v>1081</v>
      </c>
      <c r="B552" s="4">
        <f>VLOOKUP($A552,[1]中未分析60315!$A:$M,8,0)</f>
        <v>59</v>
      </c>
      <c r="C552" s="4">
        <f>VLOOKUP($A552,[1]中未分析60315!$A:$M,9,0)</f>
        <v>58</v>
      </c>
      <c r="D552" s="4">
        <f>VLOOKUP($A552,[1]中未分析60315!$A:$M,10,0)</f>
        <v>57</v>
      </c>
      <c r="E552" s="4">
        <f>VLOOKUP($A552,[1]中未分析60315!$A:$M,11,0)</f>
        <v>56</v>
      </c>
      <c r="F552" s="4">
        <f>VLOOKUP($A552,[1]中未分析60315!$A:$M,12,0)</f>
        <v>55</v>
      </c>
      <c r="G552" s="4">
        <f>VLOOKUP($A552,[1]中未分析60315!$A:$M,13,0)</f>
        <v>54</v>
      </c>
      <c r="H552" s="3" t="s">
        <v>39</v>
      </c>
      <c r="I552" s="3" t="s">
        <v>1082</v>
      </c>
    </row>
    <row r="553" customHeight="1" spans="1:9">
      <c r="A553" s="14" t="s">
        <v>1083</v>
      </c>
      <c r="B553" s="4">
        <f>VLOOKUP($A553,[1]中未分析60315!$A:$M,8,0)</f>
        <v>79</v>
      </c>
      <c r="C553" s="4">
        <f>VLOOKUP($A553,[1]中未分析60315!$A:$M,9,0)</f>
        <v>78</v>
      </c>
      <c r="D553" s="4">
        <f>VLOOKUP($A553,[1]中未分析60315!$A:$M,10,0)</f>
        <v>76</v>
      </c>
      <c r="E553" s="4">
        <f>VLOOKUP($A553,[1]中未分析60315!$A:$M,11,0)</f>
        <v>75</v>
      </c>
      <c r="F553" s="4">
        <f>VLOOKUP($A553,[1]中未分析60315!$A:$M,12,0)</f>
        <v>74</v>
      </c>
      <c r="G553" s="4">
        <f>VLOOKUP($A553,[1]中未分析60315!$A:$M,13,0)</f>
        <v>73</v>
      </c>
      <c r="H553" s="3" t="s">
        <v>39</v>
      </c>
      <c r="I553" s="3" t="s">
        <v>1084</v>
      </c>
    </row>
    <row r="554" customHeight="1" spans="1:9">
      <c r="A554" s="13" t="s">
        <v>1085</v>
      </c>
      <c r="B554" s="4">
        <f>VLOOKUP($A554,[1]中未分析60315!$A:$M,8,0)</f>
        <v>46</v>
      </c>
      <c r="C554" s="4">
        <f>VLOOKUP($A554,[1]中未分析60315!$A:$M,9,0)</f>
        <v>45</v>
      </c>
      <c r="D554" s="4">
        <f>VLOOKUP($A554,[1]中未分析60315!$A:$M,10,0)</f>
        <v>45</v>
      </c>
      <c r="E554" s="4">
        <f>VLOOKUP($A554,[1]中未分析60315!$A:$M,11,0)</f>
        <v>44</v>
      </c>
      <c r="F554" s="4">
        <f>VLOOKUP($A554,[1]中未分析60315!$A:$M,12,0)</f>
        <v>44</v>
      </c>
      <c r="G554" s="4">
        <f>VLOOKUP($A554,[1]中未分析60315!$A:$M,13,0)</f>
        <v>43</v>
      </c>
      <c r="H554" s="3" t="s">
        <v>39</v>
      </c>
      <c r="I554" s="3" t="s">
        <v>1086</v>
      </c>
    </row>
    <row r="555" customHeight="1" spans="1:9">
      <c r="A555" s="15" t="s">
        <v>1087</v>
      </c>
      <c r="B555" s="4">
        <f>VLOOKUP($A555,[1]中未分析60315!$A:$M,8,0)</f>
        <v>44</v>
      </c>
      <c r="C555" s="4">
        <f>VLOOKUP($A555,[1]中未分析60315!$A:$M,9,0)</f>
        <v>43</v>
      </c>
      <c r="D555" s="4">
        <f>VLOOKUP($A555,[1]中未分析60315!$A:$M,10,0)</f>
        <v>41</v>
      </c>
      <c r="E555" s="4">
        <f>VLOOKUP($A555,[1]中未分析60315!$A:$M,11,0)</f>
        <v>40</v>
      </c>
      <c r="F555" s="4">
        <f>VLOOKUP($A555,[1]中未分析60315!$A:$M,12,0)</f>
        <v>38</v>
      </c>
      <c r="G555" s="4">
        <f>VLOOKUP($A555,[1]中未分析60315!$A:$M,13,0)</f>
        <v>36</v>
      </c>
      <c r="H555" s="3" t="s">
        <v>10</v>
      </c>
      <c r="I555" s="3" t="s">
        <v>1088</v>
      </c>
    </row>
    <row r="556" customHeight="1" spans="1:9">
      <c r="A556" s="16" t="s">
        <v>1089</v>
      </c>
      <c r="B556" s="4">
        <f>VLOOKUP($A556,[1]中未分析60315!$A:$M,8,0)</f>
        <v>47</v>
      </c>
      <c r="C556" s="4">
        <f>VLOOKUP($A556,[1]中未分析60315!$A:$M,9,0)</f>
        <v>45</v>
      </c>
      <c r="D556" s="4">
        <f>VLOOKUP($A556,[1]中未分析60315!$A:$M,10,0)</f>
        <v>44</v>
      </c>
      <c r="E556" s="4">
        <f>VLOOKUP($A556,[1]中未分析60315!$A:$M,11,0)</f>
        <v>42</v>
      </c>
      <c r="F556" s="4">
        <f>VLOOKUP($A556,[1]中未分析60315!$A:$M,12,0)</f>
        <v>40</v>
      </c>
      <c r="G556" s="4">
        <f>VLOOKUP($A556,[1]中未分析60315!$A:$M,13,0)</f>
        <v>39</v>
      </c>
      <c r="H556" s="3" t="s">
        <v>10</v>
      </c>
      <c r="I556" s="3" t="s">
        <v>1090</v>
      </c>
    </row>
    <row r="557" customHeight="1" spans="1:9">
      <c r="A557" s="16" t="s">
        <v>1091</v>
      </c>
      <c r="B557" s="4">
        <f>VLOOKUP($A557,[1]中未分析60315!$A:$M,8,0)</f>
        <v>46</v>
      </c>
      <c r="C557" s="4">
        <f>VLOOKUP($A557,[1]中未分析60315!$A:$M,9,0)</f>
        <v>45</v>
      </c>
      <c r="D557" s="4">
        <f>VLOOKUP($A557,[1]中未分析60315!$A:$M,10,0)</f>
        <v>43</v>
      </c>
      <c r="E557" s="4">
        <f>VLOOKUP($A557,[1]中未分析60315!$A:$M,11,0)</f>
        <v>41</v>
      </c>
      <c r="F557" s="4">
        <f>VLOOKUP($A557,[1]中未分析60315!$A:$M,12,0)</f>
        <v>40</v>
      </c>
      <c r="G557" s="4">
        <f>VLOOKUP($A557,[1]中未分析60315!$A:$M,13,0)</f>
        <v>38</v>
      </c>
      <c r="H557" s="3" t="s">
        <v>10</v>
      </c>
      <c r="I557" s="3" t="s">
        <v>1088</v>
      </c>
    </row>
    <row r="558" customHeight="1" spans="1:9">
      <c r="A558" s="13" t="s">
        <v>1092</v>
      </c>
      <c r="B558" s="4">
        <f>VLOOKUP($A558,[1]中未分析60315!$A:$M,8,0)</f>
        <v>57</v>
      </c>
      <c r="C558" s="4">
        <f>VLOOKUP($A558,[1]中未分析60315!$A:$M,9,0)</f>
        <v>56</v>
      </c>
      <c r="D558" s="4">
        <f>VLOOKUP($A558,[1]中未分析60315!$A:$M,10,0)</f>
        <v>55</v>
      </c>
      <c r="E558" s="4">
        <f>VLOOKUP($A558,[1]中未分析60315!$A:$M,11,0)</f>
        <v>54</v>
      </c>
      <c r="F558" s="4">
        <f>VLOOKUP($A558,[1]中未分析60315!$A:$M,12,0)</f>
        <v>53</v>
      </c>
      <c r="G558" s="4">
        <f>VLOOKUP($A558,[1]中未分析60315!$A:$M,13,0)</f>
        <v>52</v>
      </c>
      <c r="H558" s="3" t="s">
        <v>39</v>
      </c>
      <c r="I558" s="3" t="s">
        <v>1093</v>
      </c>
    </row>
    <row r="559" customHeight="1" spans="1:9">
      <c r="A559" s="13" t="s">
        <v>1094</v>
      </c>
      <c r="B559" s="4">
        <f>VLOOKUP($A559,[1]中未分析60315!$A:$M,8,0)</f>
        <v>46</v>
      </c>
      <c r="C559" s="4">
        <f>VLOOKUP($A559,[1]中未分析60315!$A:$M,9,0)</f>
        <v>44</v>
      </c>
      <c r="D559" s="4">
        <f>VLOOKUP($A559,[1]中未分析60315!$A:$M,10,0)</f>
        <v>43</v>
      </c>
      <c r="E559" s="4">
        <f>VLOOKUP($A559,[1]中未分析60315!$A:$M,11,0)</f>
        <v>41</v>
      </c>
      <c r="F559" s="4">
        <f>VLOOKUP($A559,[1]中未分析60315!$A:$M,12,0)</f>
        <v>39</v>
      </c>
      <c r="G559" s="4">
        <f>VLOOKUP($A559,[1]中未分析60315!$A:$M,13,0)</f>
        <v>38</v>
      </c>
      <c r="H559" s="3" t="s">
        <v>10</v>
      </c>
      <c r="I559" s="3" t="s">
        <v>1095</v>
      </c>
    </row>
    <row r="560" customHeight="1" spans="1:9">
      <c r="A560" s="5" t="s">
        <v>1096</v>
      </c>
      <c r="B560" s="4">
        <f>VLOOKUP($A560,[1]中未分析60315!$A:$M,8,0)</f>
        <v>50</v>
      </c>
      <c r="C560" s="4">
        <f>VLOOKUP($A560,[1]中未分析60315!$A:$M,9,0)</f>
        <v>48</v>
      </c>
      <c r="D560" s="4">
        <f>VLOOKUP($A560,[1]中未分析60315!$A:$M,10,0)</f>
        <v>47</v>
      </c>
      <c r="E560" s="4">
        <f>VLOOKUP($A560,[1]中未分析60315!$A:$M,11,0)</f>
        <v>45</v>
      </c>
      <c r="F560" s="4">
        <f>VLOOKUP($A560,[1]中未分析60315!$A:$M,12,0)</f>
        <v>43</v>
      </c>
      <c r="G560" s="4">
        <f>VLOOKUP($A560,[1]中未分析60315!$A:$M,13,0)</f>
        <v>41</v>
      </c>
      <c r="H560" s="3" t="s">
        <v>10</v>
      </c>
      <c r="I560" s="3" t="s">
        <v>1097</v>
      </c>
    </row>
    <row r="561" customHeight="1" spans="1:9">
      <c r="A561" s="13" t="s">
        <v>1098</v>
      </c>
      <c r="B561" s="4">
        <f>VLOOKUP($A561,[1]中未分析60315!$A:$M,8,0)</f>
        <v>39</v>
      </c>
      <c r="C561" s="4">
        <f>VLOOKUP($A561,[1]中未分析60315!$A:$M,9,0)</f>
        <v>37</v>
      </c>
      <c r="D561" s="4">
        <f>VLOOKUP($A561,[1]中未分析60315!$A:$M,10,0)</f>
        <v>36</v>
      </c>
      <c r="E561" s="4">
        <f>VLOOKUP($A561,[1]中未分析60315!$A:$M,11,0)</f>
        <v>34</v>
      </c>
      <c r="F561" s="4">
        <f>VLOOKUP($A561,[1]中未分析60315!$A:$M,12,0)</f>
        <v>33</v>
      </c>
      <c r="G561" s="4">
        <f>VLOOKUP($A561,[1]中未分析60315!$A:$M,13,0)</f>
        <v>32</v>
      </c>
      <c r="H561" s="3" t="s">
        <v>10</v>
      </c>
      <c r="I561" s="3" t="s">
        <v>1099</v>
      </c>
    </row>
    <row r="562" customHeight="1" spans="1:9">
      <c r="A562" s="14" t="s">
        <v>1100</v>
      </c>
      <c r="B562" s="4">
        <f>VLOOKUP($A562,[1]中未分析60315!$A:$M,8,0)</f>
        <v>34</v>
      </c>
      <c r="C562" s="4">
        <f>VLOOKUP($A562,[1]中未分析60315!$A:$M,9,0)</f>
        <v>33</v>
      </c>
      <c r="D562" s="4">
        <f>VLOOKUP($A562,[1]中未分析60315!$A:$M,10,0)</f>
        <v>32</v>
      </c>
      <c r="E562" s="4">
        <f>VLOOKUP($A562,[1]中未分析60315!$A:$M,11,0)</f>
        <v>30</v>
      </c>
      <c r="F562" s="4">
        <f>VLOOKUP($A562,[1]中未分析60315!$A:$M,12,0)</f>
        <v>29</v>
      </c>
      <c r="G562" s="4">
        <f>VLOOKUP($A562,[1]中未分析60315!$A:$M,13,0)</f>
        <v>28</v>
      </c>
      <c r="H562" s="3" t="s">
        <v>10</v>
      </c>
      <c r="I562" s="3" t="s">
        <v>1101</v>
      </c>
    </row>
    <row r="563" customHeight="1" spans="1:9">
      <c r="A563" s="17" t="s">
        <v>1102</v>
      </c>
      <c r="B563" s="4">
        <f>VLOOKUP($A563,[1]中未分析60315!$A:$M,8,0)</f>
        <v>40</v>
      </c>
      <c r="C563" s="4">
        <f>VLOOKUP($A563,[1]中未分析60315!$A:$M,9,0)</f>
        <v>38</v>
      </c>
      <c r="D563" s="4">
        <f>VLOOKUP($A563,[1]中未分析60315!$A:$M,10,0)</f>
        <v>37</v>
      </c>
      <c r="E563" s="4">
        <f>VLOOKUP($A563,[1]中未分析60315!$A:$M,11,0)</f>
        <v>35</v>
      </c>
      <c r="F563" s="4">
        <f>VLOOKUP($A563,[1]中未分析60315!$A:$M,12,0)</f>
        <v>34</v>
      </c>
      <c r="G563" s="4">
        <f>VLOOKUP($A563,[1]中未分析60315!$A:$M,13,0)</f>
        <v>32</v>
      </c>
      <c r="H563" s="3" t="s">
        <v>10</v>
      </c>
      <c r="I563" s="3" t="s">
        <v>1103</v>
      </c>
    </row>
    <row r="564" customHeight="1" spans="1:9">
      <c r="A564" s="14" t="s">
        <v>1104</v>
      </c>
      <c r="B564" s="4">
        <f>VLOOKUP($A564,[1]中未分析60315!$A:$M,8,0)</f>
        <v>56</v>
      </c>
      <c r="C564" s="4">
        <f>VLOOKUP($A564,[1]中未分析60315!$A:$M,9,0)</f>
        <v>55</v>
      </c>
      <c r="D564" s="4">
        <f>VLOOKUP($A564,[1]中未分析60315!$A:$M,10,0)</f>
        <v>54</v>
      </c>
      <c r="E564" s="4">
        <f>VLOOKUP($A564,[1]中未分析60315!$A:$M,11,0)</f>
        <v>53</v>
      </c>
      <c r="F564" s="4">
        <f>VLOOKUP($A564,[1]中未分析60315!$A:$M,12,0)</f>
        <v>53</v>
      </c>
      <c r="G564" s="4">
        <f>VLOOKUP($A564,[1]中未分析60315!$A:$M,13,0)</f>
        <v>52</v>
      </c>
      <c r="H564" s="3" t="s">
        <v>39</v>
      </c>
      <c r="I564" s="3" t="s">
        <v>1105</v>
      </c>
    </row>
    <row r="565" customHeight="1" spans="1:9">
      <c r="A565" s="14" t="s">
        <v>1106</v>
      </c>
      <c r="B565" s="4">
        <f>VLOOKUP($A565,[1]中未分析60315!$A:$M,8,0)</f>
        <v>42</v>
      </c>
      <c r="C565" s="4">
        <f>VLOOKUP($A565,[1]中未分析60315!$A:$M,9,0)</f>
        <v>42</v>
      </c>
      <c r="D565" s="4">
        <f>VLOOKUP($A565,[1]中未分析60315!$A:$M,10,0)</f>
        <v>41</v>
      </c>
      <c r="E565" s="4">
        <f>VLOOKUP($A565,[1]中未分析60315!$A:$M,11,0)</f>
        <v>40</v>
      </c>
      <c r="F565" s="4">
        <f>VLOOKUP($A565,[1]中未分析60315!$A:$M,12,0)</f>
        <v>40</v>
      </c>
      <c r="G565" s="4">
        <f>VLOOKUP($A565,[1]中未分析60315!$A:$M,13,0)</f>
        <v>39</v>
      </c>
      <c r="H565" s="3" t="s">
        <v>39</v>
      </c>
      <c r="I565" s="3" t="s">
        <v>1107</v>
      </c>
    </row>
    <row r="566" customHeight="1" spans="1:9">
      <c r="A566" s="14" t="s">
        <v>1108</v>
      </c>
      <c r="B566" s="4">
        <f>VLOOKUP($A566,[1]中未分析60315!$A:$M,8,0)</f>
        <v>46</v>
      </c>
      <c r="C566" s="4">
        <f>VLOOKUP($A566,[1]中未分析60315!$A:$M,9,0)</f>
        <v>45</v>
      </c>
      <c r="D566" s="4">
        <f>VLOOKUP($A566,[1]中未分析60315!$A:$M,10,0)</f>
        <v>45</v>
      </c>
      <c r="E566" s="4">
        <f>VLOOKUP($A566,[1]中未分析60315!$A:$M,11,0)</f>
        <v>44</v>
      </c>
      <c r="F566" s="4">
        <f>VLOOKUP($A566,[1]中未分析60315!$A:$M,12,0)</f>
        <v>43</v>
      </c>
      <c r="G566" s="4">
        <f>VLOOKUP($A566,[1]中未分析60315!$A:$M,13,0)</f>
        <v>43</v>
      </c>
      <c r="H566" s="3" t="s">
        <v>39</v>
      </c>
      <c r="I566" s="3" t="s">
        <v>1109</v>
      </c>
    </row>
    <row r="567" customHeight="1" spans="1:9">
      <c r="A567" s="14" t="s">
        <v>1110</v>
      </c>
      <c r="B567" s="4">
        <f>VLOOKUP($A567,[1]中未分析60315!$A:$M,8,0)</f>
        <v>56</v>
      </c>
      <c r="C567" s="4">
        <f>VLOOKUP($A567,[1]中未分析60315!$A:$M,9,0)</f>
        <v>55</v>
      </c>
      <c r="D567" s="4">
        <f>VLOOKUP($A567,[1]中未分析60315!$A:$M,10,0)</f>
        <v>54</v>
      </c>
      <c r="E567" s="4">
        <f>VLOOKUP($A567,[1]中未分析60315!$A:$M,11,0)</f>
        <v>53</v>
      </c>
      <c r="F567" s="4">
        <f>VLOOKUP($A567,[1]中未分析60315!$A:$M,12,0)</f>
        <v>53</v>
      </c>
      <c r="G567" s="4">
        <f>VLOOKUP($A567,[1]中未分析60315!$A:$M,13,0)</f>
        <v>52</v>
      </c>
      <c r="H567" s="3" t="s">
        <v>39</v>
      </c>
      <c r="I567" s="3" t="s">
        <v>1111</v>
      </c>
    </row>
    <row r="568" customHeight="1" spans="1:9">
      <c r="A568" s="14" t="s">
        <v>1112</v>
      </c>
      <c r="B568" s="4">
        <f>VLOOKUP($A568,[1]中未分析60315!$A:$M,8,0)</f>
        <v>52</v>
      </c>
      <c r="C568" s="4">
        <f>VLOOKUP($A568,[1]中未分析60315!$A:$M,9,0)</f>
        <v>52</v>
      </c>
      <c r="D568" s="4">
        <f>VLOOKUP($A568,[1]中未分析60315!$A:$M,10,0)</f>
        <v>51</v>
      </c>
      <c r="E568" s="4">
        <f>VLOOKUP($A568,[1]中未分析60315!$A:$M,11,0)</f>
        <v>50</v>
      </c>
      <c r="F568" s="4">
        <f>VLOOKUP($A568,[1]中未分析60315!$A:$M,12,0)</f>
        <v>49</v>
      </c>
      <c r="G568" s="4">
        <f>VLOOKUP($A568,[1]中未分析60315!$A:$M,13,0)</f>
        <v>48</v>
      </c>
      <c r="H568" s="3" t="s">
        <v>39</v>
      </c>
      <c r="I568" s="3" t="s">
        <v>1113</v>
      </c>
    </row>
    <row r="569" customHeight="1" spans="1:9">
      <c r="A569" s="17" t="s">
        <v>1114</v>
      </c>
      <c r="B569" s="4">
        <f>VLOOKUP($A569,[1]中未分析60315!$A:$M,8,0)</f>
        <v>29</v>
      </c>
      <c r="C569" s="4">
        <f>VLOOKUP($A569,[1]中未分析60315!$A:$M,9,0)</f>
        <v>28</v>
      </c>
      <c r="D569" s="4">
        <f>VLOOKUP($A569,[1]中未分析60315!$A:$M,10,0)</f>
        <v>27</v>
      </c>
      <c r="E569" s="4">
        <f>VLOOKUP($A569,[1]中未分析60315!$A:$M,11,0)</f>
        <v>26</v>
      </c>
      <c r="F569" s="4">
        <f>VLOOKUP($A569,[1]中未分析60315!$A:$M,12,0)</f>
        <v>24</v>
      </c>
      <c r="G569" s="4">
        <f>VLOOKUP($A569,[1]中未分析60315!$A:$M,13,0)</f>
        <v>23</v>
      </c>
      <c r="H569" s="3" t="s">
        <v>10</v>
      </c>
      <c r="I569" s="3" t="s">
        <v>1115</v>
      </c>
    </row>
    <row r="570" customHeight="1" spans="1:9">
      <c r="A570" s="17" t="s">
        <v>1116</v>
      </c>
      <c r="B570" s="4">
        <f>VLOOKUP($A570,[1]中未分析60315!$A:$M,8,0)</f>
        <v>48</v>
      </c>
      <c r="C570" s="4">
        <f>VLOOKUP($A570,[1]中未分析60315!$A:$M,9,0)</f>
        <v>46</v>
      </c>
      <c r="D570" s="4">
        <f>VLOOKUP($A570,[1]中未分析60315!$A:$M,10,0)</f>
        <v>44</v>
      </c>
      <c r="E570" s="4">
        <f>VLOOKUP($A570,[1]中未分析60315!$A:$M,11,0)</f>
        <v>42</v>
      </c>
      <c r="F570" s="4">
        <f>VLOOKUP($A570,[1]中未分析60315!$A:$M,12,0)</f>
        <v>41</v>
      </c>
      <c r="G570" s="4">
        <f>VLOOKUP($A570,[1]中未分析60315!$A:$M,13,0)</f>
        <v>39</v>
      </c>
      <c r="H570" s="3" t="s">
        <v>10</v>
      </c>
      <c r="I570" s="3" t="s">
        <v>1117</v>
      </c>
    </row>
    <row r="571" customHeight="1" spans="1:9">
      <c r="A571" s="13" t="s">
        <v>1118</v>
      </c>
      <c r="B571" s="4">
        <f>VLOOKUP($A571,[1]中未分析60315!$A:$M,8,0)</f>
        <v>65</v>
      </c>
      <c r="C571" s="4">
        <f>VLOOKUP($A571,[1]中未分析60315!$A:$M,9,0)</f>
        <v>64</v>
      </c>
      <c r="D571" s="4">
        <f>VLOOKUP($A571,[1]中未分析60315!$A:$M,10,0)</f>
        <v>63</v>
      </c>
      <c r="E571" s="4">
        <f>VLOOKUP($A571,[1]中未分析60315!$A:$M,11,0)</f>
        <v>62</v>
      </c>
      <c r="F571" s="4">
        <f>VLOOKUP($A571,[1]中未分析60315!$A:$M,12,0)</f>
        <v>61</v>
      </c>
      <c r="G571" s="4">
        <f>VLOOKUP($A571,[1]中未分析60315!$A:$M,13,0)</f>
        <v>60</v>
      </c>
      <c r="H571" s="3" t="s">
        <v>39</v>
      </c>
      <c r="I571" s="3" t="s">
        <v>1119</v>
      </c>
    </row>
    <row r="572" customHeight="1" spans="1:9">
      <c r="A572" s="4" t="s">
        <v>1120</v>
      </c>
      <c r="B572" s="4">
        <f>VLOOKUP($A572,[1]中未分析60315!$A:$M,8,0)</f>
        <v>42</v>
      </c>
      <c r="C572" s="4">
        <f>VLOOKUP($A572,[1]中未分析60315!$A:$M,9,0)</f>
        <v>41</v>
      </c>
      <c r="D572" s="4">
        <f>VLOOKUP($A572,[1]中未分析60315!$A:$M,10,0)</f>
        <v>39</v>
      </c>
      <c r="E572" s="4">
        <f>VLOOKUP($A572,[1]中未分析60315!$A:$M,11,0)</f>
        <v>38</v>
      </c>
      <c r="F572" s="4">
        <f>VLOOKUP($A572,[1]中未分析60315!$A:$M,12,0)</f>
        <v>36</v>
      </c>
      <c r="G572" s="4">
        <f>VLOOKUP($A572,[1]中未分析60315!$A:$M,13,0)</f>
        <v>34</v>
      </c>
      <c r="H572" s="3" t="s">
        <v>10</v>
      </c>
      <c r="I572" s="3" t="s">
        <v>1121</v>
      </c>
    </row>
    <row r="573" customHeight="1" spans="1:9">
      <c r="A573" s="4" t="s">
        <v>1122</v>
      </c>
      <c r="B573" s="4">
        <f>VLOOKUP($A573,[1]中未分析60315!$A:$M,8,0)</f>
        <v>41</v>
      </c>
      <c r="C573" s="4">
        <f>VLOOKUP($A573,[1]中未分析60315!$A:$M,9,0)</f>
        <v>40</v>
      </c>
      <c r="D573" s="4">
        <f>VLOOKUP($A573,[1]中未分析60315!$A:$M,10,0)</f>
        <v>40</v>
      </c>
      <c r="E573" s="4">
        <f>VLOOKUP($A573,[1]中未分析60315!$A:$M,11,0)</f>
        <v>39</v>
      </c>
      <c r="F573" s="4">
        <f>VLOOKUP($A573,[1]中未分析60315!$A:$M,12,0)</f>
        <v>39</v>
      </c>
      <c r="G573" s="4">
        <f>VLOOKUP($A573,[1]中未分析60315!$A:$M,13,0)</f>
        <v>38</v>
      </c>
      <c r="H573" s="3" t="s">
        <v>39</v>
      </c>
      <c r="I573" s="3" t="s">
        <v>1123</v>
      </c>
    </row>
    <row r="574" customHeight="1" spans="1:9">
      <c r="A574" s="11" t="s">
        <v>1124</v>
      </c>
      <c r="B574" s="4">
        <f>VLOOKUP($A574,[1]中未分析60315!$A:$M,8,0)</f>
        <v>54</v>
      </c>
      <c r="C574" s="4">
        <f>VLOOKUP($A574,[1]中未分析60315!$A:$M,9,0)</f>
        <v>53</v>
      </c>
      <c r="D574" s="4">
        <f>VLOOKUP($A574,[1]中未分析60315!$A:$M,10,0)</f>
        <v>53</v>
      </c>
      <c r="E574" s="4">
        <f>VLOOKUP($A574,[1]中未分析60315!$A:$M,11,0)</f>
        <v>52</v>
      </c>
      <c r="F574" s="4">
        <f>VLOOKUP($A574,[1]中未分析60315!$A:$M,12,0)</f>
        <v>51</v>
      </c>
      <c r="G574" s="4">
        <f>VLOOKUP($A574,[1]中未分析60315!$A:$M,13,0)</f>
        <v>50</v>
      </c>
      <c r="H574" s="3" t="s">
        <v>39</v>
      </c>
      <c r="I574" s="3" t="s">
        <v>1125</v>
      </c>
    </row>
    <row r="575" customHeight="1" spans="1:9">
      <c r="A575" s="11" t="s">
        <v>1126</v>
      </c>
      <c r="B575" s="4">
        <f>VLOOKUP($A575,[1]中未分析60315!$A:$M,8,0)</f>
        <v>60</v>
      </c>
      <c r="C575" s="4">
        <f>VLOOKUP($A575,[1]中未分析60315!$A:$M,9,0)</f>
        <v>59</v>
      </c>
      <c r="D575" s="4">
        <f>VLOOKUP($A575,[1]中未分析60315!$A:$M,10,0)</f>
        <v>58</v>
      </c>
      <c r="E575" s="4">
        <f>VLOOKUP($A575,[1]中未分析60315!$A:$M,11,0)</f>
        <v>57</v>
      </c>
      <c r="F575" s="4">
        <f>VLOOKUP($A575,[1]中未分析60315!$A:$M,12,0)</f>
        <v>57</v>
      </c>
      <c r="G575" s="4">
        <f>VLOOKUP($A575,[1]中未分析60315!$A:$M,13,0)</f>
        <v>56</v>
      </c>
      <c r="H575" s="3" t="s">
        <v>39</v>
      </c>
      <c r="I575" s="3" t="s">
        <v>1127</v>
      </c>
    </row>
    <row r="576" customHeight="1" spans="1:9">
      <c r="A576" s="4" t="s">
        <v>1128</v>
      </c>
      <c r="B576" s="4">
        <f>VLOOKUP($A576,[1]中未分析60315!$A:$M,8,0)</f>
        <v>33</v>
      </c>
      <c r="C576" s="4">
        <f>VLOOKUP($A576,[1]中未分析60315!$A:$M,9,0)</f>
        <v>31</v>
      </c>
      <c r="D576" s="4">
        <f>VLOOKUP($A576,[1]中未分析60315!$A:$M,10,0)</f>
        <v>30</v>
      </c>
      <c r="E576" s="4">
        <f>VLOOKUP($A576,[1]中未分析60315!$A:$M,11,0)</f>
        <v>29</v>
      </c>
      <c r="F576" s="4">
        <f>VLOOKUP($A576,[1]中未分析60315!$A:$M,12,0)</f>
        <v>28</v>
      </c>
      <c r="G576" s="4">
        <f>VLOOKUP($A576,[1]中未分析60315!$A:$M,13,0)</f>
        <v>27</v>
      </c>
      <c r="H576" s="3" t="s">
        <v>10</v>
      </c>
      <c r="I576" s="3" t="s">
        <v>1129</v>
      </c>
    </row>
    <row r="577" customHeight="1" spans="1:9">
      <c r="A577" s="4" t="s">
        <v>1130</v>
      </c>
      <c r="B577" s="4">
        <f>VLOOKUP($A577,[1]中未分析60315!$A:$M,8,0)</f>
        <v>48</v>
      </c>
      <c r="C577" s="4">
        <f>VLOOKUP($A577,[1]中未分析60315!$A:$M,9,0)</f>
        <v>46</v>
      </c>
      <c r="D577" s="4">
        <f>VLOOKUP($A577,[1]中未分析60315!$A:$M,10,0)</f>
        <v>44</v>
      </c>
      <c r="E577" s="4">
        <f>VLOOKUP($A577,[1]中未分析60315!$A:$M,11,0)</f>
        <v>43</v>
      </c>
      <c r="F577" s="4">
        <f>VLOOKUP($A577,[1]中未分析60315!$A:$M,12,0)</f>
        <v>41</v>
      </c>
      <c r="G577" s="4">
        <f>VLOOKUP($A577,[1]中未分析60315!$A:$M,13,0)</f>
        <v>39</v>
      </c>
      <c r="H577" s="3" t="s">
        <v>10</v>
      </c>
      <c r="I577" s="3" t="s">
        <v>1131</v>
      </c>
    </row>
  </sheetData>
  <autoFilter xmlns:etc="http://www.wps.cn/officeDocument/2017/etCustomData" ref="A1:A577" etc:filterBottomFollowUsedRange="0">
    <extLst/>
  </autoFilter>
  <conditionalFormatting sqref="A552">
    <cfRule type="duplicateValues" dxfId="0" priority="5"/>
  </conditionalFormatting>
  <conditionalFormatting sqref="B552">
    <cfRule type="duplicateValues" dxfId="0" priority="20"/>
  </conditionalFormatting>
  <conditionalFormatting sqref="C552">
    <cfRule type="duplicateValues" dxfId="0" priority="19"/>
  </conditionalFormatting>
  <conditionalFormatting sqref="D552">
    <cfRule type="duplicateValues" dxfId="0" priority="18"/>
  </conditionalFormatting>
  <conditionalFormatting sqref="E552">
    <cfRule type="duplicateValues" dxfId="0" priority="35"/>
  </conditionalFormatting>
  <conditionalFormatting sqref="F552">
    <cfRule type="duplicateValues" dxfId="0" priority="34"/>
  </conditionalFormatting>
  <conditionalFormatting sqref="G552">
    <cfRule type="duplicateValues" dxfId="0" priority="33"/>
  </conditionalFormatting>
  <conditionalFormatting sqref="A572">
    <cfRule type="duplicateValues" dxfId="0" priority="4"/>
  </conditionalFormatting>
  <conditionalFormatting sqref="B572">
    <cfRule type="duplicateValues" dxfId="0" priority="17"/>
  </conditionalFormatting>
  <conditionalFormatting sqref="C572">
    <cfRule type="duplicateValues" dxfId="0" priority="16"/>
  </conditionalFormatting>
  <conditionalFormatting sqref="D572">
    <cfRule type="duplicateValues" dxfId="0" priority="15"/>
  </conditionalFormatting>
  <conditionalFormatting sqref="E572">
    <cfRule type="duplicateValues" dxfId="0" priority="32"/>
  </conditionalFormatting>
  <conditionalFormatting sqref="F572">
    <cfRule type="duplicateValues" dxfId="0" priority="31"/>
  </conditionalFormatting>
  <conditionalFormatting sqref="G572">
    <cfRule type="duplicateValues" dxfId="0" priority="30"/>
  </conditionalFormatting>
  <conditionalFormatting sqref="A573">
    <cfRule type="duplicateValues" dxfId="0" priority="3"/>
  </conditionalFormatting>
  <conditionalFormatting sqref="B573">
    <cfRule type="duplicateValues" dxfId="0" priority="14"/>
  </conditionalFormatting>
  <conditionalFormatting sqref="C573">
    <cfRule type="duplicateValues" dxfId="0" priority="13"/>
  </conditionalFormatting>
  <conditionalFormatting sqref="D573">
    <cfRule type="duplicateValues" dxfId="0" priority="12"/>
  </conditionalFormatting>
  <conditionalFormatting sqref="E573">
    <cfRule type="duplicateValues" dxfId="0" priority="29"/>
  </conditionalFormatting>
  <conditionalFormatting sqref="F573">
    <cfRule type="duplicateValues" dxfId="0" priority="28"/>
  </conditionalFormatting>
  <conditionalFormatting sqref="G573">
    <cfRule type="duplicateValues" dxfId="0" priority="27"/>
  </conditionalFormatting>
  <conditionalFormatting sqref="A574:A575">
    <cfRule type="duplicateValues" dxfId="1" priority="2"/>
    <cfRule type="duplicateValues" dxfId="0" priority="1"/>
  </conditionalFormatting>
  <conditionalFormatting sqref="B574:B575">
    <cfRule type="duplicateValues" dxfId="0" priority="8"/>
    <cfRule type="duplicateValues" dxfId="1" priority="11"/>
  </conditionalFormatting>
  <conditionalFormatting sqref="C574:C575">
    <cfRule type="duplicateValues" dxfId="0" priority="7"/>
    <cfRule type="duplicateValues" dxfId="1" priority="10"/>
  </conditionalFormatting>
  <conditionalFormatting sqref="D574:D575">
    <cfRule type="duplicateValues" dxfId="0" priority="6"/>
    <cfRule type="duplicateValues" dxfId="1" priority="9"/>
  </conditionalFormatting>
  <conditionalFormatting sqref="E574:E575">
    <cfRule type="duplicateValues" dxfId="0" priority="23"/>
    <cfRule type="duplicateValues" dxfId="1" priority="26"/>
  </conditionalFormatting>
  <conditionalFormatting sqref="F574:F575">
    <cfRule type="duplicateValues" dxfId="0" priority="22"/>
    <cfRule type="duplicateValues" dxfId="1" priority="25"/>
  </conditionalFormatting>
  <conditionalFormatting sqref="G574:G575">
    <cfRule type="duplicateValues" dxfId="0" priority="21"/>
    <cfRule type="duplicateValues" dxfId="1" priority="24"/>
  </conditionalFormatting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NetdiskSupbooks xmlns="http://www.wps.cn/et/2019/netdiskSupbooks">
  <NetdiskSupbook Target="外贸价格体系分析60315.xlsx" FileId="501084111819" NetdiskName="yunwps"/>
</NetdiskSupbooks>
</file>

<file path=customXml/itemProps1.xml><?xml version="1.0" encoding="utf-8"?>
<ds:datastoreItem xmlns:ds="http://schemas.openxmlformats.org/officeDocument/2006/customXml" ds:itemID="{8CA11897-456E-43AF-AC28-93E1BBEC0A59}">
  <ds:schemaRefs>
    <ds:schemaRef ds:uri="http://www.wps.cn/et/2019/netdiskSupbook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彩含价60319</vt:lpstr>
      <vt:lpstr>彩未价60319</vt:lpstr>
      <vt:lpstr>中含价60319</vt:lpstr>
      <vt:lpstr>中未价60319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</dc:creator>
  <cp:lastModifiedBy>Zhuanz</cp:lastModifiedBy>
  <dcterms:created xsi:type="dcterms:W3CDTF">2026-02-20T09:54:00Z</dcterms:created>
  <dcterms:modified xsi:type="dcterms:W3CDTF">2026-04-24T13:32:30Z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319B7583FBB546ACAD7F5C60C5A08E80_13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